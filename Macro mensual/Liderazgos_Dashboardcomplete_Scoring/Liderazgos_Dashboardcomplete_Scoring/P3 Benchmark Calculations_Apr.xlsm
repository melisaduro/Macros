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4.xml" ContentType="application/vnd.openxmlformats-officedocument.drawing+xml"/>
  <Override PartName="/xl/charts/chart24.xml" ContentType="application/vnd.openxmlformats-officedocument.drawingml.chart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drawings/drawing6.xml" ContentType="application/vnd.openxmlformats-officedocument.drawing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drawings/drawing8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  <Override PartName="/xl/charts/colors11.xml" ContentType="application/vnd.ms-office.chartcolorstyle+xml"/>
  <Override PartName="/xl/charts/style11.xml" ContentType="application/vnd.ms-office.chartstyle+xml"/>
  <Override PartName="/xl/charts/colors12.xml" ContentType="application/vnd.ms-office.chartcolorstyle+xml"/>
  <Override PartName="/xl/charts/style1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Questa_cartella_di_lavoro" defaultThemeVersion="124226"/>
  <bookViews>
    <workbookView xWindow="-15" yWindow="105" windowWidth="19230" windowHeight="5265" tabRatio="706"/>
  </bookViews>
  <sheets>
    <sheet name="Service_Weights" sheetId="1" r:id="rId1"/>
    <sheet name="Graphs" sheetId="13" r:id="rId2"/>
    <sheet name="Graphs All OpCo" sheetId="17" r:id="rId3"/>
    <sheet name="Table" sheetId="14" r:id="rId4"/>
    <sheet name="MF_VF" sheetId="2" r:id="rId5"/>
    <sheet name="MF_OP1" sheetId="4" r:id="rId6"/>
    <sheet name="MF_OP2" sheetId="5" r:id="rId7"/>
    <sheet name="MF_OP3" sheetId="6" r:id="rId8"/>
    <sheet name="HOW_TO" sheetId="9" r:id="rId9"/>
    <sheet name="OBIEE_VOICE" sheetId="10" r:id="rId10"/>
    <sheet name="OBIEE_DATA" sheetId="7" r:id="rId11"/>
    <sheet name="OBIEE_LIVE_BROWSING" sheetId="11" r:id="rId12"/>
    <sheet name="CONFIG" sheetId="8" r:id="rId13"/>
    <sheet name="Sheet3" sheetId="3" state="hidden" r:id="rId14"/>
  </sheets>
  <definedNames>
    <definedName name="_2ced7f66_bc00_449d_a959_816a22b51f4c_" localSheetId="10" hidden="1">OBIEE_DATA!$A$1:$AC$430</definedName>
    <definedName name="_34484243_f22b_4446_acd0_9b47eb257567_" localSheetId="9" hidden="1">OBIEE_VOICE!$A$1:$D$453</definedName>
    <definedName name="_c3ecea9f_71ae_40ee_8bbc_48864726e397_" localSheetId="11" hidden="1">OBIEE_LIVE_BROWSING!$A$1:$C$18</definedName>
    <definedName name="_xlnm._FilterDatabase" localSheetId="10" hidden="1">OBIEE_DATA!$A$1:$AA$422</definedName>
    <definedName name="_xlnm._FilterDatabase" localSheetId="9" hidden="1">OBIEE_VOICE!$A$1:$D$1</definedName>
  </definedNames>
  <calcPr calcId="145621"/>
</workbook>
</file>

<file path=xl/calcChain.xml><?xml version="1.0" encoding="utf-8"?>
<calcChain xmlns="http://schemas.openxmlformats.org/spreadsheetml/2006/main">
  <c r="D60" i="6" l="1"/>
  <c r="D60" i="5"/>
  <c r="D60" i="4"/>
  <c r="D60" i="2"/>
  <c r="U9" i="6" l="1"/>
  <c r="T9" i="6"/>
  <c r="S9" i="6"/>
  <c r="U9" i="5"/>
  <c r="T9" i="5"/>
  <c r="S9" i="5"/>
  <c r="U9" i="4"/>
  <c r="T9" i="4"/>
  <c r="S9" i="4"/>
  <c r="U9" i="2"/>
  <c r="T9" i="2"/>
  <c r="S9" i="2"/>
  <c r="E22" i="1" l="1"/>
  <c r="E21" i="1"/>
  <c r="E20" i="1"/>
  <c r="D23" i="1"/>
  <c r="C23" i="1"/>
  <c r="E23" i="1" l="1"/>
  <c r="D52" i="6" l="1"/>
  <c r="D44" i="6"/>
  <c r="D36" i="6"/>
  <c r="D28" i="6"/>
  <c r="D22" i="6"/>
  <c r="D15" i="6"/>
  <c r="D4" i="6"/>
  <c r="D52" i="5"/>
  <c r="D44" i="5"/>
  <c r="D36" i="5"/>
  <c r="D28" i="5"/>
  <c r="D22" i="5"/>
  <c r="D15" i="5"/>
  <c r="D4" i="5"/>
  <c r="D52" i="4"/>
  <c r="D44" i="4"/>
  <c r="D36" i="4"/>
  <c r="D28" i="4"/>
  <c r="D22" i="4"/>
  <c r="D15" i="4"/>
  <c r="D4" i="4"/>
  <c r="D11" i="8" l="1"/>
  <c r="AX7" i="6"/>
  <c r="AX8" i="6" s="1"/>
  <c r="AX18" i="6" s="1"/>
  <c r="AX24" i="6" s="1"/>
  <c r="AX25" i="6" s="1"/>
  <c r="AX30" i="6" s="1"/>
  <c r="AX31" i="6" s="1"/>
  <c r="AX32" i="6" s="1"/>
  <c r="AX33" i="6" s="1"/>
  <c r="AX38" i="6" s="1"/>
  <c r="AX39" i="6" s="1"/>
  <c r="AX40" i="6" s="1"/>
  <c r="AX41" i="6" s="1"/>
  <c r="AX46" i="6" s="1"/>
  <c r="AX47" i="6" s="1"/>
  <c r="AX48" i="6" s="1"/>
  <c r="AX49" i="6" s="1"/>
  <c r="AX54" i="6" s="1"/>
  <c r="AX55" i="6" s="1"/>
  <c r="AX56" i="6" s="1"/>
  <c r="AX57" i="6" s="1"/>
  <c r="AX7" i="5"/>
  <c r="AX8" i="5" s="1"/>
  <c r="AX18" i="5" s="1"/>
  <c r="AX24" i="5" s="1"/>
  <c r="AX25" i="5" s="1"/>
  <c r="AX30" i="5" s="1"/>
  <c r="AX31" i="5" s="1"/>
  <c r="AX32" i="5" s="1"/>
  <c r="AX33" i="5" s="1"/>
  <c r="AX38" i="5" s="1"/>
  <c r="AX39" i="5" s="1"/>
  <c r="AX40" i="5" s="1"/>
  <c r="AX41" i="5" s="1"/>
  <c r="AX46" i="5" s="1"/>
  <c r="AX47" i="5" s="1"/>
  <c r="AX48" i="5" s="1"/>
  <c r="AX49" i="5" s="1"/>
  <c r="AX54" i="5" s="1"/>
  <c r="AX55" i="5" s="1"/>
  <c r="AX56" i="5" s="1"/>
  <c r="AX57" i="5" s="1"/>
  <c r="AX7" i="4"/>
  <c r="AX8" i="4" s="1"/>
  <c r="AX18" i="4" s="1"/>
  <c r="AX24" i="4" s="1"/>
  <c r="AX18" i="2"/>
  <c r="AX24" i="2" s="1"/>
  <c r="AX25" i="2" s="1"/>
  <c r="AX30" i="2" s="1"/>
  <c r="AX31" i="2" s="1"/>
  <c r="AX7" i="2"/>
  <c r="AX8" i="2" s="1"/>
  <c r="G21" i="8"/>
  <c r="D10" i="8" l="1"/>
  <c r="D5" i="8"/>
  <c r="D9" i="8"/>
  <c r="D7" i="8"/>
  <c r="AX25" i="4"/>
  <c r="AX32" i="2"/>
  <c r="AX33" i="2" s="1"/>
  <c r="AX38" i="2" s="1"/>
  <c r="AX39" i="2" s="1"/>
  <c r="G22" i="8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D4" i="8" l="1"/>
  <c r="BF4" i="5" s="1"/>
  <c r="D6" i="8"/>
  <c r="D8" i="8"/>
  <c r="D3" i="8"/>
  <c r="C4" i="14" s="1"/>
  <c r="AX30" i="4"/>
  <c r="AX40" i="2"/>
  <c r="AX41" i="2" s="1"/>
  <c r="AX46" i="2" s="1"/>
  <c r="AX47" i="2" s="1"/>
  <c r="AB22" i="6"/>
  <c r="AA22" i="6"/>
  <c r="AB21" i="6"/>
  <c r="AA21" i="6"/>
  <c r="AB20" i="6"/>
  <c r="AA20" i="6"/>
  <c r="AB19" i="6"/>
  <c r="AA19" i="6"/>
  <c r="AB18" i="6"/>
  <c r="AA18" i="6"/>
  <c r="AB17" i="6"/>
  <c r="AA17" i="6"/>
  <c r="AB15" i="6"/>
  <c r="AA15" i="6"/>
  <c r="AB14" i="6"/>
  <c r="AA14" i="6"/>
  <c r="AB13" i="6"/>
  <c r="AA13" i="6"/>
  <c r="AB12" i="6"/>
  <c r="AA12" i="6"/>
  <c r="AB11" i="6"/>
  <c r="AA11" i="6"/>
  <c r="AK6" i="6"/>
  <c r="AJ6" i="6"/>
  <c r="AI6" i="6"/>
  <c r="AH6" i="6"/>
  <c r="AG6" i="6"/>
  <c r="AF6" i="6"/>
  <c r="AE6" i="6"/>
  <c r="AD6" i="6"/>
  <c r="AC6" i="6"/>
  <c r="AB6" i="6"/>
  <c r="AA6" i="6"/>
  <c r="AK5" i="6"/>
  <c r="AJ5" i="6"/>
  <c r="AI5" i="6"/>
  <c r="AH5" i="6"/>
  <c r="AG5" i="6"/>
  <c r="AF5" i="6"/>
  <c r="AE5" i="6"/>
  <c r="AD5" i="6"/>
  <c r="AC5" i="6"/>
  <c r="AB5" i="6"/>
  <c r="AA5" i="6"/>
  <c r="AB22" i="5"/>
  <c r="AA22" i="5"/>
  <c r="AB21" i="5"/>
  <c r="AA21" i="5"/>
  <c r="AB20" i="5"/>
  <c r="AA20" i="5"/>
  <c r="AB19" i="5"/>
  <c r="AA19" i="5"/>
  <c r="AB18" i="5"/>
  <c r="AA18" i="5"/>
  <c r="AB17" i="5"/>
  <c r="AA17" i="5"/>
  <c r="AB15" i="5"/>
  <c r="AA15" i="5"/>
  <c r="AB14" i="5"/>
  <c r="AA14" i="5"/>
  <c r="AB13" i="5"/>
  <c r="AA13" i="5"/>
  <c r="AB12" i="5"/>
  <c r="AA12" i="5"/>
  <c r="AB11" i="5"/>
  <c r="AA11" i="5"/>
  <c r="AK6" i="5"/>
  <c r="AJ6" i="5"/>
  <c r="AI6" i="5"/>
  <c r="AH6" i="5"/>
  <c r="AG6" i="5"/>
  <c r="AF6" i="5"/>
  <c r="AE6" i="5"/>
  <c r="AD6" i="5"/>
  <c r="AC6" i="5"/>
  <c r="AB6" i="5"/>
  <c r="AA6" i="5"/>
  <c r="AK5" i="5"/>
  <c r="AJ5" i="5"/>
  <c r="AI5" i="5"/>
  <c r="AH5" i="5"/>
  <c r="AG5" i="5"/>
  <c r="AF5" i="5"/>
  <c r="AE5" i="5"/>
  <c r="AD5" i="5"/>
  <c r="AC5" i="5"/>
  <c r="AB5" i="5"/>
  <c r="AA5" i="5"/>
  <c r="E11" i="1"/>
  <c r="D11" i="1"/>
  <c r="AB22" i="4"/>
  <c r="AA22" i="4"/>
  <c r="AB21" i="4"/>
  <c r="AA21" i="4"/>
  <c r="AB20" i="4"/>
  <c r="AA20" i="4"/>
  <c r="AB19" i="4"/>
  <c r="AA19" i="4"/>
  <c r="AB18" i="4"/>
  <c r="AA18" i="4"/>
  <c r="AB17" i="4"/>
  <c r="AA17" i="4"/>
  <c r="AB15" i="4"/>
  <c r="AA15" i="4"/>
  <c r="AB14" i="4"/>
  <c r="AA14" i="4"/>
  <c r="AB13" i="4"/>
  <c r="AA13" i="4"/>
  <c r="AB12" i="4"/>
  <c r="AA12" i="4"/>
  <c r="AB11" i="4"/>
  <c r="AA11" i="4"/>
  <c r="AK6" i="4"/>
  <c r="AJ6" i="4"/>
  <c r="AI6" i="4"/>
  <c r="AH6" i="4"/>
  <c r="AG6" i="4"/>
  <c r="AF6" i="4"/>
  <c r="AE6" i="4"/>
  <c r="AD6" i="4"/>
  <c r="AC6" i="4"/>
  <c r="AB6" i="4"/>
  <c r="AA6" i="4"/>
  <c r="AK5" i="4"/>
  <c r="AJ5" i="4"/>
  <c r="AI5" i="4"/>
  <c r="AH5" i="4"/>
  <c r="AG5" i="4"/>
  <c r="AF5" i="4"/>
  <c r="AE5" i="4"/>
  <c r="AD5" i="4"/>
  <c r="AC5" i="4"/>
  <c r="AB5" i="4"/>
  <c r="AA5" i="4"/>
  <c r="D6" i="1"/>
  <c r="E2" i="1"/>
  <c r="BF4" i="2" l="1"/>
  <c r="BF4" i="6"/>
  <c r="BF4" i="4"/>
  <c r="BJ4" i="2"/>
  <c r="BJ4" i="6"/>
  <c r="BJ4" i="4"/>
  <c r="BJ4" i="5"/>
  <c r="BN4" i="5"/>
  <c r="BN4" i="6"/>
  <c r="BN4" i="2"/>
  <c r="BN4" i="4"/>
  <c r="K116" i="13"/>
  <c r="K114" i="13"/>
  <c r="K117" i="13"/>
  <c r="K115" i="13"/>
  <c r="AM9" i="6"/>
  <c r="AM9" i="5"/>
  <c r="AM9" i="4"/>
  <c r="O86" i="13"/>
  <c r="O45" i="13"/>
  <c r="O67" i="13"/>
  <c r="M5" i="13"/>
  <c r="O28" i="13"/>
  <c r="B16" i="8"/>
  <c r="C16" i="8"/>
  <c r="D16" i="8"/>
  <c r="E16" i="8"/>
  <c r="AX31" i="4"/>
  <c r="AX48" i="2"/>
  <c r="AX49" i="2" s="1"/>
  <c r="AX54" i="2" s="1"/>
  <c r="AX55" i="2" s="1"/>
  <c r="AX56" i="2" s="1"/>
  <c r="AX57" i="2" s="1"/>
  <c r="C24" i="14" l="1"/>
  <c r="C19" i="14"/>
  <c r="C14" i="14"/>
  <c r="C9" i="14"/>
  <c r="E22" i="8"/>
  <c r="AZ7" i="6" s="1"/>
  <c r="E20" i="8"/>
  <c r="AZ6" i="6" s="1"/>
  <c r="E24" i="8"/>
  <c r="AZ8" i="6" s="1"/>
  <c r="C23" i="14"/>
  <c r="C18" i="14"/>
  <c r="C13" i="14"/>
  <c r="C8" i="14"/>
  <c r="D22" i="8"/>
  <c r="AZ7" i="5" s="1"/>
  <c r="D24" i="8"/>
  <c r="AZ8" i="5" s="1"/>
  <c r="D20" i="8"/>
  <c r="AZ6" i="5" s="1"/>
  <c r="C22" i="8"/>
  <c r="AZ7" i="4" s="1"/>
  <c r="C22" i="14"/>
  <c r="C17" i="14"/>
  <c r="C12" i="14"/>
  <c r="C7" i="14"/>
  <c r="C24" i="8"/>
  <c r="AZ8" i="4" s="1"/>
  <c r="C20" i="8"/>
  <c r="AZ6" i="4" s="1"/>
  <c r="B22" i="8"/>
  <c r="C21" i="14"/>
  <c r="C16" i="14"/>
  <c r="C11" i="14"/>
  <c r="C6" i="14"/>
  <c r="B24" i="8"/>
  <c r="B20" i="8"/>
  <c r="H123" i="13"/>
  <c r="H119" i="13"/>
  <c r="H115" i="13"/>
  <c r="H191" i="13"/>
  <c r="H187" i="13"/>
  <c r="H183" i="13"/>
  <c r="H174" i="13"/>
  <c r="H170" i="13"/>
  <c r="H166" i="13"/>
  <c r="H157" i="13"/>
  <c r="H153" i="13"/>
  <c r="H149" i="13"/>
  <c r="H140" i="13"/>
  <c r="H136" i="13"/>
  <c r="H132" i="13"/>
  <c r="H192" i="13"/>
  <c r="H171" i="13"/>
  <c r="H141" i="13"/>
  <c r="H120" i="13"/>
  <c r="H184" i="13"/>
  <c r="H158" i="13"/>
  <c r="H137" i="13"/>
  <c r="H124" i="13"/>
  <c r="H116" i="13"/>
  <c r="H188" i="13"/>
  <c r="H175" i="13"/>
  <c r="H167" i="13"/>
  <c r="H154" i="13"/>
  <c r="H150" i="13"/>
  <c r="H133" i="13"/>
  <c r="H131" i="13"/>
  <c r="H122" i="13"/>
  <c r="H118" i="13"/>
  <c r="H114" i="13"/>
  <c r="H190" i="13"/>
  <c r="H186" i="13"/>
  <c r="H182" i="13"/>
  <c r="H173" i="13"/>
  <c r="H169" i="13"/>
  <c r="H165" i="13"/>
  <c r="H156" i="13"/>
  <c r="H152" i="13"/>
  <c r="H148" i="13"/>
  <c r="H139" i="13"/>
  <c r="H135" i="13"/>
  <c r="H125" i="13"/>
  <c r="H121" i="13"/>
  <c r="H117" i="13"/>
  <c r="H193" i="13"/>
  <c r="H189" i="13"/>
  <c r="H185" i="13"/>
  <c r="H176" i="13"/>
  <c r="H172" i="13"/>
  <c r="H168" i="13"/>
  <c r="H159" i="13"/>
  <c r="H155" i="13"/>
  <c r="H151" i="13"/>
  <c r="H142" i="13"/>
  <c r="H138" i="13"/>
  <c r="H134" i="13"/>
  <c r="H84" i="13"/>
  <c r="H80" i="13"/>
  <c r="H76" i="13"/>
  <c r="H99" i="13"/>
  <c r="H95" i="13"/>
  <c r="H91" i="13"/>
  <c r="H79" i="13"/>
  <c r="H98" i="13"/>
  <c r="H90" i="13"/>
  <c r="H83" i="13"/>
  <c r="H75" i="13"/>
  <c r="H94" i="13"/>
  <c r="H85" i="13"/>
  <c r="H81" i="13"/>
  <c r="H77" i="13"/>
  <c r="H100" i="13"/>
  <c r="H96" i="13"/>
  <c r="H92" i="13"/>
  <c r="H86" i="13"/>
  <c r="H82" i="13"/>
  <c r="H78" i="13"/>
  <c r="H101" i="13"/>
  <c r="H97" i="13"/>
  <c r="H93" i="13"/>
  <c r="B28" i="8"/>
  <c r="H53" i="13"/>
  <c r="H49" i="13"/>
  <c r="H56" i="13"/>
  <c r="H52" i="13"/>
  <c r="H55" i="13"/>
  <c r="H51" i="13"/>
  <c r="H54" i="13"/>
  <c r="H50" i="13"/>
  <c r="H43" i="13"/>
  <c r="H39" i="13"/>
  <c r="G15" i="13"/>
  <c r="G14" i="13"/>
  <c r="H42" i="13"/>
  <c r="H38" i="13"/>
  <c r="H44" i="13"/>
  <c r="H40" i="13"/>
  <c r="G16" i="13"/>
  <c r="G13" i="13"/>
  <c r="H41" i="13"/>
  <c r="H37" i="13"/>
  <c r="D21" i="8"/>
  <c r="BD6" i="5" s="1"/>
  <c r="D34" i="8"/>
  <c r="AZ13" i="5" s="1"/>
  <c r="C21" i="8"/>
  <c r="C34" i="8"/>
  <c r="AZ13" i="4" s="1"/>
  <c r="E21" i="8"/>
  <c r="BD6" i="6" s="1"/>
  <c r="E34" i="8"/>
  <c r="AZ13" i="6" s="1"/>
  <c r="B26" i="1"/>
  <c r="B34" i="8"/>
  <c r="B32" i="8"/>
  <c r="B23" i="8"/>
  <c r="C25" i="8"/>
  <c r="B25" i="8"/>
  <c r="B21" i="8"/>
  <c r="B30" i="8"/>
  <c r="C23" i="8"/>
  <c r="D23" i="8"/>
  <c r="BH6" i="5" s="1"/>
  <c r="E23" i="8"/>
  <c r="BH6" i="6" s="1"/>
  <c r="E25" i="8"/>
  <c r="BL6" i="6" s="1"/>
  <c r="BN7" i="6" s="1"/>
  <c r="D25" i="8"/>
  <c r="BL6" i="5" s="1"/>
  <c r="I26" i="1"/>
  <c r="C30" i="8"/>
  <c r="AZ11" i="4" s="1"/>
  <c r="C32" i="8"/>
  <c r="AZ12" i="4" s="1"/>
  <c r="Q65" i="4" s="1"/>
  <c r="W26" i="1"/>
  <c r="E32" i="8"/>
  <c r="AZ12" i="6" s="1"/>
  <c r="Q65" i="6" s="1"/>
  <c r="E30" i="8"/>
  <c r="AZ11" i="6" s="1"/>
  <c r="P26" i="1"/>
  <c r="D32" i="8"/>
  <c r="AZ12" i="5" s="1"/>
  <c r="D30" i="8"/>
  <c r="AZ11" i="5" s="1"/>
  <c r="C28" i="8"/>
  <c r="AZ10" i="4" s="1"/>
  <c r="I65" i="4" s="1"/>
  <c r="E28" i="8"/>
  <c r="AZ10" i="6" s="1"/>
  <c r="D28" i="8"/>
  <c r="AZ10" i="5" s="1"/>
  <c r="I63" i="5" s="1"/>
  <c r="S63" i="5" s="1"/>
  <c r="AX32" i="4"/>
  <c r="D52" i="2"/>
  <c r="AB12" i="2"/>
  <c r="AB13" i="2"/>
  <c r="AA13" i="2"/>
  <c r="AA22" i="2"/>
  <c r="AA21" i="2"/>
  <c r="AA20" i="2"/>
  <c r="AA19" i="2"/>
  <c r="AA18" i="2"/>
  <c r="AA17" i="2"/>
  <c r="AA15" i="2"/>
  <c r="AA14" i="2"/>
  <c r="AA12" i="2"/>
  <c r="AA11" i="2"/>
  <c r="AB22" i="2"/>
  <c r="AB21" i="2"/>
  <c r="AB20" i="2"/>
  <c r="AB19" i="2"/>
  <c r="AB18" i="2"/>
  <c r="AB17" i="2"/>
  <c r="AB15" i="2"/>
  <c r="AB14" i="2"/>
  <c r="AB11" i="2"/>
  <c r="AK6" i="2"/>
  <c r="AK5" i="2"/>
  <c r="AB6" i="2"/>
  <c r="AC6" i="2"/>
  <c r="AD6" i="2"/>
  <c r="AE6" i="2"/>
  <c r="AF6" i="2"/>
  <c r="AG6" i="2"/>
  <c r="AH6" i="2"/>
  <c r="AI6" i="2"/>
  <c r="AJ6" i="2"/>
  <c r="AA6" i="2"/>
  <c r="AB5" i="2"/>
  <c r="AC5" i="2"/>
  <c r="AD5" i="2"/>
  <c r="AE5" i="2"/>
  <c r="AF5" i="2"/>
  <c r="AG5" i="2"/>
  <c r="AH5" i="2"/>
  <c r="AI5" i="2"/>
  <c r="AJ5" i="2"/>
  <c r="AA5" i="2"/>
  <c r="M65" i="4" l="1"/>
  <c r="I65" i="6"/>
  <c r="S65" i="6" s="1"/>
  <c r="C60" i="14"/>
  <c r="C56" i="14"/>
  <c r="C52" i="14"/>
  <c r="C48" i="14"/>
  <c r="C58" i="14"/>
  <c r="C54" i="14"/>
  <c r="C46" i="14"/>
  <c r="C50" i="14"/>
  <c r="C55" i="14"/>
  <c r="C59" i="14"/>
  <c r="C51" i="14"/>
  <c r="C47" i="14"/>
  <c r="BN8" i="6"/>
  <c r="BN6" i="6"/>
  <c r="BJ8" i="6"/>
  <c r="BJ7" i="6"/>
  <c r="BJ6" i="6"/>
  <c r="BJ8" i="5"/>
  <c r="BJ7" i="5"/>
  <c r="BJ6" i="5"/>
  <c r="BF6" i="6"/>
  <c r="BF7" i="6"/>
  <c r="BF8" i="6"/>
  <c r="BF8" i="5"/>
  <c r="BF7" i="5"/>
  <c r="BF6" i="5"/>
  <c r="BN6" i="5"/>
  <c r="BN8" i="5"/>
  <c r="BN7" i="5"/>
  <c r="Q57" i="5"/>
  <c r="U57" i="5" s="1"/>
  <c r="Q65" i="5"/>
  <c r="U65" i="5" s="1"/>
  <c r="U65" i="6"/>
  <c r="Q25" i="4"/>
  <c r="U25" i="4" s="1"/>
  <c r="U65" i="4"/>
  <c r="I64" i="5"/>
  <c r="S64" i="5" s="1"/>
  <c r="I65" i="5"/>
  <c r="S65" i="5" s="1"/>
  <c r="I63" i="6"/>
  <c r="S63" i="6" s="1"/>
  <c r="S65" i="4"/>
  <c r="AM9" i="2"/>
  <c r="AZ10" i="2"/>
  <c r="I65" i="2" s="1"/>
  <c r="AZ11" i="2"/>
  <c r="BG6" i="6"/>
  <c r="AZ12" i="2"/>
  <c r="Q65" i="2" s="1"/>
  <c r="AZ7" i="2"/>
  <c r="BD6" i="2"/>
  <c r="AZ13" i="2"/>
  <c r="BL6" i="2"/>
  <c r="BH6" i="2"/>
  <c r="AZ8" i="2"/>
  <c r="AZ6" i="2"/>
  <c r="BD6" i="4"/>
  <c r="BG7" i="6"/>
  <c r="BG8" i="6"/>
  <c r="BG6" i="5"/>
  <c r="BK8" i="6"/>
  <c r="BK7" i="6"/>
  <c r="BK6" i="6"/>
  <c r="BO8" i="6"/>
  <c r="BO6" i="6"/>
  <c r="BO7" i="6"/>
  <c r="BH6" i="4"/>
  <c r="BL6" i="4"/>
  <c r="I24" i="4"/>
  <c r="S24" i="4" s="1"/>
  <c r="I32" i="4"/>
  <c r="I25" i="4"/>
  <c r="S25" i="4" s="1"/>
  <c r="I30" i="4"/>
  <c r="S30" i="4" s="1"/>
  <c r="I31" i="4"/>
  <c r="S31" i="4" s="1"/>
  <c r="Q62" i="5"/>
  <c r="U62" i="5" s="1"/>
  <c r="I64" i="6"/>
  <c r="S64" i="6" s="1"/>
  <c r="Q48" i="5"/>
  <c r="U48" i="5" s="1"/>
  <c r="Q40" i="5"/>
  <c r="U40" i="5" s="1"/>
  <c r="I33" i="6"/>
  <c r="Q24" i="4"/>
  <c r="U24" i="4" s="1"/>
  <c r="Q64" i="6"/>
  <c r="U64" i="6" s="1"/>
  <c r="I32" i="5"/>
  <c r="I47" i="6"/>
  <c r="I46" i="6"/>
  <c r="S46" i="6" s="1"/>
  <c r="Q31" i="4"/>
  <c r="U31" i="4" s="1"/>
  <c r="I54" i="6"/>
  <c r="S54" i="6" s="1"/>
  <c r="I57" i="5"/>
  <c r="Q40" i="6"/>
  <c r="U40" i="6" s="1"/>
  <c r="I25" i="6"/>
  <c r="S25" i="6" s="1"/>
  <c r="I57" i="6"/>
  <c r="Q30" i="4"/>
  <c r="U30" i="4" s="1"/>
  <c r="I40" i="6"/>
  <c r="I24" i="6"/>
  <c r="S24" i="6" s="1"/>
  <c r="I62" i="6"/>
  <c r="S62" i="6" s="1"/>
  <c r="Q46" i="5"/>
  <c r="U46" i="5" s="1"/>
  <c r="Q56" i="5"/>
  <c r="U56" i="5" s="1"/>
  <c r="Q33" i="5"/>
  <c r="U33" i="5" s="1"/>
  <c r="I49" i="5"/>
  <c r="Q62" i="6"/>
  <c r="U62" i="6" s="1"/>
  <c r="Q38" i="5"/>
  <c r="U38" i="5" s="1"/>
  <c r="Q30" i="5"/>
  <c r="U30" i="5" s="1"/>
  <c r="Q64" i="5"/>
  <c r="U64" i="5" s="1"/>
  <c r="Q49" i="5"/>
  <c r="U49" i="5" s="1"/>
  <c r="I24" i="5"/>
  <c r="S24" i="5" s="1"/>
  <c r="I47" i="5"/>
  <c r="Q24" i="5"/>
  <c r="U24" i="5" s="1"/>
  <c r="Q63" i="5"/>
  <c r="U63" i="5" s="1"/>
  <c r="Q54" i="5"/>
  <c r="U54" i="5" s="1"/>
  <c r="Q55" i="5"/>
  <c r="U55" i="5" s="1"/>
  <c r="Q41" i="5"/>
  <c r="U41" i="5" s="1"/>
  <c r="Q30" i="6"/>
  <c r="U30" i="6" s="1"/>
  <c r="Q57" i="6"/>
  <c r="U57" i="6" s="1"/>
  <c r="Q47" i="5"/>
  <c r="U47" i="5" s="1"/>
  <c r="Q39" i="5"/>
  <c r="U39" i="5" s="1"/>
  <c r="Q31" i="5"/>
  <c r="U31" i="5" s="1"/>
  <c r="Q32" i="5"/>
  <c r="U32" i="5" s="1"/>
  <c r="Q25" i="5"/>
  <c r="U25" i="5" s="1"/>
  <c r="I62" i="5"/>
  <c r="S62" i="5" s="1"/>
  <c r="Q39" i="6"/>
  <c r="U39" i="6" s="1"/>
  <c r="Q31" i="6"/>
  <c r="U31" i="6" s="1"/>
  <c r="Q33" i="6"/>
  <c r="U33" i="6" s="1"/>
  <c r="Q25" i="6"/>
  <c r="U25" i="6" s="1"/>
  <c r="Q63" i="6"/>
  <c r="U63" i="6" s="1"/>
  <c r="Q48" i="6"/>
  <c r="U48" i="6" s="1"/>
  <c r="I41" i="5"/>
  <c r="I33" i="5"/>
  <c r="I25" i="5"/>
  <c r="S25" i="5" s="1"/>
  <c r="I55" i="5"/>
  <c r="Q49" i="6"/>
  <c r="U49" i="6" s="1"/>
  <c r="Q41" i="6"/>
  <c r="U41" i="6" s="1"/>
  <c r="Q46" i="6"/>
  <c r="U46" i="6" s="1"/>
  <c r="Q38" i="6"/>
  <c r="U38" i="6" s="1"/>
  <c r="Q24" i="6"/>
  <c r="U24" i="6" s="1"/>
  <c r="Q56" i="6"/>
  <c r="U56" i="6" s="1"/>
  <c r="I54" i="5"/>
  <c r="S54" i="5" s="1"/>
  <c r="I46" i="5"/>
  <c r="S46" i="5" s="1"/>
  <c r="I38" i="5"/>
  <c r="S38" i="5" s="1"/>
  <c r="I30" i="5"/>
  <c r="S30" i="5" s="1"/>
  <c r="I31" i="5"/>
  <c r="S31" i="5" s="1"/>
  <c r="I56" i="6"/>
  <c r="I32" i="6"/>
  <c r="I39" i="6"/>
  <c r="S39" i="6" s="1"/>
  <c r="I41" i="6"/>
  <c r="I30" i="6"/>
  <c r="S30" i="6" s="1"/>
  <c r="Q54" i="6"/>
  <c r="U54" i="6" s="1"/>
  <c r="Q55" i="6"/>
  <c r="U55" i="6" s="1"/>
  <c r="Q47" i="6"/>
  <c r="U47" i="6" s="1"/>
  <c r="Q32" i="6"/>
  <c r="U32" i="6" s="1"/>
  <c r="I56" i="5"/>
  <c r="I48" i="5"/>
  <c r="I40" i="5"/>
  <c r="I39" i="5"/>
  <c r="S39" i="5" s="1"/>
  <c r="I31" i="6"/>
  <c r="S31" i="6" s="1"/>
  <c r="I48" i="6"/>
  <c r="I55" i="6"/>
  <c r="I49" i="6"/>
  <c r="I38" i="6"/>
  <c r="S38" i="6" s="1"/>
  <c r="AX33" i="4"/>
  <c r="I33" i="4" s="1"/>
  <c r="Q32" i="4"/>
  <c r="U32" i="4" s="1"/>
  <c r="M65" i="2" l="1"/>
  <c r="M65" i="6"/>
  <c r="T65" i="6" s="1"/>
  <c r="I63" i="2"/>
  <c r="S63" i="2" s="1"/>
  <c r="U65" i="2"/>
  <c r="BM8" i="6"/>
  <c r="Q8" i="6" s="1"/>
  <c r="U8" i="6" s="1"/>
  <c r="S65" i="2"/>
  <c r="I64" i="2"/>
  <c r="S64" i="2" s="1"/>
  <c r="U66" i="6"/>
  <c r="U66" i="5"/>
  <c r="M64" i="6"/>
  <c r="T64" i="6" s="1"/>
  <c r="AG12" i="14"/>
  <c r="S33" i="4"/>
  <c r="M48" i="6"/>
  <c r="T48" i="6" s="1"/>
  <c r="S48" i="6"/>
  <c r="M48" i="5"/>
  <c r="T48" i="5" s="1"/>
  <c r="S48" i="5"/>
  <c r="AM14" i="14"/>
  <c r="M25" i="5"/>
  <c r="T25" i="5" s="1"/>
  <c r="AM24" i="14"/>
  <c r="AC23" i="14"/>
  <c r="M57" i="5"/>
  <c r="T57" i="5" s="1"/>
  <c r="S57" i="5"/>
  <c r="AM57" i="5" s="1"/>
  <c r="M47" i="6"/>
  <c r="T47" i="6" s="1"/>
  <c r="S47" i="6"/>
  <c r="M33" i="6"/>
  <c r="T33" i="6" s="1"/>
  <c r="S33" i="6"/>
  <c r="M32" i="4"/>
  <c r="T32" i="4" s="1"/>
  <c r="S32" i="4"/>
  <c r="M55" i="6"/>
  <c r="T55" i="6" s="1"/>
  <c r="S55" i="6"/>
  <c r="AM55" i="6" s="1"/>
  <c r="M41" i="6"/>
  <c r="T41" i="6" s="1"/>
  <c r="S41" i="6"/>
  <c r="AC24" i="14"/>
  <c r="W12" i="14"/>
  <c r="M56" i="5"/>
  <c r="T56" i="5" s="1"/>
  <c r="S56" i="5"/>
  <c r="AM56" i="5" s="1"/>
  <c r="M32" i="6"/>
  <c r="T32" i="6" s="1"/>
  <c r="S32" i="6"/>
  <c r="M33" i="5"/>
  <c r="T33" i="5" s="1"/>
  <c r="S33" i="5"/>
  <c r="W24" i="14"/>
  <c r="AM23" i="14"/>
  <c r="M49" i="5"/>
  <c r="T49" i="5" s="1"/>
  <c r="S49" i="5"/>
  <c r="M57" i="6"/>
  <c r="T57" i="6" s="1"/>
  <c r="S57" i="6"/>
  <c r="AM57" i="6" s="1"/>
  <c r="M32" i="5"/>
  <c r="T32" i="5" s="1"/>
  <c r="S32" i="5"/>
  <c r="AC12" i="14"/>
  <c r="M40" i="5"/>
  <c r="T40" i="5" s="1"/>
  <c r="S40" i="5"/>
  <c r="AC13" i="14"/>
  <c r="M63" i="5"/>
  <c r="T63" i="5" s="1"/>
  <c r="S66" i="5"/>
  <c r="M40" i="6"/>
  <c r="T40" i="6" s="1"/>
  <c r="S40" i="6"/>
  <c r="AC14" i="14"/>
  <c r="M49" i="6"/>
  <c r="T49" i="6" s="1"/>
  <c r="S49" i="6"/>
  <c r="AM13" i="14"/>
  <c r="M56" i="6"/>
  <c r="T56" i="6" s="1"/>
  <c r="S56" i="6"/>
  <c r="AM56" i="6" s="1"/>
  <c r="M55" i="5"/>
  <c r="T55" i="5" s="1"/>
  <c r="S55" i="5"/>
  <c r="AM55" i="5" s="1"/>
  <c r="M41" i="5"/>
  <c r="T41" i="5" s="1"/>
  <c r="S41" i="5"/>
  <c r="W23" i="14"/>
  <c r="M47" i="5"/>
  <c r="T47" i="5" s="1"/>
  <c r="S47" i="5"/>
  <c r="M25" i="6"/>
  <c r="AC22" i="14"/>
  <c r="M63" i="6"/>
  <c r="T63" i="6" s="1"/>
  <c r="M38" i="5"/>
  <c r="T38" i="5" s="1"/>
  <c r="M31" i="4"/>
  <c r="T31" i="4" s="1"/>
  <c r="M31" i="6"/>
  <c r="T31" i="6" s="1"/>
  <c r="M30" i="4"/>
  <c r="T30" i="4" s="1"/>
  <c r="M38" i="6"/>
  <c r="T38" i="6" s="1"/>
  <c r="U24" i="14"/>
  <c r="M62" i="5"/>
  <c r="T62" i="5" s="1"/>
  <c r="U23" i="14"/>
  <c r="M46" i="6"/>
  <c r="T46" i="6" s="1"/>
  <c r="U22" i="14"/>
  <c r="M65" i="5"/>
  <c r="T65" i="5" s="1"/>
  <c r="M30" i="5"/>
  <c r="T30" i="5" s="1"/>
  <c r="M24" i="6"/>
  <c r="M46" i="5"/>
  <c r="T46" i="5" s="1"/>
  <c r="M30" i="6"/>
  <c r="T30" i="6" s="1"/>
  <c r="M54" i="5"/>
  <c r="T54" i="5" s="1"/>
  <c r="M24" i="5"/>
  <c r="T24" i="5" s="1"/>
  <c r="M62" i="6"/>
  <c r="T62" i="6" s="1"/>
  <c r="M54" i="6"/>
  <c r="T54" i="6" s="1"/>
  <c r="U12" i="14"/>
  <c r="M64" i="5"/>
  <c r="T64" i="5" s="1"/>
  <c r="M33" i="4"/>
  <c r="T33" i="4" s="1"/>
  <c r="M39" i="5"/>
  <c r="T39" i="5" s="1"/>
  <c r="M25" i="4"/>
  <c r="T25" i="4" s="1"/>
  <c r="M24" i="4"/>
  <c r="T24" i="4" s="1"/>
  <c r="M31" i="5"/>
  <c r="T31" i="5" s="1"/>
  <c r="M39" i="6"/>
  <c r="T39" i="6" s="1"/>
  <c r="I46" i="2"/>
  <c r="S46" i="2" s="1"/>
  <c r="BG14" i="14"/>
  <c r="BF14" i="14" s="1"/>
  <c r="AW24" i="14"/>
  <c r="AU24" i="14"/>
  <c r="AY24" i="14"/>
  <c r="AE23" i="14"/>
  <c r="BE23" i="14"/>
  <c r="AM54" i="6"/>
  <c r="BE14" i="14"/>
  <c r="BD14" i="14" s="1"/>
  <c r="BW13" i="14"/>
  <c r="BU24" i="14"/>
  <c r="AY13" i="14"/>
  <c r="BG24" i="14"/>
  <c r="AA13" i="14"/>
  <c r="BI24" i="14"/>
  <c r="AQ24" i="14"/>
  <c r="I18" i="5"/>
  <c r="S18" i="5" s="1"/>
  <c r="W13" i="14"/>
  <c r="BQ24" i="14"/>
  <c r="AA24" i="14"/>
  <c r="BQ23" i="14"/>
  <c r="BA23" i="14"/>
  <c r="BO24" i="14"/>
  <c r="I18" i="6"/>
  <c r="S18" i="6" s="1"/>
  <c r="W14" i="14"/>
  <c r="AE13" i="14"/>
  <c r="AG14" i="14"/>
  <c r="BO23" i="14"/>
  <c r="BW14" i="14"/>
  <c r="BS13" i="14"/>
  <c r="BW22" i="14"/>
  <c r="BU23" i="14"/>
  <c r="BA14" i="14"/>
  <c r="AE22" i="14"/>
  <c r="AO13" i="14"/>
  <c r="AQ14" i="14"/>
  <c r="AM54" i="5"/>
  <c r="BE13" i="14"/>
  <c r="BD13" i="14" s="1"/>
  <c r="BQ13" i="14"/>
  <c r="BK24" i="14"/>
  <c r="I17" i="5"/>
  <c r="U13" i="14"/>
  <c r="AK23" i="14"/>
  <c r="BI23" i="14"/>
  <c r="AO14" i="14"/>
  <c r="BK14" i="14"/>
  <c r="BJ14" i="14" s="1"/>
  <c r="AW14" i="14"/>
  <c r="AE12" i="14"/>
  <c r="BU14" i="14"/>
  <c r="BU22" i="14"/>
  <c r="BW23" i="14"/>
  <c r="AY14" i="14"/>
  <c r="AK14" i="14"/>
  <c r="BI13" i="14"/>
  <c r="BH13" i="14" s="1"/>
  <c r="BE24" i="14"/>
  <c r="AE14" i="14"/>
  <c r="AK13" i="14"/>
  <c r="BA24" i="14"/>
  <c r="AG13" i="14"/>
  <c r="BO13" i="14"/>
  <c r="AQ23" i="14"/>
  <c r="BS23" i="14"/>
  <c r="BA13" i="14"/>
  <c r="AU23" i="14"/>
  <c r="BO14" i="14"/>
  <c r="AO24" i="14"/>
  <c r="BS24" i="14"/>
  <c r="AO23" i="14"/>
  <c r="AA12" i="14"/>
  <c r="BU12" i="14"/>
  <c r="BQ14" i="14"/>
  <c r="Q18" i="4"/>
  <c r="U18" i="4" s="1"/>
  <c r="W22" i="14"/>
  <c r="BK23" i="14"/>
  <c r="AE24" i="14"/>
  <c r="AA14" i="14"/>
  <c r="BI14" i="14"/>
  <c r="BH14" i="14" s="1"/>
  <c r="AU13" i="14"/>
  <c r="AK24" i="14"/>
  <c r="BG13" i="14"/>
  <c r="BF13" i="14" s="1"/>
  <c r="AQ13" i="14"/>
  <c r="AG24" i="14"/>
  <c r="AW23" i="14"/>
  <c r="BG23" i="14"/>
  <c r="AW13" i="14"/>
  <c r="AA23" i="14"/>
  <c r="AG23" i="14"/>
  <c r="I17" i="6"/>
  <c r="U14" i="14"/>
  <c r="AA22" i="14"/>
  <c r="BK13" i="14"/>
  <c r="BJ13" i="14" s="1"/>
  <c r="AU14" i="14"/>
  <c r="AY23" i="14"/>
  <c r="BS14" i="14"/>
  <c r="BW12" i="14"/>
  <c r="BU13" i="14"/>
  <c r="BW24" i="14"/>
  <c r="BN6" i="2"/>
  <c r="BN7" i="2"/>
  <c r="BN8" i="2"/>
  <c r="BN6" i="4"/>
  <c r="BN7" i="4"/>
  <c r="BN8" i="4"/>
  <c r="BF8" i="4"/>
  <c r="BF7" i="4"/>
  <c r="BF6" i="4"/>
  <c r="BO7" i="2"/>
  <c r="BJ7" i="4"/>
  <c r="BJ6" i="4"/>
  <c r="BJ8" i="4"/>
  <c r="BF7" i="2"/>
  <c r="BF8" i="2"/>
  <c r="BF6" i="2"/>
  <c r="BK6" i="2"/>
  <c r="BJ7" i="2"/>
  <c r="BJ8" i="2"/>
  <c r="BJ6" i="2"/>
  <c r="I47" i="2"/>
  <c r="I38" i="2"/>
  <c r="S38" i="2" s="1"/>
  <c r="Q38" i="2"/>
  <c r="U38" i="2" s="1"/>
  <c r="BK8" i="2"/>
  <c r="BK7" i="2"/>
  <c r="I54" i="2"/>
  <c r="S54" i="2" s="1"/>
  <c r="I31" i="2"/>
  <c r="S31" i="2" s="1"/>
  <c r="I32" i="2"/>
  <c r="BG7" i="2"/>
  <c r="BG8" i="2"/>
  <c r="BG6" i="2"/>
  <c r="BM6" i="6"/>
  <c r="I33" i="2"/>
  <c r="I39" i="2"/>
  <c r="S39" i="2" s="1"/>
  <c r="I41" i="2"/>
  <c r="BG6" i="4"/>
  <c r="I30" i="2"/>
  <c r="S30" i="2" s="1"/>
  <c r="I57" i="2"/>
  <c r="I56" i="2"/>
  <c r="I48" i="2"/>
  <c r="I40" i="2"/>
  <c r="I25" i="2"/>
  <c r="S25" i="2" s="1"/>
  <c r="I49" i="2"/>
  <c r="Q48" i="2"/>
  <c r="U48" i="2" s="1"/>
  <c r="Q47" i="2"/>
  <c r="U47" i="2" s="1"/>
  <c r="BO6" i="2"/>
  <c r="Q24" i="2"/>
  <c r="U24" i="2" s="1"/>
  <c r="BE6" i="6"/>
  <c r="I6" i="6" s="1"/>
  <c r="S6" i="6" s="1"/>
  <c r="Q54" i="2"/>
  <c r="U54" i="2" s="1"/>
  <c r="Q30" i="2"/>
  <c r="U30" i="2" s="1"/>
  <c r="Q57" i="2"/>
  <c r="U57" i="2" s="1"/>
  <c r="Q46" i="2"/>
  <c r="U46" i="2" s="1"/>
  <c r="Q31" i="2"/>
  <c r="U31" i="2" s="1"/>
  <c r="Q25" i="2"/>
  <c r="U25" i="2" s="1"/>
  <c r="Q33" i="2"/>
  <c r="U33" i="2" s="1"/>
  <c r="Q32" i="2"/>
  <c r="U32" i="2" s="1"/>
  <c r="Q49" i="2"/>
  <c r="U49" i="2" s="1"/>
  <c r="Q41" i="2"/>
  <c r="U41" i="2" s="1"/>
  <c r="Q55" i="2"/>
  <c r="U55" i="2" s="1"/>
  <c r="Q40" i="2"/>
  <c r="U40" i="2" s="1"/>
  <c r="Q39" i="2"/>
  <c r="U39" i="2" s="1"/>
  <c r="Q56" i="2"/>
  <c r="U56" i="2" s="1"/>
  <c r="BO8" i="2"/>
  <c r="I24" i="2"/>
  <c r="S24" i="2" s="1"/>
  <c r="I55" i="2"/>
  <c r="BG7" i="4"/>
  <c r="BG8" i="4"/>
  <c r="BG7" i="5"/>
  <c r="BE6" i="5"/>
  <c r="I6" i="5" s="1"/>
  <c r="S6" i="5" s="1"/>
  <c r="BG8" i="5"/>
  <c r="BE8" i="6"/>
  <c r="I8" i="6" s="1"/>
  <c r="S8" i="6" s="1"/>
  <c r="BE7" i="6"/>
  <c r="I7" i="6" s="1"/>
  <c r="S7" i="6" s="1"/>
  <c r="I18" i="4"/>
  <c r="S18" i="4" s="1"/>
  <c r="I17" i="4"/>
  <c r="BI7" i="6"/>
  <c r="BI8" i="6"/>
  <c r="BM7" i="6"/>
  <c r="BI6" i="6"/>
  <c r="BK7" i="4"/>
  <c r="BK6" i="4"/>
  <c r="BK8" i="4"/>
  <c r="BK6" i="5"/>
  <c r="BK8" i="5"/>
  <c r="BK7" i="5"/>
  <c r="BO6" i="4"/>
  <c r="BO8" i="4"/>
  <c r="BO7" i="4"/>
  <c r="BO8" i="5"/>
  <c r="BO6" i="5"/>
  <c r="BO7" i="5"/>
  <c r="Q18" i="5"/>
  <c r="U18" i="5" s="1"/>
  <c r="Q17" i="5"/>
  <c r="U17" i="5" s="1"/>
  <c r="Q17" i="4"/>
  <c r="U17" i="4" s="1"/>
  <c r="Q17" i="6"/>
  <c r="U17" i="6" s="1"/>
  <c r="Q18" i="6"/>
  <c r="U18" i="6" s="1"/>
  <c r="I62" i="2"/>
  <c r="S62" i="2" s="1"/>
  <c r="Q62" i="2"/>
  <c r="U62" i="2" s="1"/>
  <c r="AX38" i="4"/>
  <c r="I38" i="4" s="1"/>
  <c r="S38" i="4" s="1"/>
  <c r="Q33" i="4"/>
  <c r="U33" i="4" s="1"/>
  <c r="AY18" i="14" l="1"/>
  <c r="BS19" i="14"/>
  <c r="M18" i="6"/>
  <c r="T18" i="6" s="1"/>
  <c r="T25" i="6"/>
  <c r="W18" i="14"/>
  <c r="BA18" i="14"/>
  <c r="AA17" i="14"/>
  <c r="BK18" i="14"/>
  <c r="BU17" i="14"/>
  <c r="T65" i="4"/>
  <c r="BI18" i="14"/>
  <c r="BK19" i="14"/>
  <c r="AG18" i="14"/>
  <c r="S66" i="6"/>
  <c r="AW19" i="14"/>
  <c r="M18" i="5"/>
  <c r="T18" i="5" s="1"/>
  <c r="AE17" i="14"/>
  <c r="T66" i="6"/>
  <c r="AQ19" i="14"/>
  <c r="AA18" i="14"/>
  <c r="AU18" i="14"/>
  <c r="AY19" i="14"/>
  <c r="AE18" i="14"/>
  <c r="AQ18" i="14"/>
  <c r="BI19" i="14"/>
  <c r="AK18" i="14"/>
  <c r="BA19" i="14"/>
  <c r="AG19" i="14"/>
  <c r="BG19" i="14"/>
  <c r="AO19" i="14"/>
  <c r="AE19" i="14"/>
  <c r="BG18" i="14"/>
  <c r="AO18" i="14"/>
  <c r="AW18" i="14"/>
  <c r="BQ18" i="14"/>
  <c r="M25" i="2"/>
  <c r="Q22" i="14"/>
  <c r="U19" i="4"/>
  <c r="AM21" i="14"/>
  <c r="M40" i="2"/>
  <c r="T40" i="2" s="1"/>
  <c r="S40" i="2"/>
  <c r="M33" i="2"/>
  <c r="T33" i="2" s="1"/>
  <c r="S33" i="2"/>
  <c r="M47" i="2"/>
  <c r="T47" i="2" s="1"/>
  <c r="S47" i="2"/>
  <c r="Q14" i="14"/>
  <c r="AM19" i="14"/>
  <c r="T42" i="6"/>
  <c r="AM18" i="14"/>
  <c r="T42" i="5"/>
  <c r="M17" i="6"/>
  <c r="T17" i="6" s="1"/>
  <c r="T24" i="6"/>
  <c r="AC17" i="14"/>
  <c r="T34" i="4"/>
  <c r="M57" i="2"/>
  <c r="T57" i="2" s="1"/>
  <c r="S57" i="2"/>
  <c r="AM57" i="2" s="1"/>
  <c r="W17" i="14"/>
  <c r="T26" i="4"/>
  <c r="M55" i="2"/>
  <c r="T55" i="2" s="1"/>
  <c r="S55" i="2"/>
  <c r="AM55" i="2" s="1"/>
  <c r="Q24" i="14"/>
  <c r="AM7" i="6"/>
  <c r="S17" i="6"/>
  <c r="S19" i="6" s="1"/>
  <c r="M48" i="2"/>
  <c r="T48" i="2" s="1"/>
  <c r="S48" i="2"/>
  <c r="M32" i="2"/>
  <c r="T32" i="2" s="1"/>
  <c r="S32" i="2"/>
  <c r="BE18" i="14"/>
  <c r="BQ19" i="14"/>
  <c r="AC18" i="14"/>
  <c r="T34" i="5"/>
  <c r="AM11" i="14"/>
  <c r="M64" i="2"/>
  <c r="T64" i="2" s="1"/>
  <c r="M49" i="2"/>
  <c r="T49" i="2" s="1"/>
  <c r="S49" i="2"/>
  <c r="M56" i="2"/>
  <c r="T56" i="2" s="1"/>
  <c r="S56" i="2"/>
  <c r="AM56" i="2" s="1"/>
  <c r="M41" i="2"/>
  <c r="T41" i="2" s="1"/>
  <c r="S41" i="2"/>
  <c r="AC11" i="14"/>
  <c r="Q13" i="14"/>
  <c r="AC19" i="14"/>
  <c r="T34" i="6"/>
  <c r="W19" i="14"/>
  <c r="BW19" i="14"/>
  <c r="BU19" i="14"/>
  <c r="BW18" i="14"/>
  <c r="T66" i="5"/>
  <c r="M6" i="6"/>
  <c r="T6" i="6" s="1"/>
  <c r="U50" i="6"/>
  <c r="AK19" i="14"/>
  <c r="M7" i="6"/>
  <c r="T7" i="6" s="1"/>
  <c r="AU19" i="14"/>
  <c r="U42" i="6"/>
  <c r="M18" i="4"/>
  <c r="T18" i="4" s="1"/>
  <c r="BW17" i="14"/>
  <c r="BO18" i="14"/>
  <c r="M38" i="2"/>
  <c r="T38" i="2" s="1"/>
  <c r="BO19" i="14"/>
  <c r="U58" i="5"/>
  <c r="T58" i="5"/>
  <c r="BU18" i="14"/>
  <c r="S50" i="6"/>
  <c r="S50" i="5"/>
  <c r="U50" i="5"/>
  <c r="M17" i="5"/>
  <c r="T17" i="5" s="1"/>
  <c r="T50" i="6"/>
  <c r="T50" i="5"/>
  <c r="U58" i="6"/>
  <c r="T65" i="2"/>
  <c r="M54" i="2"/>
  <c r="T54" i="2" s="1"/>
  <c r="AM54" i="2"/>
  <c r="O13" i="14"/>
  <c r="BE19" i="14"/>
  <c r="U19" i="14"/>
  <c r="M62" i="2"/>
  <c r="T62" i="2" s="1"/>
  <c r="M30" i="2"/>
  <c r="T30" i="2" s="1"/>
  <c r="S42" i="6"/>
  <c r="AA19" i="14"/>
  <c r="BS11" i="14"/>
  <c r="BS52" i="14" s="1"/>
  <c r="S58" i="6"/>
  <c r="S59" i="6" s="1"/>
  <c r="U11" i="14"/>
  <c r="U52" i="14" s="1"/>
  <c r="BS18" i="14"/>
  <c r="O14" i="14"/>
  <c r="U18" i="14"/>
  <c r="M17" i="4"/>
  <c r="T17" i="4" s="1"/>
  <c r="S58" i="5"/>
  <c r="S59" i="5" s="1"/>
  <c r="S42" i="5"/>
  <c r="U17" i="14"/>
  <c r="M46" i="2"/>
  <c r="T46" i="2" s="1"/>
  <c r="M31" i="2"/>
  <c r="T31" i="2" s="1"/>
  <c r="AK12" i="14"/>
  <c r="M38" i="4"/>
  <c r="T38" i="4" s="1"/>
  <c r="M8" i="6"/>
  <c r="T8" i="6" s="1"/>
  <c r="BM7" i="2"/>
  <c r="Q7" i="2" s="1"/>
  <c r="M39" i="2"/>
  <c r="T39" i="2" s="1"/>
  <c r="M24" i="2"/>
  <c r="T58" i="6"/>
  <c r="AU11" i="14"/>
  <c r="AU52" i="14" s="1"/>
  <c r="AE21" i="14"/>
  <c r="AE60" i="14" s="1"/>
  <c r="AY11" i="14"/>
  <c r="AY52" i="14" s="1"/>
  <c r="AQ11" i="14"/>
  <c r="AQ52" i="14" s="1"/>
  <c r="AE11" i="14"/>
  <c r="AK21" i="14"/>
  <c r="AK60" i="14" s="1"/>
  <c r="BW21" i="14"/>
  <c r="AU21" i="14"/>
  <c r="AU60" i="14" s="1"/>
  <c r="BW11" i="14"/>
  <c r="BW52" i="14" s="1"/>
  <c r="BO21" i="14"/>
  <c r="BO60" i="14" s="1"/>
  <c r="BG21" i="14"/>
  <c r="BG60" i="14" s="1"/>
  <c r="BK21" i="14"/>
  <c r="BK60" i="14" s="1"/>
  <c r="BA11" i="14"/>
  <c r="BA52" i="14" s="1"/>
  <c r="U34" i="4"/>
  <c r="AG22" i="14"/>
  <c r="BI21" i="14"/>
  <c r="BI60" i="14" s="1"/>
  <c r="Q18" i="2"/>
  <c r="U18" i="2" s="1"/>
  <c r="W21" i="14"/>
  <c r="I18" i="2"/>
  <c r="S18" i="2" s="1"/>
  <c r="W11" i="14"/>
  <c r="BK11" i="14"/>
  <c r="BK52" i="14" s="1"/>
  <c r="BU21" i="14"/>
  <c r="AO21" i="14"/>
  <c r="AO60" i="14" s="1"/>
  <c r="AY21" i="14"/>
  <c r="AY60" i="14" s="1"/>
  <c r="AK11" i="14"/>
  <c r="AK52" i="14" s="1"/>
  <c r="AG17" i="14"/>
  <c r="AG21" i="14"/>
  <c r="AG60" i="14" s="1"/>
  <c r="Q17" i="2"/>
  <c r="U17" i="2" s="1"/>
  <c r="U21" i="14"/>
  <c r="BI11" i="14"/>
  <c r="BI52" i="14" s="1"/>
  <c r="BO11" i="14"/>
  <c r="BO52" i="14" s="1"/>
  <c r="AQ21" i="14"/>
  <c r="AQ60" i="14" s="1"/>
  <c r="AA21" i="14"/>
  <c r="AA60" i="14" s="1"/>
  <c r="BG11" i="14"/>
  <c r="BG52" i="14" s="1"/>
  <c r="BA21" i="14"/>
  <c r="BA60" i="14" s="1"/>
  <c r="AC21" i="14"/>
  <c r="BE21" i="14"/>
  <c r="BE60" i="14" s="1"/>
  <c r="AW21" i="14"/>
  <c r="AW60" i="14" s="1"/>
  <c r="AO11" i="14"/>
  <c r="AO52" i="14" s="1"/>
  <c r="AA11" i="14"/>
  <c r="AG11" i="14"/>
  <c r="BE11" i="14"/>
  <c r="BE52" i="14" s="1"/>
  <c r="BU11" i="14"/>
  <c r="AW11" i="14"/>
  <c r="AW52" i="14" s="1"/>
  <c r="AM6" i="6"/>
  <c r="F14" i="14"/>
  <c r="E14" i="14" s="1"/>
  <c r="O24" i="14"/>
  <c r="O23" i="14"/>
  <c r="O22" i="14"/>
  <c r="Q23" i="14"/>
  <c r="AM8" i="6"/>
  <c r="J14" i="14"/>
  <c r="I14" i="14" s="1"/>
  <c r="Q12" i="14"/>
  <c r="AM6" i="5"/>
  <c r="F13" i="14"/>
  <c r="E13" i="14" s="1"/>
  <c r="H14" i="14"/>
  <c r="G14" i="14" s="1"/>
  <c r="O12" i="14"/>
  <c r="J24" i="14"/>
  <c r="Q6" i="6"/>
  <c r="U6" i="6" s="1"/>
  <c r="Q7" i="6"/>
  <c r="U7" i="6" s="1"/>
  <c r="BE6" i="4"/>
  <c r="I6" i="4" s="1"/>
  <c r="S6" i="4" s="1"/>
  <c r="BI6" i="2"/>
  <c r="BE6" i="2"/>
  <c r="BE7" i="4"/>
  <c r="I7" i="4" s="1"/>
  <c r="S7" i="4" s="1"/>
  <c r="BI8" i="2"/>
  <c r="BI7" i="2"/>
  <c r="S34" i="5"/>
  <c r="U34" i="6"/>
  <c r="U34" i="5"/>
  <c r="S34" i="6"/>
  <c r="U42" i="5"/>
  <c r="BE7" i="2"/>
  <c r="I7" i="2" s="1"/>
  <c r="S7" i="2" s="1"/>
  <c r="BE8" i="2"/>
  <c r="I8" i="2" s="1"/>
  <c r="S8" i="2" s="1"/>
  <c r="U26" i="4"/>
  <c r="BM6" i="2"/>
  <c r="Q6" i="2" s="1"/>
  <c r="BE8" i="4"/>
  <c r="I8" i="4" s="1"/>
  <c r="S8" i="4" s="1"/>
  <c r="BM8" i="2"/>
  <c r="Q8" i="2" s="1"/>
  <c r="I17" i="2"/>
  <c r="BE8" i="5"/>
  <c r="I8" i="5" s="1"/>
  <c r="S8" i="5" s="1"/>
  <c r="BE7" i="5"/>
  <c r="I7" i="5" s="1"/>
  <c r="S7" i="5" s="1"/>
  <c r="S34" i="4"/>
  <c r="BM8" i="4"/>
  <c r="Q8" i="4" s="1"/>
  <c r="BM6" i="4"/>
  <c r="Q6" i="4" s="1"/>
  <c r="BI6" i="4"/>
  <c r="BI6" i="5"/>
  <c r="M6" i="5" s="1"/>
  <c r="T6" i="5" s="1"/>
  <c r="BM7" i="5"/>
  <c r="Q7" i="5" s="1"/>
  <c r="BI8" i="5"/>
  <c r="BI8" i="4"/>
  <c r="BI7" i="5"/>
  <c r="BM6" i="5"/>
  <c r="Q6" i="5" s="1"/>
  <c r="BI7" i="4"/>
  <c r="BM8" i="5"/>
  <c r="Q8" i="5" s="1"/>
  <c r="BM7" i="4"/>
  <c r="Q7" i="4" s="1"/>
  <c r="S26" i="5"/>
  <c r="T26" i="5"/>
  <c r="S26" i="4"/>
  <c r="U26" i="6"/>
  <c r="S26" i="6"/>
  <c r="U26" i="5"/>
  <c r="Q63" i="2"/>
  <c r="U63" i="2" s="1"/>
  <c r="AX39" i="4"/>
  <c r="I39" i="4" s="1"/>
  <c r="S39" i="4" s="1"/>
  <c r="Q38" i="4"/>
  <c r="U38" i="4" s="1"/>
  <c r="D44" i="2"/>
  <c r="D36" i="2"/>
  <c r="D28" i="2"/>
  <c r="D22" i="2"/>
  <c r="D15" i="2"/>
  <c r="D4" i="2"/>
  <c r="U7" i="4" l="1"/>
  <c r="H22" i="14"/>
  <c r="U6" i="4"/>
  <c r="F22" i="14"/>
  <c r="J22" i="14"/>
  <c r="U8" i="4"/>
  <c r="U7" i="5"/>
  <c r="H23" i="14"/>
  <c r="U8" i="5"/>
  <c r="J23" i="14"/>
  <c r="U6" i="5"/>
  <c r="F23" i="14"/>
  <c r="Q18" i="14"/>
  <c r="Q19" i="14"/>
  <c r="P19" i="14" s="1"/>
  <c r="T19" i="5"/>
  <c r="U6" i="2"/>
  <c r="F21" i="14"/>
  <c r="U8" i="2"/>
  <c r="J21" i="14"/>
  <c r="U7" i="2"/>
  <c r="H21" i="14"/>
  <c r="W59" i="14"/>
  <c r="AM51" i="14"/>
  <c r="W16" i="14"/>
  <c r="W39" i="14" s="1"/>
  <c r="T25" i="2"/>
  <c r="AC38" i="14"/>
  <c r="AB11" i="14"/>
  <c r="AC59" i="14"/>
  <c r="AB21" i="14"/>
  <c r="W50" i="14"/>
  <c r="V11" i="14"/>
  <c r="AM59" i="14"/>
  <c r="W60" i="14"/>
  <c r="AM60" i="14"/>
  <c r="AG38" i="14"/>
  <c r="AG52" i="14"/>
  <c r="AA38" i="14"/>
  <c r="AA52" i="14"/>
  <c r="W52" i="14"/>
  <c r="AC60" i="14"/>
  <c r="BU40" i="14"/>
  <c r="BU60" i="14"/>
  <c r="U40" i="14"/>
  <c r="U60" i="14"/>
  <c r="AE38" i="14"/>
  <c r="AE52" i="14"/>
  <c r="BU38" i="14"/>
  <c r="BU52" i="14"/>
  <c r="BW40" i="14"/>
  <c r="BW60" i="14"/>
  <c r="AC52" i="14"/>
  <c r="AM52" i="14"/>
  <c r="W40" i="14"/>
  <c r="W51" i="14"/>
  <c r="AG40" i="14"/>
  <c r="AC50" i="14"/>
  <c r="BD11" i="14"/>
  <c r="BD52" i="14" s="1"/>
  <c r="BE51" i="14"/>
  <c r="AW59" i="14"/>
  <c r="BF11" i="14"/>
  <c r="BF52" i="14" s="1"/>
  <c r="BG51" i="14"/>
  <c r="BH11" i="14"/>
  <c r="BH52" i="14" s="1"/>
  <c r="BI51" i="14"/>
  <c r="BU58" i="14"/>
  <c r="BU59" i="14"/>
  <c r="BO59" i="14"/>
  <c r="AK59" i="14"/>
  <c r="AE59" i="14"/>
  <c r="AE58" i="14"/>
  <c r="W58" i="14"/>
  <c r="AC51" i="14"/>
  <c r="AC40" i="14"/>
  <c r="AO51" i="14"/>
  <c r="BO51" i="14"/>
  <c r="AO59" i="14"/>
  <c r="AY51" i="14"/>
  <c r="U51" i="14"/>
  <c r="U50" i="14"/>
  <c r="AG51" i="14"/>
  <c r="AG50" i="14"/>
  <c r="BE59" i="14"/>
  <c r="AA59" i="14"/>
  <c r="AA58" i="14"/>
  <c r="U59" i="14"/>
  <c r="U58" i="14"/>
  <c r="AK51" i="14"/>
  <c r="AK50" i="14"/>
  <c r="BJ11" i="14"/>
  <c r="BJ52" i="14" s="1"/>
  <c r="BK51" i="14"/>
  <c r="BA51" i="14"/>
  <c r="BW51" i="14"/>
  <c r="BW50" i="14"/>
  <c r="AE51" i="14"/>
  <c r="AE50" i="14"/>
  <c r="AK38" i="14"/>
  <c r="BS51" i="14"/>
  <c r="W38" i="14"/>
  <c r="AA40" i="14"/>
  <c r="U38" i="14"/>
  <c r="AC58" i="14"/>
  <c r="BU51" i="14"/>
  <c r="BU50" i="14"/>
  <c r="BA59" i="14"/>
  <c r="AG58" i="14"/>
  <c r="AG59" i="14"/>
  <c r="BG59" i="14"/>
  <c r="BW59" i="14"/>
  <c r="BW58" i="14"/>
  <c r="AW51" i="14"/>
  <c r="AA51" i="14"/>
  <c r="AA50" i="14"/>
  <c r="AQ59" i="14"/>
  <c r="AY59" i="14"/>
  <c r="BI59" i="14"/>
  <c r="BK59" i="14"/>
  <c r="AU59" i="14"/>
  <c r="AQ51" i="14"/>
  <c r="AU51" i="14"/>
  <c r="AE40" i="14"/>
  <c r="BW38" i="14"/>
  <c r="H19" i="14"/>
  <c r="O19" i="14"/>
  <c r="AO16" i="14"/>
  <c r="AO56" i="14" s="1"/>
  <c r="O18" i="14"/>
  <c r="BK16" i="14"/>
  <c r="BK56" i="14" s="1"/>
  <c r="AW16" i="14"/>
  <c r="AW56" i="14" s="1"/>
  <c r="BO16" i="14"/>
  <c r="BO56" i="14" s="1"/>
  <c r="AG16" i="14"/>
  <c r="AG56" i="14" s="1"/>
  <c r="AY16" i="14"/>
  <c r="AY56" i="14" s="1"/>
  <c r="Q17" i="14"/>
  <c r="AK16" i="14"/>
  <c r="AK56" i="14" s="1"/>
  <c r="AQ16" i="14"/>
  <c r="AQ56" i="14" s="1"/>
  <c r="BE16" i="14"/>
  <c r="BE56" i="14" s="1"/>
  <c r="AE16" i="14"/>
  <c r="AE56" i="14" s="1"/>
  <c r="BA16" i="14"/>
  <c r="BA56" i="14" s="1"/>
  <c r="BG16" i="14"/>
  <c r="BG56" i="14" s="1"/>
  <c r="BI16" i="14"/>
  <c r="BI56" i="14" s="1"/>
  <c r="F19" i="14"/>
  <c r="T26" i="6"/>
  <c r="Q21" i="14"/>
  <c r="U19" i="2"/>
  <c r="U16" i="14"/>
  <c r="T24" i="2"/>
  <c r="M63" i="2"/>
  <c r="AM16" i="14"/>
  <c r="T42" i="2"/>
  <c r="M39" i="4"/>
  <c r="T39" i="4" s="1"/>
  <c r="AC16" i="14"/>
  <c r="T34" i="2"/>
  <c r="AM7" i="5"/>
  <c r="S17" i="5"/>
  <c r="S19" i="5" s="1"/>
  <c r="AM7" i="2"/>
  <c r="S17" i="2"/>
  <c r="S19" i="2" s="1"/>
  <c r="AM7" i="4"/>
  <c r="S17" i="4"/>
  <c r="S19" i="4" s="1"/>
  <c r="M18" i="2"/>
  <c r="T18" i="2" s="1"/>
  <c r="BW16" i="14"/>
  <c r="T19" i="4"/>
  <c r="U34" i="2"/>
  <c r="M6" i="4"/>
  <c r="T6" i="4" s="1"/>
  <c r="J19" i="14"/>
  <c r="M7" i="4"/>
  <c r="T7" i="4" s="1"/>
  <c r="M8" i="2"/>
  <c r="T8" i="2" s="1"/>
  <c r="M7" i="5"/>
  <c r="T7" i="5" s="1"/>
  <c r="AU16" i="14"/>
  <c r="AU56" i="14" s="1"/>
  <c r="Q11" i="14"/>
  <c r="BU16" i="14"/>
  <c r="BU56" i="14" s="1"/>
  <c r="AA16" i="14"/>
  <c r="AA56" i="14" s="1"/>
  <c r="T10" i="6"/>
  <c r="M17" i="2"/>
  <c r="T17" i="2" s="1"/>
  <c r="O17" i="14"/>
  <c r="I6" i="2"/>
  <c r="M6" i="2" s="1"/>
  <c r="T6" i="2" s="1"/>
  <c r="S58" i="2"/>
  <c r="S59" i="2" s="1"/>
  <c r="M8" i="4"/>
  <c r="T8" i="4" s="1"/>
  <c r="M8" i="5"/>
  <c r="T8" i="5" s="1"/>
  <c r="M7" i="2"/>
  <c r="T7" i="2" s="1"/>
  <c r="S50" i="2"/>
  <c r="U58" i="2"/>
  <c r="T58" i="2"/>
  <c r="T50" i="2"/>
  <c r="U19" i="6"/>
  <c r="O21" i="14"/>
  <c r="O60" i="14" s="1"/>
  <c r="U50" i="2"/>
  <c r="AK22" i="14"/>
  <c r="AM12" i="14"/>
  <c r="BQ21" i="14"/>
  <c r="U19" i="5"/>
  <c r="T19" i="6"/>
  <c r="AK17" i="14"/>
  <c r="BQ11" i="14"/>
  <c r="O11" i="14"/>
  <c r="F24" i="14"/>
  <c r="S10" i="6"/>
  <c r="X29" i="1" s="1"/>
  <c r="I78" i="13" s="1"/>
  <c r="H12" i="14"/>
  <c r="G12" i="14" s="1"/>
  <c r="U10" i="6"/>
  <c r="H24" i="14"/>
  <c r="F18" i="14"/>
  <c r="H13" i="14"/>
  <c r="G13" i="14" s="1"/>
  <c r="AM8" i="2"/>
  <c r="J11" i="14"/>
  <c r="J52" i="14" s="1"/>
  <c r="AM8" i="5"/>
  <c r="J13" i="14"/>
  <c r="I13" i="14" s="1"/>
  <c r="AM8" i="4"/>
  <c r="J12" i="14"/>
  <c r="H11" i="14"/>
  <c r="AM6" i="4"/>
  <c r="F12" i="14"/>
  <c r="S42" i="2"/>
  <c r="U42" i="2"/>
  <c r="S34" i="2"/>
  <c r="S26" i="2"/>
  <c r="U26" i="2"/>
  <c r="Q64" i="2"/>
  <c r="AX40" i="4"/>
  <c r="I40" i="4" s="1"/>
  <c r="S40" i="4" s="1"/>
  <c r="Q39" i="4"/>
  <c r="U39" i="4" s="1"/>
  <c r="G2" i="1"/>
  <c r="F2" i="1"/>
  <c r="D2" i="1"/>
  <c r="G7" i="1"/>
  <c r="P22" i="14" s="1"/>
  <c r="G8" i="1"/>
  <c r="G9" i="1"/>
  <c r="AL21" i="14" s="1"/>
  <c r="G10" i="1"/>
  <c r="G11" i="1"/>
  <c r="G12" i="1"/>
  <c r="G6" i="1"/>
  <c r="F7" i="1"/>
  <c r="F8" i="1"/>
  <c r="AF19" i="14" s="1"/>
  <c r="F9" i="1"/>
  <c r="AP19" i="14" s="1"/>
  <c r="F10" i="1"/>
  <c r="F11" i="1"/>
  <c r="F12" i="1"/>
  <c r="BV17" i="14" s="1"/>
  <c r="F6" i="1"/>
  <c r="V17" i="14" s="1"/>
  <c r="E7" i="1"/>
  <c r="P12" i="14" s="1"/>
  <c r="E8" i="1"/>
  <c r="E9" i="1"/>
  <c r="E10" i="1"/>
  <c r="AX11" i="14" s="1"/>
  <c r="E12" i="1"/>
  <c r="E6" i="1"/>
  <c r="D7" i="1"/>
  <c r="D8" i="1"/>
  <c r="D9" i="1"/>
  <c r="D10" i="1"/>
  <c r="D12" i="1"/>
  <c r="C4" i="1"/>
  <c r="C14" i="1"/>
  <c r="U10" i="4" l="1"/>
  <c r="J31" i="1" s="1"/>
  <c r="I84" i="13" s="1"/>
  <c r="J58" i="14"/>
  <c r="U10" i="5"/>
  <c r="U11" i="5" s="1"/>
  <c r="I124" i="13" s="1"/>
  <c r="F59" i="14"/>
  <c r="G23" i="14"/>
  <c r="H59" i="14"/>
  <c r="F58" i="14"/>
  <c r="AN11" i="14"/>
  <c r="AL13" i="14"/>
  <c r="AL14" i="14"/>
  <c r="E18" i="14"/>
  <c r="AL12" i="14"/>
  <c r="AL19" i="14"/>
  <c r="T11" i="14"/>
  <c r="V13" i="14"/>
  <c r="V14" i="14"/>
  <c r="V12" i="14"/>
  <c r="Z11" i="14"/>
  <c r="AB13" i="14"/>
  <c r="AB14" i="14"/>
  <c r="AB12" i="14"/>
  <c r="G24" i="14"/>
  <c r="AL11" i="14"/>
  <c r="P18" i="14"/>
  <c r="AB17" i="14"/>
  <c r="P14" i="14"/>
  <c r="P13" i="14"/>
  <c r="AB19" i="14"/>
  <c r="BR11" i="14"/>
  <c r="BR14" i="14"/>
  <c r="BP14" i="14"/>
  <c r="BT14" i="14"/>
  <c r="BP13" i="14"/>
  <c r="BV14" i="14"/>
  <c r="V24" i="14"/>
  <c r="V22" i="14"/>
  <c r="V23" i="14"/>
  <c r="V19" i="14"/>
  <c r="BR19" i="14"/>
  <c r="P24" i="14"/>
  <c r="AB18" i="14"/>
  <c r="BV19" i="14"/>
  <c r="BT19" i="14"/>
  <c r="AL24" i="14"/>
  <c r="AL23" i="14"/>
  <c r="BP24" i="14"/>
  <c r="BV24" i="14"/>
  <c r="BT24" i="14"/>
  <c r="BP23" i="14"/>
  <c r="BR24" i="14"/>
  <c r="AF22" i="14"/>
  <c r="AB22" i="14"/>
  <c r="AB24" i="14"/>
  <c r="AB23" i="14"/>
  <c r="BP11" i="14"/>
  <c r="BP21" i="14"/>
  <c r="P17" i="14"/>
  <c r="V21" i="14"/>
  <c r="G22" i="14"/>
  <c r="BP19" i="14"/>
  <c r="V18" i="14"/>
  <c r="P23" i="14"/>
  <c r="G19" i="14"/>
  <c r="AL18" i="14"/>
  <c r="BP18" i="14"/>
  <c r="E21" i="14"/>
  <c r="H58" i="14"/>
  <c r="J60" i="14"/>
  <c r="W54" i="14"/>
  <c r="AK39" i="14"/>
  <c r="G21" i="14"/>
  <c r="F40" i="14"/>
  <c r="J59" i="14"/>
  <c r="W56" i="14"/>
  <c r="J40" i="14"/>
  <c r="AC54" i="14"/>
  <c r="AB16" i="14"/>
  <c r="T63" i="2"/>
  <c r="V63" i="2" s="1"/>
  <c r="Q59" i="14"/>
  <c r="P21" i="14"/>
  <c r="G11" i="14"/>
  <c r="G52" i="14" s="1"/>
  <c r="AM55" i="14"/>
  <c r="AL16" i="14"/>
  <c r="W55" i="14"/>
  <c r="V16" i="14"/>
  <c r="Q38" i="14"/>
  <c r="P11" i="14"/>
  <c r="T26" i="2"/>
  <c r="T27" i="2" s="1"/>
  <c r="S66" i="2"/>
  <c r="S67" i="2" s="1"/>
  <c r="I182" i="13" s="1"/>
  <c r="AM63" i="2"/>
  <c r="O38" i="14"/>
  <c r="O52" i="14"/>
  <c r="U39" i="14"/>
  <c r="U56" i="14"/>
  <c r="AM56" i="14"/>
  <c r="BQ51" i="14"/>
  <c r="BQ52" i="14"/>
  <c r="BQ59" i="14"/>
  <c r="BQ60" i="14"/>
  <c r="Q60" i="14"/>
  <c r="BW39" i="14"/>
  <c r="BW56" i="14"/>
  <c r="AC56" i="14"/>
  <c r="H40" i="14"/>
  <c r="H60" i="14"/>
  <c r="Q52" i="14"/>
  <c r="F60" i="14"/>
  <c r="H52" i="14"/>
  <c r="AC39" i="14"/>
  <c r="AN65" i="5"/>
  <c r="K187" i="13"/>
  <c r="K186" i="13"/>
  <c r="K189" i="13"/>
  <c r="K188" i="13"/>
  <c r="R30" i="1"/>
  <c r="I96" i="13" s="1"/>
  <c r="BN11" i="14"/>
  <c r="K183" i="13"/>
  <c r="K182" i="13"/>
  <c r="K185" i="13"/>
  <c r="K184" i="13"/>
  <c r="BV13" i="14"/>
  <c r="BT13" i="14"/>
  <c r="BR13" i="14"/>
  <c r="BV12" i="14"/>
  <c r="BT12" i="14"/>
  <c r="U64" i="2"/>
  <c r="U66" i="2" s="1"/>
  <c r="D31" i="1" s="1"/>
  <c r="I98" i="13" s="1"/>
  <c r="BT11" i="14"/>
  <c r="BV11" i="14"/>
  <c r="BV18" i="14"/>
  <c r="K193" i="13"/>
  <c r="K192" i="13"/>
  <c r="K191" i="13"/>
  <c r="K190" i="13"/>
  <c r="BT22" i="14"/>
  <c r="BV22" i="14"/>
  <c r="BV23" i="14"/>
  <c r="BT23" i="14"/>
  <c r="BR23" i="14"/>
  <c r="Q40" i="14"/>
  <c r="BV21" i="14"/>
  <c r="BT21" i="14"/>
  <c r="BT17" i="14"/>
  <c r="BT18" i="14"/>
  <c r="AC55" i="14"/>
  <c r="BR18" i="14"/>
  <c r="Q51" i="14"/>
  <c r="BF51" i="14"/>
  <c r="Q50" i="14"/>
  <c r="BG55" i="14"/>
  <c r="AG55" i="14"/>
  <c r="AG54" i="14"/>
  <c r="Q58" i="14"/>
  <c r="BH51" i="14"/>
  <c r="BD51" i="14"/>
  <c r="H51" i="14"/>
  <c r="O59" i="14"/>
  <c r="O58" i="14"/>
  <c r="BE55" i="14"/>
  <c r="AY55" i="14"/>
  <c r="BK55" i="14"/>
  <c r="AU55" i="14"/>
  <c r="I12" i="14"/>
  <c r="J38" i="14"/>
  <c r="I11" i="14"/>
  <c r="I52" i="14" s="1"/>
  <c r="J51" i="14"/>
  <c r="J50" i="14"/>
  <c r="AJ22" i="14"/>
  <c r="AK40" i="14"/>
  <c r="AA55" i="14"/>
  <c r="AA54" i="14"/>
  <c r="AA39" i="14"/>
  <c r="BA55" i="14"/>
  <c r="AK55" i="14"/>
  <c r="AK54" i="14"/>
  <c r="BO55" i="14"/>
  <c r="AO55" i="14"/>
  <c r="AG39" i="14"/>
  <c r="O40" i="14"/>
  <c r="H50" i="14"/>
  <c r="H38" i="14"/>
  <c r="BI55" i="14"/>
  <c r="AM50" i="14"/>
  <c r="AM38" i="14"/>
  <c r="BW55" i="14"/>
  <c r="BW54" i="14"/>
  <c r="BV16" i="14"/>
  <c r="AQ55" i="14"/>
  <c r="E12" i="14"/>
  <c r="N11" i="14"/>
  <c r="O51" i="14"/>
  <c r="O50" i="14"/>
  <c r="BU55" i="14"/>
  <c r="BU54" i="14"/>
  <c r="BT16" i="14"/>
  <c r="BU39" i="14"/>
  <c r="U55" i="14"/>
  <c r="U54" i="14"/>
  <c r="AE55" i="14"/>
  <c r="AE54" i="14"/>
  <c r="AW55" i="14"/>
  <c r="BJ51" i="14"/>
  <c r="AK58" i="14"/>
  <c r="AE39" i="14"/>
  <c r="S20" i="5"/>
  <c r="BQ16" i="14"/>
  <c r="BP16" i="14" s="1"/>
  <c r="AT23" i="14"/>
  <c r="AT24" i="14"/>
  <c r="AX24" i="14"/>
  <c r="AX23" i="14"/>
  <c r="AV24" i="14"/>
  <c r="AV23" i="14"/>
  <c r="AZ23" i="14"/>
  <c r="AZ24" i="14"/>
  <c r="AV19" i="14"/>
  <c r="AT18" i="14"/>
  <c r="AZ18" i="14"/>
  <c r="AX19" i="14"/>
  <c r="AX18" i="14"/>
  <c r="T22" i="14"/>
  <c r="T24" i="14"/>
  <c r="T23" i="14"/>
  <c r="U43" i="5"/>
  <c r="AP23" i="14"/>
  <c r="AJ23" i="14"/>
  <c r="AJ24" i="14"/>
  <c r="AN24" i="14"/>
  <c r="AN23" i="14"/>
  <c r="AP24" i="14"/>
  <c r="E24" i="14"/>
  <c r="AT19" i="14"/>
  <c r="AZ19" i="14"/>
  <c r="N13" i="14"/>
  <c r="AP18" i="14"/>
  <c r="N14" i="14"/>
  <c r="AT21" i="14"/>
  <c r="AJ11" i="14"/>
  <c r="AD11" i="14"/>
  <c r="T21" i="14"/>
  <c r="N24" i="14"/>
  <c r="AJ18" i="14"/>
  <c r="I22" i="14"/>
  <c r="AD21" i="14"/>
  <c r="AX16" i="14"/>
  <c r="AZ21" i="14"/>
  <c r="AV13" i="14"/>
  <c r="AZ14" i="14"/>
  <c r="AX13" i="14"/>
  <c r="AX51" i="14" s="1"/>
  <c r="AT14" i="14"/>
  <c r="AX14" i="14"/>
  <c r="AX52" i="14" s="1"/>
  <c r="AT13" i="14"/>
  <c r="AZ13" i="14"/>
  <c r="AV14" i="14"/>
  <c r="N21" i="14"/>
  <c r="N17" i="14"/>
  <c r="Z16" i="14"/>
  <c r="AJ19" i="14"/>
  <c r="AD19" i="14"/>
  <c r="T18" i="14"/>
  <c r="AN16" i="14"/>
  <c r="AV16" i="14"/>
  <c r="AT11" i="14"/>
  <c r="N22" i="14"/>
  <c r="T19" i="14"/>
  <c r="AP21" i="14"/>
  <c r="AP60" i="14" s="1"/>
  <c r="AN19" i="14"/>
  <c r="AJ16" i="14"/>
  <c r="S35" i="5"/>
  <c r="AF12" i="14"/>
  <c r="Z14" i="14"/>
  <c r="AF13" i="14"/>
  <c r="Z13" i="14"/>
  <c r="AM30" i="2"/>
  <c r="AD14" i="14"/>
  <c r="AF14" i="14"/>
  <c r="AD12" i="14"/>
  <c r="AD13" i="14"/>
  <c r="Z12" i="14"/>
  <c r="U35" i="4"/>
  <c r="AD22" i="14"/>
  <c r="AF24" i="14"/>
  <c r="Z23" i="14"/>
  <c r="AD24" i="14"/>
  <c r="AD23" i="14"/>
  <c r="Z22" i="14"/>
  <c r="Z24" i="14"/>
  <c r="AF23" i="14"/>
  <c r="I23" i="14"/>
  <c r="E23" i="14"/>
  <c r="AM39" i="2"/>
  <c r="AP14" i="14"/>
  <c r="AM38" i="2"/>
  <c r="AP13" i="14"/>
  <c r="AJ13" i="14"/>
  <c r="AJ14" i="14"/>
  <c r="AN13" i="14"/>
  <c r="AN14" i="14"/>
  <c r="AN52" i="14" s="1"/>
  <c r="Z17" i="14"/>
  <c r="AF18" i="14"/>
  <c r="AD17" i="14"/>
  <c r="Z18" i="14"/>
  <c r="E19" i="14"/>
  <c r="T17" i="14"/>
  <c r="N19" i="14"/>
  <c r="AL60" i="14"/>
  <c r="AP11" i="14"/>
  <c r="AD16" i="14"/>
  <c r="AZ16" i="14"/>
  <c r="AN18" i="14"/>
  <c r="E22" i="14"/>
  <c r="AF16" i="14"/>
  <c r="AF56" i="14" s="1"/>
  <c r="AV21" i="14"/>
  <c r="AV18" i="14"/>
  <c r="AJ21" i="14"/>
  <c r="AF17" i="14"/>
  <c r="N23" i="14"/>
  <c r="Y29" i="1"/>
  <c r="I93" i="13" s="1"/>
  <c r="T14" i="14"/>
  <c r="T13" i="14"/>
  <c r="T51" i="14" s="1"/>
  <c r="T12" i="14"/>
  <c r="AJ17" i="14"/>
  <c r="I19" i="14"/>
  <c r="T16" i="14"/>
  <c r="Z19" i="14"/>
  <c r="AD18" i="14"/>
  <c r="AF21" i="14"/>
  <c r="I24" i="14"/>
  <c r="I21" i="14"/>
  <c r="AP16" i="14"/>
  <c r="AP56" i="14" s="1"/>
  <c r="AN21" i="14"/>
  <c r="AV11" i="14"/>
  <c r="N18" i="14"/>
  <c r="AX21" i="14"/>
  <c r="AF11" i="14"/>
  <c r="AJ12" i="14"/>
  <c r="AZ11" i="14"/>
  <c r="Z21" i="14"/>
  <c r="N12" i="14"/>
  <c r="J18" i="14"/>
  <c r="I18" i="14" s="1"/>
  <c r="AM17" i="14"/>
  <c r="AL17" i="14" s="1"/>
  <c r="BF23" i="14"/>
  <c r="BJ24" i="14"/>
  <c r="BD24" i="14"/>
  <c r="BF24" i="14"/>
  <c r="BJ23" i="14"/>
  <c r="BH24" i="14"/>
  <c r="BH23" i="14"/>
  <c r="BD23" i="14"/>
  <c r="R31" i="1"/>
  <c r="I100" i="13" s="1"/>
  <c r="BH19" i="14"/>
  <c r="BJ19" i="14"/>
  <c r="BH18" i="14"/>
  <c r="BF18" i="14"/>
  <c r="BF8" i="14" s="1"/>
  <c r="BJ18" i="14"/>
  <c r="BF19" i="14"/>
  <c r="Y31" i="1"/>
  <c r="I101" i="13" s="1"/>
  <c r="BD19" i="14"/>
  <c r="BN18" i="14"/>
  <c r="BH21" i="14"/>
  <c r="BD16" i="14"/>
  <c r="BN16" i="14"/>
  <c r="AM65" i="4"/>
  <c r="V65" i="6"/>
  <c r="AM65" i="6"/>
  <c r="BN13" i="14"/>
  <c r="AM65" i="5"/>
  <c r="V65" i="4"/>
  <c r="BN14" i="14"/>
  <c r="R29" i="1"/>
  <c r="I92" i="13" s="1"/>
  <c r="V65" i="5"/>
  <c r="BH16" i="14"/>
  <c r="BJ16" i="14"/>
  <c r="AN65" i="6"/>
  <c r="AN65" i="4"/>
  <c r="AO65" i="5"/>
  <c r="AO65" i="4"/>
  <c r="AO65" i="6"/>
  <c r="BN24" i="14"/>
  <c r="BN23" i="14"/>
  <c r="Y30" i="1"/>
  <c r="I97" i="13" s="1"/>
  <c r="BF16" i="14"/>
  <c r="BD18" i="14"/>
  <c r="BN21" i="14"/>
  <c r="BN19" i="14"/>
  <c r="BJ21" i="14"/>
  <c r="BD21" i="14"/>
  <c r="BF21" i="14"/>
  <c r="AM22" i="14"/>
  <c r="AL22" i="14" s="1"/>
  <c r="AO39" i="4"/>
  <c r="H17" i="14"/>
  <c r="G17" i="14" s="1"/>
  <c r="T10" i="4"/>
  <c r="AT16" i="14"/>
  <c r="S6" i="2"/>
  <c r="AM6" i="2" s="1"/>
  <c r="T19" i="2"/>
  <c r="T20" i="2" s="1"/>
  <c r="Q16" i="14"/>
  <c r="H18" i="14"/>
  <c r="G18" i="14" s="1"/>
  <c r="J16" i="14"/>
  <c r="J56" i="14" s="1"/>
  <c r="F17" i="14"/>
  <c r="H16" i="14"/>
  <c r="J17" i="14"/>
  <c r="F11" i="14"/>
  <c r="F52" i="14" s="1"/>
  <c r="O16" i="14"/>
  <c r="O56" i="14" s="1"/>
  <c r="F16" i="14"/>
  <c r="F56" i="14" s="1"/>
  <c r="U20" i="2"/>
  <c r="AO12" i="14"/>
  <c r="M40" i="4"/>
  <c r="T40" i="4" s="1"/>
  <c r="T51" i="2"/>
  <c r="AN38" i="4"/>
  <c r="BS21" i="14"/>
  <c r="BS60" i="14" s="1"/>
  <c r="T20" i="6"/>
  <c r="BS16" i="14"/>
  <c r="BS56" i="14" s="1"/>
  <c r="T10" i="5"/>
  <c r="T11" i="5" s="1"/>
  <c r="I120" i="13" s="1"/>
  <c r="T10" i="2"/>
  <c r="T11" i="2" s="1"/>
  <c r="I118" i="13" s="1"/>
  <c r="S10" i="5"/>
  <c r="S11" i="5" s="1"/>
  <c r="I116" i="13" s="1"/>
  <c r="S11" i="6"/>
  <c r="I117" i="13" s="1"/>
  <c r="S10" i="4"/>
  <c r="S11" i="4" s="1"/>
  <c r="I115" i="13" s="1"/>
  <c r="U10" i="2"/>
  <c r="C31" i="1" s="1"/>
  <c r="I83" i="13" s="1"/>
  <c r="U27" i="5"/>
  <c r="T27" i="6"/>
  <c r="V7" i="5"/>
  <c r="AO39" i="2"/>
  <c r="U35" i="2"/>
  <c r="S35" i="4"/>
  <c r="AN65" i="2"/>
  <c r="AO57" i="5"/>
  <c r="AO55" i="6"/>
  <c r="AO56" i="5"/>
  <c r="AO55" i="5"/>
  <c r="AO56" i="6"/>
  <c r="AO57" i="6"/>
  <c r="AO54" i="6"/>
  <c r="AO54" i="5"/>
  <c r="AO56" i="2"/>
  <c r="U59" i="6"/>
  <c r="U59" i="5"/>
  <c r="AO55" i="2"/>
  <c r="AO57" i="2"/>
  <c r="AO54" i="2"/>
  <c r="AM39" i="4"/>
  <c r="U59" i="2"/>
  <c r="AO47" i="6"/>
  <c r="AO48" i="5"/>
  <c r="AO46" i="5"/>
  <c r="AO49" i="6"/>
  <c r="AO46" i="6"/>
  <c r="AO49" i="5"/>
  <c r="AO47" i="5"/>
  <c r="AO48" i="6"/>
  <c r="U51" i="5"/>
  <c r="AO48" i="2"/>
  <c r="U51" i="6"/>
  <c r="AO47" i="2"/>
  <c r="AO49" i="2"/>
  <c r="AO46" i="2"/>
  <c r="AM65" i="2"/>
  <c r="V65" i="2"/>
  <c r="K173" i="13"/>
  <c r="K174" i="13"/>
  <c r="K175" i="13"/>
  <c r="K176" i="13"/>
  <c r="AO41" i="6"/>
  <c r="AO40" i="6"/>
  <c r="AO41" i="5"/>
  <c r="AO38" i="5"/>
  <c r="AO38" i="6"/>
  <c r="AO40" i="5"/>
  <c r="AO40" i="2"/>
  <c r="U43" i="6"/>
  <c r="AO38" i="2"/>
  <c r="AO41" i="2"/>
  <c r="AO39" i="6"/>
  <c r="AO39" i="5"/>
  <c r="AN6" i="4"/>
  <c r="U27" i="4"/>
  <c r="U35" i="5"/>
  <c r="AO38" i="4"/>
  <c r="AO65" i="2"/>
  <c r="K156" i="13"/>
  <c r="K158" i="13"/>
  <c r="K159" i="13"/>
  <c r="K157" i="13"/>
  <c r="AO33" i="6"/>
  <c r="AO32" i="6"/>
  <c r="AO30" i="6"/>
  <c r="AO30" i="4"/>
  <c r="AO32" i="5"/>
  <c r="AO30" i="5"/>
  <c r="AO32" i="4"/>
  <c r="AO33" i="5"/>
  <c r="AO31" i="4"/>
  <c r="AO33" i="2"/>
  <c r="AO32" i="2"/>
  <c r="AO31" i="5"/>
  <c r="AO30" i="2"/>
  <c r="AO31" i="6"/>
  <c r="AO31" i="2"/>
  <c r="AO33" i="4"/>
  <c r="K122" i="13"/>
  <c r="K124" i="13"/>
  <c r="K125" i="13"/>
  <c r="K123" i="13"/>
  <c r="AO9" i="6"/>
  <c r="AO9" i="5"/>
  <c r="AO9" i="4"/>
  <c r="AO9" i="2"/>
  <c r="AO6" i="4"/>
  <c r="AO8" i="4"/>
  <c r="AO7" i="5"/>
  <c r="AO6" i="5"/>
  <c r="AO7" i="6"/>
  <c r="AO6" i="6"/>
  <c r="AO8" i="5"/>
  <c r="AO7" i="2"/>
  <c r="AO7" i="4"/>
  <c r="AO8" i="6"/>
  <c r="U11" i="6"/>
  <c r="I125" i="13" s="1"/>
  <c r="AO8" i="2"/>
  <c r="AO6" i="2"/>
  <c r="U43" i="2"/>
  <c r="U20" i="6"/>
  <c r="U51" i="2"/>
  <c r="U35" i="6"/>
  <c r="K153" i="13"/>
  <c r="K154" i="13"/>
  <c r="K155" i="13"/>
  <c r="K152" i="13"/>
  <c r="AN30" i="5"/>
  <c r="AN32" i="5"/>
  <c r="AN33" i="5"/>
  <c r="AN32" i="6"/>
  <c r="AN32" i="4"/>
  <c r="AN30" i="6"/>
  <c r="AN33" i="6"/>
  <c r="AN30" i="4"/>
  <c r="T35" i="5"/>
  <c r="AN32" i="2"/>
  <c r="AN31" i="6"/>
  <c r="AN30" i="2"/>
  <c r="AN33" i="4"/>
  <c r="AN31" i="4"/>
  <c r="AN31" i="5"/>
  <c r="T35" i="6"/>
  <c r="AN33" i="2"/>
  <c r="AN31" i="2"/>
  <c r="AN56" i="5"/>
  <c r="AN56" i="6"/>
  <c r="AN57" i="5"/>
  <c r="AN57" i="6"/>
  <c r="AN54" i="6"/>
  <c r="V55" i="6"/>
  <c r="V54" i="6"/>
  <c r="V57" i="6"/>
  <c r="V55" i="5"/>
  <c r="AN55" i="6"/>
  <c r="AN54" i="5"/>
  <c r="V56" i="5"/>
  <c r="V57" i="5"/>
  <c r="AN55" i="5"/>
  <c r="V56" i="6"/>
  <c r="V54" i="5"/>
  <c r="T59" i="5"/>
  <c r="AN57" i="2"/>
  <c r="V54" i="2"/>
  <c r="V56" i="2"/>
  <c r="V57" i="2"/>
  <c r="T59" i="6"/>
  <c r="AN56" i="2"/>
  <c r="AN54" i="2"/>
  <c r="AN55" i="2"/>
  <c r="V55" i="2"/>
  <c r="AN47" i="6"/>
  <c r="AN46" i="6"/>
  <c r="AN47" i="5"/>
  <c r="AN48" i="2"/>
  <c r="AN46" i="5"/>
  <c r="AN49" i="5"/>
  <c r="AN48" i="5"/>
  <c r="AN48" i="6"/>
  <c r="AN49" i="6"/>
  <c r="AN49" i="2"/>
  <c r="T51" i="6"/>
  <c r="T51" i="5"/>
  <c r="AN47" i="2"/>
  <c r="AN46" i="2"/>
  <c r="V39" i="2"/>
  <c r="AN39" i="2"/>
  <c r="V24" i="2"/>
  <c r="K170" i="13"/>
  <c r="K169" i="13"/>
  <c r="K171" i="13"/>
  <c r="K172" i="13"/>
  <c r="AN41" i="6"/>
  <c r="AN40" i="6"/>
  <c r="AN38" i="6"/>
  <c r="AN41" i="5"/>
  <c r="AN38" i="5"/>
  <c r="AN40" i="5"/>
  <c r="AN39" i="6"/>
  <c r="AN41" i="2"/>
  <c r="AN39" i="5"/>
  <c r="T43" i="6"/>
  <c r="AN38" i="2"/>
  <c r="T43" i="5"/>
  <c r="AN40" i="2"/>
  <c r="T35" i="2"/>
  <c r="T43" i="2"/>
  <c r="T35" i="4"/>
  <c r="T59" i="2"/>
  <c r="AM47" i="5"/>
  <c r="V48" i="6"/>
  <c r="V46" i="5"/>
  <c r="V47" i="6"/>
  <c r="AM49" i="6"/>
  <c r="AM49" i="5"/>
  <c r="AM47" i="2"/>
  <c r="AM48" i="5"/>
  <c r="AM46" i="6"/>
  <c r="AM48" i="6"/>
  <c r="V47" i="5"/>
  <c r="V49" i="5"/>
  <c r="AM46" i="5"/>
  <c r="AM47" i="6"/>
  <c r="V48" i="5"/>
  <c r="AM46" i="2"/>
  <c r="V49" i="6"/>
  <c r="V46" i="6"/>
  <c r="AM49" i="2"/>
  <c r="V48" i="2"/>
  <c r="V49" i="2"/>
  <c r="S51" i="5"/>
  <c r="V46" i="2"/>
  <c r="S51" i="6"/>
  <c r="AM48" i="2"/>
  <c r="V47" i="2"/>
  <c r="V38" i="4"/>
  <c r="S27" i="2"/>
  <c r="S35" i="2"/>
  <c r="AM24" i="2"/>
  <c r="S35" i="6"/>
  <c r="K166" i="13"/>
  <c r="K165" i="13"/>
  <c r="K167" i="13"/>
  <c r="K168" i="13"/>
  <c r="AM38" i="6"/>
  <c r="AM38" i="5"/>
  <c r="AM40" i="5"/>
  <c r="V40" i="6"/>
  <c r="V38" i="5"/>
  <c r="V40" i="5"/>
  <c r="AM40" i="6"/>
  <c r="V38" i="6"/>
  <c r="V41" i="5"/>
  <c r="V41" i="6"/>
  <c r="AM41" i="6"/>
  <c r="AM41" i="5"/>
  <c r="V39" i="6"/>
  <c r="S43" i="6"/>
  <c r="I168" i="13" s="1"/>
  <c r="AM41" i="2"/>
  <c r="AM39" i="6"/>
  <c r="S43" i="5"/>
  <c r="I167" i="13" s="1"/>
  <c r="V38" i="2"/>
  <c r="AM40" i="2"/>
  <c r="V39" i="5"/>
  <c r="V40" i="2"/>
  <c r="AM39" i="5"/>
  <c r="V41" i="2"/>
  <c r="S20" i="2"/>
  <c r="V31" i="2"/>
  <c r="S43" i="2"/>
  <c r="I165" i="13" s="1"/>
  <c r="S20" i="4"/>
  <c r="S51" i="2"/>
  <c r="K149" i="13"/>
  <c r="K150" i="13"/>
  <c r="K148" i="13"/>
  <c r="K151" i="13"/>
  <c r="AM33" i="5"/>
  <c r="AM32" i="4"/>
  <c r="V30" i="5"/>
  <c r="V32" i="6"/>
  <c r="V30" i="4"/>
  <c r="V33" i="6"/>
  <c r="AM33" i="6"/>
  <c r="AM30" i="5"/>
  <c r="V32" i="4"/>
  <c r="AM32" i="5"/>
  <c r="AM32" i="6"/>
  <c r="V30" i="6"/>
  <c r="V31" i="4"/>
  <c r="AM30" i="4"/>
  <c r="AM30" i="6"/>
  <c r="V33" i="5"/>
  <c r="V32" i="5"/>
  <c r="AM32" i="2"/>
  <c r="V31" i="6"/>
  <c r="V33" i="4"/>
  <c r="V32" i="2"/>
  <c r="AM31" i="4"/>
  <c r="V31" i="5"/>
  <c r="V30" i="2"/>
  <c r="AM31" i="6"/>
  <c r="AM31" i="5"/>
  <c r="AM33" i="4"/>
  <c r="AM33" i="2"/>
  <c r="V33" i="2"/>
  <c r="AM38" i="4"/>
  <c r="AM31" i="2"/>
  <c r="K121" i="13"/>
  <c r="K120" i="13"/>
  <c r="K119" i="13"/>
  <c r="K118" i="13"/>
  <c r="AN9" i="5"/>
  <c r="V9" i="6"/>
  <c r="V9" i="4"/>
  <c r="AN9" i="4"/>
  <c r="AN9" i="6"/>
  <c r="V9" i="5"/>
  <c r="AN9" i="2"/>
  <c r="V9" i="2"/>
  <c r="AN6" i="2"/>
  <c r="V8" i="6"/>
  <c r="AN8" i="6"/>
  <c r="AN7" i="6"/>
  <c r="AN6" i="6"/>
  <c r="V7" i="6"/>
  <c r="V6" i="6"/>
  <c r="I40" i="13" s="1"/>
  <c r="V6" i="4"/>
  <c r="I38" i="13" s="1"/>
  <c r="V8" i="2"/>
  <c r="V7" i="2"/>
  <c r="AN8" i="2"/>
  <c r="AN8" i="4"/>
  <c r="AN6" i="5"/>
  <c r="AN7" i="5"/>
  <c r="T11" i="6"/>
  <c r="I121" i="13" s="1"/>
  <c r="V8" i="5"/>
  <c r="V8" i="4"/>
  <c r="V6" i="5"/>
  <c r="I39" i="13" s="1"/>
  <c r="AN7" i="2"/>
  <c r="AN8" i="5"/>
  <c r="U20" i="4"/>
  <c r="AM17" i="5"/>
  <c r="AM18" i="6"/>
  <c r="AM18" i="4"/>
  <c r="V18" i="5"/>
  <c r="V18" i="4"/>
  <c r="V17" i="6"/>
  <c r="AM18" i="5"/>
  <c r="AM17" i="6"/>
  <c r="V17" i="4"/>
  <c r="AM18" i="2"/>
  <c r="V18" i="6"/>
  <c r="AM17" i="4"/>
  <c r="V17" i="5"/>
  <c r="AN17" i="4"/>
  <c r="AN18" i="5"/>
  <c r="AN17" i="5"/>
  <c r="AN18" i="6"/>
  <c r="AN17" i="2"/>
  <c r="AN17" i="6"/>
  <c r="AN18" i="4"/>
  <c r="T20" i="5"/>
  <c r="AO18" i="4"/>
  <c r="AO18" i="6"/>
  <c r="AO17" i="5"/>
  <c r="AO18" i="5"/>
  <c r="AO18" i="2"/>
  <c r="AO17" i="4"/>
  <c r="AO17" i="6"/>
  <c r="AO17" i="2"/>
  <c r="AM17" i="2"/>
  <c r="T20" i="4"/>
  <c r="S20" i="6"/>
  <c r="U20" i="5"/>
  <c r="S27" i="6"/>
  <c r="AM25" i="2"/>
  <c r="S27" i="5"/>
  <c r="K136" i="13"/>
  <c r="K137" i="13"/>
  <c r="K135" i="13"/>
  <c r="K138" i="13"/>
  <c r="AN24" i="4"/>
  <c r="AN24" i="2"/>
  <c r="AN25" i="2"/>
  <c r="AN25" i="6"/>
  <c r="AN24" i="5"/>
  <c r="AN25" i="4"/>
  <c r="AN25" i="5"/>
  <c r="AN24" i="6"/>
  <c r="T27" i="4"/>
  <c r="T27" i="5"/>
  <c r="AO24" i="2"/>
  <c r="K140" i="13"/>
  <c r="K141" i="13"/>
  <c r="K142" i="13"/>
  <c r="K139" i="13"/>
  <c r="AO25" i="4"/>
  <c r="AO25" i="5"/>
  <c r="AO24" i="6"/>
  <c r="AO24" i="4"/>
  <c r="AO25" i="6"/>
  <c r="AO24" i="5"/>
  <c r="K132" i="13"/>
  <c r="K131" i="13"/>
  <c r="K133" i="13"/>
  <c r="K134" i="13"/>
  <c r="AM24" i="5"/>
  <c r="V25" i="5"/>
  <c r="V24" i="4"/>
  <c r="AM25" i="4"/>
  <c r="AM25" i="6"/>
  <c r="V24" i="6"/>
  <c r="V25" i="6"/>
  <c r="AM25" i="5"/>
  <c r="V25" i="4"/>
  <c r="AM24" i="6"/>
  <c r="AM24" i="4"/>
  <c r="V24" i="5"/>
  <c r="U27" i="2"/>
  <c r="V25" i="2"/>
  <c r="S27" i="4"/>
  <c r="U27" i="6"/>
  <c r="AO25" i="2"/>
  <c r="AN39" i="4"/>
  <c r="AM62" i="6"/>
  <c r="AM63" i="5"/>
  <c r="AM64" i="2"/>
  <c r="AM63" i="6"/>
  <c r="AM64" i="5"/>
  <c r="AM62" i="2"/>
  <c r="AM64" i="6"/>
  <c r="AM62" i="5"/>
  <c r="V62" i="5"/>
  <c r="V64" i="5"/>
  <c r="V64" i="6"/>
  <c r="V62" i="6"/>
  <c r="V63" i="6"/>
  <c r="V63" i="5"/>
  <c r="S67" i="6"/>
  <c r="I185" i="13" s="1"/>
  <c r="S67" i="5"/>
  <c r="V62" i="2"/>
  <c r="AN63" i="6"/>
  <c r="AN64" i="5"/>
  <c r="AN62" i="2"/>
  <c r="AN64" i="6"/>
  <c r="AN62" i="5"/>
  <c r="AN62" i="6"/>
  <c r="AN63" i="5"/>
  <c r="T67" i="5"/>
  <c r="T67" i="6"/>
  <c r="I189" i="13" s="1"/>
  <c r="AO64" i="6"/>
  <c r="AO62" i="5"/>
  <c r="AO62" i="6"/>
  <c r="AO63" i="5"/>
  <c r="AO64" i="5"/>
  <c r="AO63" i="2"/>
  <c r="AO63" i="6"/>
  <c r="AO62" i="2"/>
  <c r="U67" i="5"/>
  <c r="U67" i="6"/>
  <c r="I193" i="13" s="1"/>
  <c r="AX41" i="4"/>
  <c r="I41" i="4" s="1"/>
  <c r="S41" i="4" s="1"/>
  <c r="Q40" i="4"/>
  <c r="U40" i="4" s="1"/>
  <c r="AM40" i="4"/>
  <c r="X30" i="1"/>
  <c r="I82" i="13" s="1"/>
  <c r="X31" i="1"/>
  <c r="I86" i="13" s="1"/>
  <c r="Q31" i="1"/>
  <c r="I85" i="13" s="1"/>
  <c r="G14" i="1"/>
  <c r="F14" i="1"/>
  <c r="E14" i="1"/>
  <c r="D14" i="1"/>
  <c r="U11" i="4" l="1"/>
  <c r="I123" i="13" s="1"/>
  <c r="BR51" i="14"/>
  <c r="I176" i="13"/>
  <c r="Z51" i="14"/>
  <c r="AN51" i="14"/>
  <c r="BT52" i="14"/>
  <c r="G9" i="14"/>
  <c r="BT60" i="14"/>
  <c r="T52" i="14"/>
  <c r="Z52" i="14"/>
  <c r="AL52" i="14"/>
  <c r="BT56" i="14"/>
  <c r="E8" i="14"/>
  <c r="BV60" i="14"/>
  <c r="BR52" i="14"/>
  <c r="BH9" i="14"/>
  <c r="E60" i="14"/>
  <c r="I158" i="13"/>
  <c r="AX56" i="14"/>
  <c r="N32" i="14"/>
  <c r="AP9" i="14"/>
  <c r="BD9" i="14"/>
  <c r="T56" i="14"/>
  <c r="BF56" i="14"/>
  <c r="G51" i="14"/>
  <c r="AN63" i="2"/>
  <c r="AT56" i="14"/>
  <c r="AF60" i="14"/>
  <c r="T66" i="2"/>
  <c r="D30" i="1" s="1"/>
  <c r="I94" i="13" s="1"/>
  <c r="H56" i="14"/>
  <c r="G16" i="14"/>
  <c r="G56" i="14" s="1"/>
  <c r="Q56" i="14"/>
  <c r="P16" i="14"/>
  <c r="P56" i="14" s="1"/>
  <c r="AV9" i="14"/>
  <c r="BF60" i="14"/>
  <c r="AV60" i="14"/>
  <c r="AN60" i="14"/>
  <c r="BT51" i="14"/>
  <c r="AF52" i="14"/>
  <c r="AV52" i="14"/>
  <c r="AO64" i="2"/>
  <c r="AV56" i="14"/>
  <c r="BP56" i="14"/>
  <c r="AB52" i="14"/>
  <c r="AT60" i="14"/>
  <c r="BT59" i="14"/>
  <c r="BT50" i="14"/>
  <c r="BD60" i="14"/>
  <c r="F39" i="14"/>
  <c r="BJ60" i="14"/>
  <c r="BN60" i="14"/>
  <c r="BH56" i="14"/>
  <c r="BH60" i="14"/>
  <c r="Z60" i="14"/>
  <c r="AJ33" i="14"/>
  <c r="AP52" i="14"/>
  <c r="V60" i="14"/>
  <c r="AD32" i="14"/>
  <c r="V52" i="14"/>
  <c r="AD60" i="14"/>
  <c r="AF33" i="14"/>
  <c r="T33" i="14"/>
  <c r="Z32" i="14"/>
  <c r="I8" i="14"/>
  <c r="AJ32" i="14"/>
  <c r="T32" i="14"/>
  <c r="AJ60" i="14"/>
  <c r="V56" i="14"/>
  <c r="AZ60" i="14"/>
  <c r="BT58" i="14"/>
  <c r="BT34" i="14"/>
  <c r="BV32" i="14"/>
  <c r="BV52" i="14"/>
  <c r="BN52" i="14"/>
  <c r="I133" i="13"/>
  <c r="BP52" i="14"/>
  <c r="AZ52" i="14"/>
  <c r="AX60" i="14"/>
  <c r="AB56" i="14"/>
  <c r="P60" i="14"/>
  <c r="N60" i="14"/>
  <c r="T60" i="14"/>
  <c r="AJ52" i="14"/>
  <c r="N52" i="14"/>
  <c r="BV33" i="14"/>
  <c r="BV56" i="14"/>
  <c r="P52" i="14"/>
  <c r="BN51" i="14"/>
  <c r="BN56" i="14"/>
  <c r="AZ56" i="14"/>
  <c r="BP60" i="14"/>
  <c r="AN56" i="14"/>
  <c r="G60" i="14"/>
  <c r="AD52" i="14"/>
  <c r="AB60" i="14"/>
  <c r="BV51" i="14"/>
  <c r="BV58" i="14"/>
  <c r="AL56" i="14"/>
  <c r="BJ56" i="14"/>
  <c r="BD56" i="14"/>
  <c r="I60" i="14"/>
  <c r="AD56" i="14"/>
  <c r="AJ56" i="14"/>
  <c r="AT52" i="14"/>
  <c r="Z56" i="14"/>
  <c r="BQ55" i="14"/>
  <c r="BQ56" i="14"/>
  <c r="BV50" i="14"/>
  <c r="G32" i="14"/>
  <c r="BV59" i="14"/>
  <c r="G34" i="14"/>
  <c r="V32" i="14"/>
  <c r="E34" i="14"/>
  <c r="AD33" i="14"/>
  <c r="AB32" i="14"/>
  <c r="V33" i="14"/>
  <c r="BV34" i="14"/>
  <c r="BT32" i="14"/>
  <c r="BS59" i="14"/>
  <c r="BR21" i="14"/>
  <c r="BR60" i="14" s="1"/>
  <c r="N16" i="14"/>
  <c r="O55" i="14"/>
  <c r="O54" i="14"/>
  <c r="Q55" i="14"/>
  <c r="BN59" i="14"/>
  <c r="AV51" i="14"/>
  <c r="AF32" i="14"/>
  <c r="E58" i="14"/>
  <c r="AN12" i="14"/>
  <c r="AO38" i="14"/>
  <c r="AO50" i="14"/>
  <c r="E11" i="14"/>
  <c r="E52" i="14" s="1"/>
  <c r="F51" i="14"/>
  <c r="F50" i="14"/>
  <c r="J55" i="14"/>
  <c r="J54" i="14"/>
  <c r="AL34" i="14"/>
  <c r="AM58" i="14"/>
  <c r="AM40" i="14"/>
  <c r="BP51" i="14"/>
  <c r="AL33" i="14"/>
  <c r="AM54" i="14"/>
  <c r="AM39" i="14"/>
  <c r="AZ51" i="14"/>
  <c r="AX59" i="14"/>
  <c r="AN59" i="14"/>
  <c r="P32" i="14"/>
  <c r="AB33" i="14"/>
  <c r="AB54" i="14"/>
  <c r="AB55" i="14"/>
  <c r="AB34" i="14"/>
  <c r="AV55" i="14"/>
  <c r="P59" i="14"/>
  <c r="P58" i="14"/>
  <c r="N59" i="14"/>
  <c r="N58" i="14"/>
  <c r="I34" i="14"/>
  <c r="T59" i="14"/>
  <c r="T58" i="14"/>
  <c r="AJ50" i="14"/>
  <c r="AJ51" i="14"/>
  <c r="T34" i="14"/>
  <c r="Q39" i="14"/>
  <c r="I32" i="14"/>
  <c r="T50" i="14"/>
  <c r="E59" i="14"/>
  <c r="AT55" i="14"/>
  <c r="V59" i="14"/>
  <c r="V58" i="14"/>
  <c r="V51" i="14"/>
  <c r="V50" i="14"/>
  <c r="AD58" i="14"/>
  <c r="AD59" i="14"/>
  <c r="BT54" i="14"/>
  <c r="BT55" i="14"/>
  <c r="BT33" i="14"/>
  <c r="BS55" i="14"/>
  <c r="BR16" i="14"/>
  <c r="BR56" i="14" s="1"/>
  <c r="I17" i="14"/>
  <c r="I7" i="14" s="1"/>
  <c r="J39" i="14"/>
  <c r="G8" i="14"/>
  <c r="H55" i="14"/>
  <c r="BF59" i="14"/>
  <c r="BF55" i="14"/>
  <c r="BN55" i="14"/>
  <c r="AP55" i="14"/>
  <c r="AF59" i="14"/>
  <c r="AF58" i="14"/>
  <c r="AJ59" i="14"/>
  <c r="AJ58" i="14"/>
  <c r="AV59" i="14"/>
  <c r="AZ55" i="14"/>
  <c r="AL59" i="14"/>
  <c r="AB51" i="14"/>
  <c r="AB50" i="14"/>
  <c r="BP59" i="14"/>
  <c r="Z33" i="14"/>
  <c r="AD34" i="14"/>
  <c r="V54" i="14"/>
  <c r="V55" i="14"/>
  <c r="N34" i="14"/>
  <c r="AN55" i="14"/>
  <c r="AZ59" i="14"/>
  <c r="G58" i="14"/>
  <c r="G59" i="14"/>
  <c r="AD50" i="14"/>
  <c r="AD51" i="14"/>
  <c r="AT59" i="14"/>
  <c r="AB59" i="14"/>
  <c r="AB58" i="14"/>
  <c r="V34" i="14"/>
  <c r="Q54" i="14"/>
  <c r="N50" i="14"/>
  <c r="N51" i="14"/>
  <c r="BV55" i="14"/>
  <c r="BV54" i="14"/>
  <c r="BJ59" i="14"/>
  <c r="BH55" i="14"/>
  <c r="BH59" i="14"/>
  <c r="Z59" i="14"/>
  <c r="Z58" i="14"/>
  <c r="AF51" i="14"/>
  <c r="AF50" i="14"/>
  <c r="AP51" i="14"/>
  <c r="Z34" i="14"/>
  <c r="AJ34" i="14"/>
  <c r="P51" i="14"/>
  <c r="P50" i="14"/>
  <c r="G7" i="14"/>
  <c r="H54" i="14"/>
  <c r="H39" i="14"/>
  <c r="BP55" i="14"/>
  <c r="E16" i="14"/>
  <c r="E56" i="14" s="1"/>
  <c r="F55" i="14"/>
  <c r="F54" i="14"/>
  <c r="AL55" i="14"/>
  <c r="BD59" i="14"/>
  <c r="BJ55" i="14"/>
  <c r="BD55" i="14"/>
  <c r="AL51" i="14"/>
  <c r="AL50" i="14"/>
  <c r="I59" i="14"/>
  <c r="I58" i="14"/>
  <c r="T55" i="14"/>
  <c r="T54" i="14"/>
  <c r="AL32" i="14"/>
  <c r="AF54" i="14"/>
  <c r="AF55" i="14"/>
  <c r="AD55" i="14"/>
  <c r="AD54" i="14"/>
  <c r="AJ55" i="14"/>
  <c r="AJ54" i="14"/>
  <c r="AP59" i="14"/>
  <c r="AT51" i="14"/>
  <c r="Z55" i="14"/>
  <c r="Z54" i="14"/>
  <c r="AX55" i="14"/>
  <c r="O39" i="14"/>
  <c r="F38" i="14"/>
  <c r="P34" i="14"/>
  <c r="AF34" i="14"/>
  <c r="I51" i="14"/>
  <c r="I50" i="14"/>
  <c r="Z50" i="14"/>
  <c r="G50" i="14"/>
  <c r="V7" i="4"/>
  <c r="I175" i="13"/>
  <c r="V9" i="14"/>
  <c r="Z6" i="14"/>
  <c r="AL6" i="14"/>
  <c r="AT6" i="14"/>
  <c r="P8" i="14"/>
  <c r="AZ6" i="14"/>
  <c r="AX8" i="14"/>
  <c r="BT6" i="14"/>
  <c r="AF6" i="14"/>
  <c r="BP6" i="14"/>
  <c r="T7" i="14"/>
  <c r="I150" i="13"/>
  <c r="T6" i="14"/>
  <c r="T8" i="14"/>
  <c r="AV6" i="14"/>
  <c r="AV48" i="14" s="1"/>
  <c r="V6" i="2"/>
  <c r="I37" i="13" s="1"/>
  <c r="E9" i="14"/>
  <c r="V8" i="14"/>
  <c r="P7" i="14"/>
  <c r="AB7" i="14"/>
  <c r="AX9" i="14"/>
  <c r="AN18" i="2"/>
  <c r="V18" i="2"/>
  <c r="AJ8" i="14"/>
  <c r="AZ8" i="14"/>
  <c r="AJ7" i="14"/>
  <c r="AB6" i="14"/>
  <c r="AB9" i="14"/>
  <c r="P9" i="14"/>
  <c r="AL9" i="14"/>
  <c r="AN9" i="14"/>
  <c r="AZ9" i="14"/>
  <c r="BF9" i="14"/>
  <c r="BJ9" i="14"/>
  <c r="Z9" i="14"/>
  <c r="T9" i="14"/>
  <c r="BR8" i="14"/>
  <c r="AV8" i="14"/>
  <c r="AP8" i="14"/>
  <c r="AT8" i="14"/>
  <c r="BD8" i="14"/>
  <c r="AX6" i="14"/>
  <c r="AN6" i="14"/>
  <c r="AN48" i="14" s="1"/>
  <c r="AN8" i="14"/>
  <c r="Z7" i="14"/>
  <c r="Z8" i="14"/>
  <c r="AJ6" i="14"/>
  <c r="AT9" i="14"/>
  <c r="I9" i="14"/>
  <c r="AB8" i="14"/>
  <c r="AF9" i="14"/>
  <c r="AF8" i="14"/>
  <c r="AJ9" i="14"/>
  <c r="AD6" i="14"/>
  <c r="AD8" i="14"/>
  <c r="AD9" i="14"/>
  <c r="N9" i="14"/>
  <c r="N8" i="14"/>
  <c r="AP6" i="14"/>
  <c r="AD7" i="14"/>
  <c r="AF7" i="14"/>
  <c r="V7" i="14"/>
  <c r="V6" i="14"/>
  <c r="AL8" i="14"/>
  <c r="N7" i="14"/>
  <c r="BV6" i="14"/>
  <c r="BN9" i="14"/>
  <c r="BV7" i="14"/>
  <c r="S10" i="2"/>
  <c r="S11" i="2" s="1"/>
  <c r="I114" i="13" s="1"/>
  <c r="BN6" i="14"/>
  <c r="BH8" i="14"/>
  <c r="BH6" i="14"/>
  <c r="BJ8" i="14"/>
  <c r="BJ6" i="14"/>
  <c r="BT8" i="14"/>
  <c r="BT9" i="14"/>
  <c r="BR9" i="14"/>
  <c r="BD6" i="14"/>
  <c r="BP9" i="14"/>
  <c r="BT7" i="14"/>
  <c r="BV8" i="14"/>
  <c r="BP8" i="14"/>
  <c r="BF6" i="14"/>
  <c r="BV9" i="14"/>
  <c r="BN8" i="14"/>
  <c r="U67" i="2"/>
  <c r="I190" i="13" s="1"/>
  <c r="I139" i="13"/>
  <c r="E17" i="14"/>
  <c r="I16" i="14"/>
  <c r="I56" i="14" s="1"/>
  <c r="AN7" i="4"/>
  <c r="J30" i="1"/>
  <c r="I80" i="13" s="1"/>
  <c r="T11" i="4"/>
  <c r="I119" i="13" s="1"/>
  <c r="I188" i="13"/>
  <c r="T69" i="5"/>
  <c r="I192" i="13"/>
  <c r="U69" i="5"/>
  <c r="I184" i="13"/>
  <c r="S69" i="5"/>
  <c r="Q29" i="1"/>
  <c r="I77" i="13" s="1"/>
  <c r="I141" i="13"/>
  <c r="I44" i="13"/>
  <c r="I135" i="13"/>
  <c r="I43" i="13"/>
  <c r="V17" i="2"/>
  <c r="I41" i="13" s="1"/>
  <c r="I152" i="13"/>
  <c r="J29" i="1"/>
  <c r="I76" i="13" s="1"/>
  <c r="AQ12" i="14"/>
  <c r="M41" i="4"/>
  <c r="T41" i="4" s="1"/>
  <c r="I138" i="13"/>
  <c r="I131" i="13"/>
  <c r="Q30" i="1"/>
  <c r="I81" i="13" s="1"/>
  <c r="C30" i="1"/>
  <c r="I79" i="13" s="1"/>
  <c r="AN64" i="2"/>
  <c r="V64" i="2"/>
  <c r="AO40" i="4"/>
  <c r="AO22" i="14"/>
  <c r="AN40" i="4"/>
  <c r="AO17" i="14"/>
  <c r="U11" i="2"/>
  <c r="I122" i="13" s="1"/>
  <c r="I151" i="13"/>
  <c r="I159" i="13"/>
  <c r="T69" i="6"/>
  <c r="I172" i="13"/>
  <c r="I134" i="13"/>
  <c r="I142" i="13"/>
  <c r="I155" i="13"/>
  <c r="U69" i="6"/>
  <c r="I156" i="13"/>
  <c r="D29" i="1"/>
  <c r="I90" i="13" s="1"/>
  <c r="S69" i="6"/>
  <c r="I140" i="13"/>
  <c r="I173" i="13"/>
  <c r="I136" i="13"/>
  <c r="I169" i="13"/>
  <c r="S69" i="2"/>
  <c r="I171" i="13"/>
  <c r="I137" i="13"/>
  <c r="I154" i="13"/>
  <c r="I132" i="13"/>
  <c r="I148" i="13"/>
  <c r="V39" i="4"/>
  <c r="AX46" i="4"/>
  <c r="I46" i="4" s="1"/>
  <c r="S46" i="4" s="1"/>
  <c r="AM41" i="4"/>
  <c r="Q41" i="4"/>
  <c r="U41" i="4" s="1"/>
  <c r="S31" i="1"/>
  <c r="Z30" i="1"/>
  <c r="X32" i="1"/>
  <c r="H16" i="13" s="1"/>
  <c r="R32" i="1"/>
  <c r="I15" i="13" s="1"/>
  <c r="Z31" i="1"/>
  <c r="Y32" i="1"/>
  <c r="I16" i="13" s="1"/>
  <c r="Z29" i="1"/>
  <c r="E31" i="1"/>
  <c r="BH48" i="14" l="1"/>
  <c r="AP48" i="14"/>
  <c r="T67" i="2"/>
  <c r="T69" i="2" s="1"/>
  <c r="BD48" i="14"/>
  <c r="E6" i="14"/>
  <c r="E48" i="14" s="1"/>
  <c r="AL54" i="14"/>
  <c r="BN48" i="14"/>
  <c r="BF48" i="14"/>
  <c r="AF48" i="14"/>
  <c r="P33" i="14"/>
  <c r="P6" i="14"/>
  <c r="P48" i="14" s="1"/>
  <c r="BV48" i="14"/>
  <c r="AD48" i="14"/>
  <c r="AX48" i="14"/>
  <c r="T48" i="14"/>
  <c r="BJ48" i="14"/>
  <c r="V48" i="14"/>
  <c r="AJ48" i="14"/>
  <c r="AB48" i="14"/>
  <c r="BT48" i="14"/>
  <c r="AT48" i="14"/>
  <c r="AL48" i="14"/>
  <c r="N33" i="14"/>
  <c r="N56" i="14"/>
  <c r="BT30" i="14"/>
  <c r="BP48" i="14"/>
  <c r="AZ48" i="14"/>
  <c r="Z48" i="14"/>
  <c r="AN22" i="14"/>
  <c r="AO40" i="14"/>
  <c r="AO58" i="14"/>
  <c r="BN47" i="14"/>
  <c r="AP47" i="14"/>
  <c r="AJ46" i="14"/>
  <c r="AJ47" i="14"/>
  <c r="BP47" i="14"/>
  <c r="Z46" i="14"/>
  <c r="Z47" i="14"/>
  <c r="AN32" i="14"/>
  <c r="AN50" i="14"/>
  <c r="BV46" i="14"/>
  <c r="BV47" i="14"/>
  <c r="AD46" i="14"/>
  <c r="AD47" i="14"/>
  <c r="AX47" i="14"/>
  <c r="AJ30" i="14"/>
  <c r="AV47" i="14"/>
  <c r="T47" i="14"/>
  <c r="T46" i="14"/>
  <c r="AF47" i="14"/>
  <c r="AF46" i="14"/>
  <c r="E51" i="14"/>
  <c r="E50" i="14"/>
  <c r="P54" i="14"/>
  <c r="P55" i="14"/>
  <c r="BR59" i="14"/>
  <c r="I6" i="14"/>
  <c r="I48" i="14" s="1"/>
  <c r="I54" i="14"/>
  <c r="I55" i="14"/>
  <c r="BD47" i="14"/>
  <c r="AN47" i="14"/>
  <c r="AB30" i="14"/>
  <c r="AZ47" i="14"/>
  <c r="BR55" i="14"/>
  <c r="N55" i="14"/>
  <c r="N54" i="14"/>
  <c r="AN17" i="14"/>
  <c r="AO39" i="14"/>
  <c r="AO54" i="14"/>
  <c r="AP12" i="14"/>
  <c r="AQ38" i="14"/>
  <c r="AQ50" i="14"/>
  <c r="BH47" i="14"/>
  <c r="AF30" i="14"/>
  <c r="Z30" i="14"/>
  <c r="AL7" i="14"/>
  <c r="AL30" i="14" s="1"/>
  <c r="BT47" i="14"/>
  <c r="BT46" i="14"/>
  <c r="AT47" i="14"/>
  <c r="AL58" i="14"/>
  <c r="E32" i="14"/>
  <c r="G6" i="14"/>
  <c r="G48" i="14" s="1"/>
  <c r="G55" i="14"/>
  <c r="G54" i="14"/>
  <c r="BJ47" i="14"/>
  <c r="V47" i="14"/>
  <c r="V46" i="14"/>
  <c r="AB47" i="14"/>
  <c r="AB46" i="14"/>
  <c r="G33" i="14"/>
  <c r="E7" i="14"/>
  <c r="E33" i="14"/>
  <c r="V30" i="14"/>
  <c r="BR6" i="14"/>
  <c r="BR48" i="14" s="1"/>
  <c r="N6" i="14"/>
  <c r="N48" i="14" s="1"/>
  <c r="BF47" i="14"/>
  <c r="BV30" i="14"/>
  <c r="AD30" i="14"/>
  <c r="T30" i="14"/>
  <c r="AL47" i="14"/>
  <c r="E55" i="14"/>
  <c r="E54" i="14"/>
  <c r="I33" i="14"/>
  <c r="S29" i="1"/>
  <c r="U69" i="2"/>
  <c r="C29" i="1"/>
  <c r="I75" i="13" s="1"/>
  <c r="S30" i="1"/>
  <c r="Q32" i="1"/>
  <c r="H15" i="13" s="1"/>
  <c r="I51" i="13" s="1"/>
  <c r="J32" i="1"/>
  <c r="H14" i="13" s="1"/>
  <c r="I50" i="13" s="1"/>
  <c r="E30" i="1"/>
  <c r="AU12" i="14"/>
  <c r="M46" i="4"/>
  <c r="T46" i="4" s="1"/>
  <c r="V40" i="4"/>
  <c r="T42" i="4"/>
  <c r="AQ17" i="14"/>
  <c r="AQ22" i="14"/>
  <c r="J16" i="13"/>
  <c r="D32" i="1"/>
  <c r="I13" i="13" s="1"/>
  <c r="I53" i="13" s="1"/>
  <c r="I56" i="13"/>
  <c r="AN41" i="4"/>
  <c r="I55" i="13"/>
  <c r="I52" i="13"/>
  <c r="S42" i="4"/>
  <c r="AX47" i="4"/>
  <c r="I47" i="4" s="1"/>
  <c r="S47" i="4" s="1"/>
  <c r="AM46" i="4"/>
  <c r="Q46" i="4"/>
  <c r="U46" i="4" s="1"/>
  <c r="Z32" i="1"/>
  <c r="E47" i="14" l="1"/>
  <c r="I186" i="13"/>
  <c r="E30" i="14"/>
  <c r="I30" i="14"/>
  <c r="AL46" i="14"/>
  <c r="P47" i="14"/>
  <c r="P30" i="14"/>
  <c r="C32" i="1"/>
  <c r="H13" i="13" s="1"/>
  <c r="I49" i="13" s="1"/>
  <c r="P46" i="14"/>
  <c r="AN7" i="14"/>
  <c r="AN30" i="14" s="1"/>
  <c r="S32" i="1"/>
  <c r="E46" i="14"/>
  <c r="N46" i="14"/>
  <c r="N47" i="14"/>
  <c r="N30" i="14"/>
  <c r="I47" i="14"/>
  <c r="I46" i="14"/>
  <c r="AP22" i="14"/>
  <c r="AQ40" i="14"/>
  <c r="AQ58" i="14"/>
  <c r="AP17" i="14"/>
  <c r="AQ39" i="14"/>
  <c r="AQ54" i="14"/>
  <c r="AT12" i="14"/>
  <c r="AU38" i="14"/>
  <c r="AU50" i="14"/>
  <c r="BR47" i="14"/>
  <c r="AN34" i="14"/>
  <c r="AN58" i="14"/>
  <c r="AP32" i="14"/>
  <c r="AP50" i="14"/>
  <c r="G46" i="14"/>
  <c r="G47" i="14"/>
  <c r="AN33" i="14"/>
  <c r="AN54" i="14"/>
  <c r="G30" i="14"/>
  <c r="E29" i="1"/>
  <c r="J15" i="13"/>
  <c r="AW12" i="14"/>
  <c r="M47" i="4"/>
  <c r="T47" i="4" s="1"/>
  <c r="V41" i="4"/>
  <c r="AO41" i="4"/>
  <c r="U42" i="4"/>
  <c r="U43" i="4" s="1"/>
  <c r="AO46" i="4"/>
  <c r="AU22" i="14"/>
  <c r="AN46" i="4"/>
  <c r="AU17" i="14"/>
  <c r="S43" i="4"/>
  <c r="T43" i="4"/>
  <c r="AX48" i="4"/>
  <c r="I48" i="4" s="1"/>
  <c r="S48" i="4" s="1"/>
  <c r="Q47" i="4"/>
  <c r="U47" i="4" s="1"/>
  <c r="AM47" i="4"/>
  <c r="J13" i="13" l="1"/>
  <c r="E32" i="1"/>
  <c r="AP7" i="14"/>
  <c r="AP30" i="14" s="1"/>
  <c r="AN46" i="14"/>
  <c r="AT32" i="14"/>
  <c r="AT50" i="14"/>
  <c r="AT17" i="14"/>
  <c r="AU39" i="14"/>
  <c r="AU54" i="14"/>
  <c r="AV12" i="14"/>
  <c r="AW38" i="14"/>
  <c r="AW50" i="14"/>
  <c r="AP34" i="14"/>
  <c r="AP58" i="14"/>
  <c r="AT22" i="14"/>
  <c r="AU40" i="14"/>
  <c r="AU58" i="14"/>
  <c r="AP33" i="14"/>
  <c r="AP54" i="14"/>
  <c r="AY12" i="14"/>
  <c r="M48" i="4"/>
  <c r="T48" i="4" s="1"/>
  <c r="V46" i="4"/>
  <c r="AO47" i="4"/>
  <c r="AW22" i="14"/>
  <c r="AN47" i="4"/>
  <c r="AW17" i="14"/>
  <c r="AX49" i="4"/>
  <c r="I49" i="4" s="1"/>
  <c r="S49" i="4" s="1"/>
  <c r="Q48" i="4"/>
  <c r="U48" i="4" s="1"/>
  <c r="AM48" i="4"/>
  <c r="AP46" i="14" l="1"/>
  <c r="AT33" i="14"/>
  <c r="AT54" i="14"/>
  <c r="AT34" i="14"/>
  <c r="AT58" i="14"/>
  <c r="AV32" i="14"/>
  <c r="AV50" i="14"/>
  <c r="AV22" i="14"/>
  <c r="AW40" i="14"/>
  <c r="AW58" i="14"/>
  <c r="AX12" i="14"/>
  <c r="AY38" i="14"/>
  <c r="AY50" i="14"/>
  <c r="AT7" i="14"/>
  <c r="AV17" i="14"/>
  <c r="AW39" i="14"/>
  <c r="AW54" i="14"/>
  <c r="BA12" i="14"/>
  <c r="M49" i="4"/>
  <c r="T49" i="4" s="1"/>
  <c r="AO48" i="4"/>
  <c r="AY22" i="14"/>
  <c r="V47" i="4"/>
  <c r="AN48" i="4"/>
  <c r="AY17" i="14"/>
  <c r="AX54" i="4"/>
  <c r="I54" i="4" s="1"/>
  <c r="S54" i="4" s="1"/>
  <c r="AM49" i="4"/>
  <c r="Q49" i="4"/>
  <c r="U49" i="4" s="1"/>
  <c r="AX17" i="14" l="1"/>
  <c r="AY39" i="14"/>
  <c r="AY54" i="14"/>
  <c r="AV34" i="14"/>
  <c r="AV58" i="14"/>
  <c r="AV33" i="14"/>
  <c r="AV54" i="14"/>
  <c r="AX32" i="14"/>
  <c r="AX50" i="14"/>
  <c r="AZ12" i="14"/>
  <c r="BA38" i="14"/>
  <c r="BA50" i="14"/>
  <c r="AX22" i="14"/>
  <c r="AY40" i="14"/>
  <c r="AY58" i="14"/>
  <c r="AV7" i="14"/>
  <c r="AT30" i="14"/>
  <c r="AT46" i="14"/>
  <c r="BE12" i="14"/>
  <c r="M54" i="4"/>
  <c r="T54" i="4" s="1"/>
  <c r="AN49" i="4"/>
  <c r="BA17" i="14"/>
  <c r="V48" i="4"/>
  <c r="U50" i="4"/>
  <c r="BA22" i="14"/>
  <c r="S50" i="4"/>
  <c r="AX55" i="4"/>
  <c r="I55" i="4" s="1"/>
  <c r="S55" i="4" s="1"/>
  <c r="AM54" i="4"/>
  <c r="Q54" i="4"/>
  <c r="U54" i="4" s="1"/>
  <c r="AX7" i="14" l="1"/>
  <c r="AX30" i="14" s="1"/>
  <c r="BD12" i="14"/>
  <c r="BE38" i="14"/>
  <c r="BE50" i="14"/>
  <c r="AZ17" i="14"/>
  <c r="BA39" i="14"/>
  <c r="BA54" i="14"/>
  <c r="AV30" i="14"/>
  <c r="AV46" i="14"/>
  <c r="AZ22" i="14"/>
  <c r="BA40" i="14"/>
  <c r="BA58" i="14"/>
  <c r="AZ32" i="14"/>
  <c r="AZ50" i="14"/>
  <c r="AX34" i="14"/>
  <c r="AX58" i="14"/>
  <c r="AX33" i="14"/>
  <c r="AX54" i="14"/>
  <c r="BG12" i="14"/>
  <c r="M55" i="4"/>
  <c r="T55" i="4" s="1"/>
  <c r="T50" i="4"/>
  <c r="T51" i="4" s="1"/>
  <c r="I153" i="13" s="1"/>
  <c r="AO54" i="4"/>
  <c r="BE22" i="14"/>
  <c r="V49" i="4"/>
  <c r="AO49" i="4"/>
  <c r="AN54" i="4"/>
  <c r="BE17" i="14"/>
  <c r="S51" i="4"/>
  <c r="I149" i="13" s="1"/>
  <c r="U51" i="4"/>
  <c r="I157" i="13" s="1"/>
  <c r="AX56" i="4"/>
  <c r="I56" i="4" s="1"/>
  <c r="S56" i="4" s="1"/>
  <c r="Q55" i="4"/>
  <c r="U55" i="4" s="1"/>
  <c r="AM55" i="4"/>
  <c r="AX46" i="14" l="1"/>
  <c r="AZ33" i="14"/>
  <c r="AZ54" i="14"/>
  <c r="AZ34" i="14"/>
  <c r="AZ58" i="14"/>
  <c r="AZ7" i="14"/>
  <c r="BF12" i="14"/>
  <c r="BG38" i="14"/>
  <c r="BG50" i="14"/>
  <c r="BD17" i="14"/>
  <c r="BE39" i="14"/>
  <c r="BE54" i="14"/>
  <c r="BD22" i="14"/>
  <c r="BE40" i="14"/>
  <c r="BE58" i="14"/>
  <c r="BD32" i="14"/>
  <c r="BD50" i="14"/>
  <c r="BI12" i="14"/>
  <c r="M56" i="4"/>
  <c r="T56" i="4" s="1"/>
  <c r="V54" i="4"/>
  <c r="AO55" i="4"/>
  <c r="BG22" i="14"/>
  <c r="AN55" i="4"/>
  <c r="BG17" i="14"/>
  <c r="AX57" i="4"/>
  <c r="I57" i="4" s="1"/>
  <c r="S57" i="4" s="1"/>
  <c r="Q56" i="4"/>
  <c r="U56" i="4" s="1"/>
  <c r="AM56" i="4"/>
  <c r="BD34" i="14" l="1"/>
  <c r="BD58" i="14"/>
  <c r="BD7" i="14"/>
  <c r="BF17" i="14"/>
  <c r="BG39" i="14"/>
  <c r="BG54" i="14"/>
  <c r="BF22" i="14"/>
  <c r="BG40" i="14"/>
  <c r="BG58" i="14"/>
  <c r="BH12" i="14"/>
  <c r="BI38" i="14"/>
  <c r="BI50" i="14"/>
  <c r="BF32" i="14"/>
  <c r="BF50" i="14"/>
  <c r="BD33" i="14"/>
  <c r="BD54" i="14"/>
  <c r="AZ30" i="14"/>
  <c r="AZ46" i="14"/>
  <c r="BK12" i="14"/>
  <c r="M57" i="4"/>
  <c r="T57" i="4" s="1"/>
  <c r="AO56" i="4"/>
  <c r="BI22" i="14"/>
  <c r="AN56" i="4"/>
  <c r="BI17" i="14"/>
  <c r="V55" i="4"/>
  <c r="AM57" i="4"/>
  <c r="Q57" i="4"/>
  <c r="U57" i="4" s="1"/>
  <c r="BF33" i="14" l="1"/>
  <c r="BF54" i="14"/>
  <c r="BF7" i="14"/>
  <c r="BF34" i="14"/>
  <c r="BF58" i="14"/>
  <c r="BD30" i="14"/>
  <c r="BD46" i="14"/>
  <c r="BH22" i="14"/>
  <c r="BI40" i="14"/>
  <c r="BI58" i="14"/>
  <c r="BH32" i="14"/>
  <c r="BH50" i="14"/>
  <c r="BJ12" i="14"/>
  <c r="BK38" i="14"/>
  <c r="BK50" i="14"/>
  <c r="BI39" i="14"/>
  <c r="BI54" i="14"/>
  <c r="BH17" i="14"/>
  <c r="AO57" i="4"/>
  <c r="BK22" i="14"/>
  <c r="V56" i="4"/>
  <c r="T58" i="4"/>
  <c r="BK17" i="14"/>
  <c r="S58" i="4"/>
  <c r="BH34" i="14" l="1"/>
  <c r="BH58" i="14"/>
  <c r="BJ17" i="14"/>
  <c r="BK39" i="14"/>
  <c r="BK54" i="14"/>
  <c r="BF30" i="14"/>
  <c r="BF46" i="14"/>
  <c r="BJ22" i="14"/>
  <c r="BK40" i="14"/>
  <c r="BK58" i="14"/>
  <c r="BH7" i="14"/>
  <c r="BH33" i="14"/>
  <c r="BH54" i="14"/>
  <c r="BJ32" i="14"/>
  <c r="BJ50" i="14"/>
  <c r="U58" i="4"/>
  <c r="U59" i="4" s="1"/>
  <c r="I174" i="13" s="1"/>
  <c r="V57" i="4"/>
  <c r="AN57" i="4"/>
  <c r="S59" i="4"/>
  <c r="I166" i="13" s="1"/>
  <c r="T59" i="4"/>
  <c r="I170" i="13" s="1"/>
  <c r="BH30" i="14" l="1"/>
  <c r="BH46" i="14"/>
  <c r="BJ33" i="14"/>
  <c r="BJ54" i="14"/>
  <c r="BJ34" i="14"/>
  <c r="BJ58" i="14"/>
  <c r="BJ7" i="14"/>
  <c r="I62" i="4"/>
  <c r="S62" i="4" s="1"/>
  <c r="Q62" i="4"/>
  <c r="U62" i="4" s="1"/>
  <c r="BJ30" i="14" l="1"/>
  <c r="BJ46" i="14"/>
  <c r="M62" i="4"/>
  <c r="AO62" i="4"/>
  <c r="BO22" i="14"/>
  <c r="AM62" i="4"/>
  <c r="BO12" i="14"/>
  <c r="I63" i="4"/>
  <c r="S63" i="4" s="1"/>
  <c r="Q63" i="4"/>
  <c r="U63" i="4" s="1"/>
  <c r="BN12" i="14" l="1"/>
  <c r="BO38" i="14"/>
  <c r="BO50" i="14"/>
  <c r="BN22" i="14"/>
  <c r="BO40" i="14"/>
  <c r="BO58" i="14"/>
  <c r="M63" i="4"/>
  <c r="T62" i="4"/>
  <c r="BO17" i="14"/>
  <c r="AO63" i="4"/>
  <c r="BQ22" i="14"/>
  <c r="BP22" i="14" s="1"/>
  <c r="BQ12" i="14"/>
  <c r="BP12" i="14" s="1"/>
  <c r="Q64" i="4"/>
  <c r="I64" i="4"/>
  <c r="S64" i="4" s="1"/>
  <c r="T63" i="4" l="1"/>
  <c r="AN63" i="4" s="1"/>
  <c r="U64" i="4"/>
  <c r="U66" i="4" s="1"/>
  <c r="K31" i="1" s="1"/>
  <c r="BO39" i="14"/>
  <c r="BO54" i="14"/>
  <c r="BQ50" i="14"/>
  <c r="BQ38" i="14"/>
  <c r="BQ58" i="14"/>
  <c r="BQ40" i="14"/>
  <c r="BN34" i="14"/>
  <c r="BN58" i="14"/>
  <c r="BN32" i="14"/>
  <c r="BN50" i="14"/>
  <c r="AN62" i="4"/>
  <c r="AM63" i="4"/>
  <c r="S66" i="4"/>
  <c r="V62" i="4"/>
  <c r="I42" i="13" s="1"/>
  <c r="BN17" i="14"/>
  <c r="BQ17" i="14"/>
  <c r="BP17" i="14" s="1"/>
  <c r="M64" i="4"/>
  <c r="T64" i="4" s="1"/>
  <c r="AM64" i="4"/>
  <c r="BS12" i="14"/>
  <c r="BS22" i="14"/>
  <c r="V63" i="4" l="1"/>
  <c r="BS40" i="14"/>
  <c r="BR22" i="14"/>
  <c r="BS58" i="14"/>
  <c r="BP32" i="14"/>
  <c r="BP50" i="14"/>
  <c r="BS38" i="14"/>
  <c r="BR12" i="14"/>
  <c r="BS50" i="14"/>
  <c r="BQ54" i="14"/>
  <c r="BQ39" i="14"/>
  <c r="BP34" i="14"/>
  <c r="BP58" i="14"/>
  <c r="BN7" i="14"/>
  <c r="BN33" i="14"/>
  <c r="BN54" i="14"/>
  <c r="T66" i="4"/>
  <c r="BS17" i="14"/>
  <c r="AO64" i="4"/>
  <c r="S67" i="4"/>
  <c r="I183" i="13" s="1"/>
  <c r="U67" i="4"/>
  <c r="L31" i="1"/>
  <c r="I99" i="13"/>
  <c r="BR32" i="14" l="1"/>
  <c r="BR50" i="14"/>
  <c r="BR34" i="14"/>
  <c r="BR58" i="14"/>
  <c r="BS39" i="14"/>
  <c r="BR17" i="14"/>
  <c r="BR7" i="14" s="1"/>
  <c r="BS54" i="14"/>
  <c r="BN30" i="14"/>
  <c r="BN46" i="14"/>
  <c r="BP7" i="14"/>
  <c r="BP33" i="14"/>
  <c r="BP54" i="14"/>
  <c r="V64" i="4"/>
  <c r="K30" i="1"/>
  <c r="L30" i="1" s="1"/>
  <c r="T67" i="4"/>
  <c r="I187" i="13" s="1"/>
  <c r="AN64" i="4"/>
  <c r="K29" i="1"/>
  <c r="U69" i="4"/>
  <c r="I191" i="13"/>
  <c r="S69" i="4"/>
  <c r="BR30" i="14" l="1"/>
  <c r="BR46" i="14"/>
  <c r="BP30" i="14"/>
  <c r="BP46" i="14"/>
  <c r="BR33" i="14"/>
  <c r="BR54" i="14"/>
  <c r="K32" i="1"/>
  <c r="I14" i="13" s="1"/>
  <c r="I54" i="13" s="1"/>
  <c r="T69" i="4"/>
  <c r="I95" i="13"/>
  <c r="I91" i="13"/>
  <c r="L29" i="1"/>
  <c r="L32" i="1" l="1"/>
  <c r="J14" i="13"/>
</calcChain>
</file>

<file path=xl/sharedStrings.xml><?xml version="1.0" encoding="utf-8"?>
<sst xmlns="http://schemas.openxmlformats.org/spreadsheetml/2006/main" count="2213" uniqueCount="740">
  <si>
    <t>Module</t>
  </si>
  <si>
    <t>Service</t>
  </si>
  <si>
    <t>ServiceWeight</t>
  </si>
  <si>
    <t>Max Score</t>
  </si>
  <si>
    <t>Big Cities</t>
  </si>
  <si>
    <t>Small Cities</t>
  </si>
  <si>
    <t>Conn. Roads</t>
  </si>
  <si>
    <t>Voice</t>
  </si>
  <si>
    <t>Check</t>
  </si>
  <si>
    <t>Data</t>
  </si>
  <si>
    <t>VOICE M2M</t>
  </si>
  <si>
    <t>HTTP LIVE PAGE DL</t>
  </si>
  <si>
    <t>HTTP FILE DL</t>
  </si>
  <si>
    <t>HTTP UL</t>
  </si>
  <si>
    <t>HTTP DOWNLOAD FDTT</t>
  </si>
  <si>
    <t>HTTP UPLOAD FDTT</t>
  </si>
  <si>
    <t>Youtube HD</t>
  </si>
  <si>
    <t>MAPPING Functions and</t>
  </si>
  <si>
    <t>[MODULE] Smartphone Voice</t>
  </si>
  <si>
    <t>[SERVICE] Mobile to Mobile</t>
  </si>
  <si>
    <t>Calls Total</t>
  </si>
  <si>
    <t>Qualifier</t>
  </si>
  <si>
    <t>Cell Sustainability</t>
  </si>
  <si>
    <t>relative 
Weight of 
the KPIs 
within it's 
service</t>
  </si>
  <si>
    <t>[MODULE] Smartphone Data "4G Pref"</t>
  </si>
  <si>
    <t>[SERVICE] Browsing_Live</t>
  </si>
  <si>
    <t>Number of Sessions - All Live Sites</t>
  </si>
  <si>
    <t>[SERVICE] Browsing_Static</t>
  </si>
  <si>
    <t>Number of Sessions - Static</t>
  </si>
  <si>
    <t>[SERVICE] HTTP File Download (3MB)</t>
  </si>
  <si>
    <t>Number of Sessions</t>
  </si>
  <si>
    <t>[SERVICE] HTTP File Upload (1MB)</t>
  </si>
  <si>
    <t>YouTube HD</t>
  </si>
  <si>
    <t>Function</t>
  </si>
  <si>
    <t>Exponent</t>
  </si>
  <si>
    <t>x_min</t>
  </si>
  <si>
    <t>x_max</t>
  </si>
  <si>
    <t>KPI Scoring Function</t>
  </si>
  <si>
    <t>HTTP STATIC PAGE DL</t>
  </si>
  <si>
    <t>Big city</t>
  </si>
  <si>
    <t>small city</t>
  </si>
  <si>
    <t>highway</t>
  </si>
  <si>
    <t>total</t>
  </si>
  <si>
    <t>voice outdoor</t>
  </si>
  <si>
    <t>data outdoor</t>
  </si>
  <si>
    <t>neg-lin</t>
  </si>
  <si>
    <t>square</t>
  </si>
  <si>
    <t>linear</t>
  </si>
  <si>
    <t>neg-square</t>
  </si>
  <si>
    <t>min</t>
  </si>
  <si>
    <t>max</t>
  </si>
  <si>
    <t>lin</t>
  </si>
  <si>
    <t>nummer</t>
  </si>
  <si>
    <t>TEST</t>
  </si>
  <si>
    <t>Highway</t>
  </si>
  <si>
    <t>Small city</t>
  </si>
  <si>
    <r>
      <t xml:space="preserve">[SERVICE] HTTP Download eKPI  </t>
    </r>
    <r>
      <rPr>
        <b/>
        <sz val="14"/>
        <color rgb="FF00B050"/>
        <rFont val="Calibri"/>
        <family val="2"/>
        <scheme val="minor"/>
      </rPr>
      <t>NC</t>
    </r>
  </si>
  <si>
    <r>
      <t xml:space="preserve">[SERVICE] HTTP Upload eKPI </t>
    </r>
    <r>
      <rPr>
        <b/>
        <sz val="14"/>
        <color rgb="FF00B050"/>
        <rFont val="Calibri"/>
        <family val="2"/>
        <scheme val="minor"/>
      </rPr>
      <t>NC</t>
    </r>
  </si>
  <si>
    <t>Key</t>
  </si>
  <si>
    <t>VF-AL_AMC_CONNECTION ROADS_3G+4G</t>
  </si>
  <si>
    <t>VF-AL_EAGLE MOBILE_CONNECTION ROADS_3G+4G</t>
  </si>
  <si>
    <t>VF-AL_PLUS COMMUNICATION_CONNECTION ROADS_3G+4G</t>
  </si>
  <si>
    <t>VF-AL_VODAFONE_CONNECTION ROADS_3G+4G</t>
  </si>
  <si>
    <t>VF-CZ_O2_CONNECTION ROADS_3G+4G</t>
  </si>
  <si>
    <t>VF-CZ_O2_MAIN CITIES_3G+4G</t>
  </si>
  <si>
    <t>VF-CZ_O2_MAIN CITIES_3G/2G</t>
  </si>
  <si>
    <t>VF-CZ_O2_MAIN CITIES_4G</t>
  </si>
  <si>
    <t>VF-CZ_T-MOBILE_CONNECTION ROADS_3G+4G</t>
  </si>
  <si>
    <t>VF-CZ_T-MOBILE_MAIN CITIES_3G+4G</t>
  </si>
  <si>
    <t>VF-CZ_T-MOBILE_MAIN CITIES_3G/2G</t>
  </si>
  <si>
    <t>VF-CZ_T-MOBILE_MAIN CITIES_4G</t>
  </si>
  <si>
    <t>VF-CZ_VODAFONE_CONNECTION ROADS_3G+4G</t>
  </si>
  <si>
    <t>VF-CZ_VODAFONE_MAIN CITIES_3G+4G</t>
  </si>
  <si>
    <t>VF-CZ_VODAFONE_MAIN CITIES_3G/2G</t>
  </si>
  <si>
    <t>VF-CZ_VODAFONE_MAIN CITIES_4G</t>
  </si>
  <si>
    <t>VF-DE_O2_CONNECTION ROADS_3G+4G</t>
  </si>
  <si>
    <t>VF-DE_O2_MAIN CITIES_3G+4G</t>
  </si>
  <si>
    <t>VF-DE_O2_MAIN CITIES_3G/2G</t>
  </si>
  <si>
    <t>VF-DE_O2_MAIN CITIES_4G</t>
  </si>
  <si>
    <t>VF-DE_O2_SMALLER CITIES_3G+4G</t>
  </si>
  <si>
    <t>VF-DE_O2_SMALLER CITIES_3G/2G</t>
  </si>
  <si>
    <t>VF-DE_O2_SMALLER CITIES_4G</t>
  </si>
  <si>
    <t>VF-DE_T-MOBILE_CONNECTION ROADS_3G+4G</t>
  </si>
  <si>
    <t>VF-DE_T-MOBILE_MAIN CITIES_3G+4G</t>
  </si>
  <si>
    <t>VF-DE_T-MOBILE_MAIN CITIES_3G/2G</t>
  </si>
  <si>
    <t>VF-DE_T-MOBILE_MAIN CITIES_4G</t>
  </si>
  <si>
    <t>VF-DE_T-MOBILE_SMALLER CITIES_3G+4G</t>
  </si>
  <si>
    <t>VF-DE_T-MOBILE_SMALLER CITIES_3G/2G</t>
  </si>
  <si>
    <t>VF-DE_T-MOBILE_SMALLER CITIES_4G</t>
  </si>
  <si>
    <t>VF-DE_VODAFONE_CONNECTION ROADS_3G+4G</t>
  </si>
  <si>
    <t>VF-DE_VODAFONE_MAIN CITIES_3G+4G</t>
  </si>
  <si>
    <t>VF-DE_VODAFONE_MAIN CITIES_3G/2G</t>
  </si>
  <si>
    <t>VF-DE_VODAFONE_MAIN CITIES_4G</t>
  </si>
  <si>
    <t>VF-DE_VODAFONE_SMALLER CITIES_3G+4G</t>
  </si>
  <si>
    <t>VF-DE_VODAFONE_SMALLER CITIES_3G/2G</t>
  </si>
  <si>
    <t>VF-DE_VODAFONE_SMALLER CITIES_4G</t>
  </si>
  <si>
    <t>VF-ES_MOVISTAR_CONNECTION ROADS_3G+4G</t>
  </si>
  <si>
    <t>VF-ES_MOVISTAR_SMALLER CITIES_3G+4G</t>
  </si>
  <si>
    <t>VF-ES_MOVISTAR_SMALLER CITIES_3G/2G</t>
  </si>
  <si>
    <t>VF-ES_MOVISTAR_SMALLER CITIES_4G</t>
  </si>
  <si>
    <t>VF-ES_ORANGE_CONNECTION ROADS_3G+4G</t>
  </si>
  <si>
    <t>VF-ES_ORANGE_SMALLER CITIES_3G+4G</t>
  </si>
  <si>
    <t>VF-ES_ORANGE_SMALLER CITIES_3G/2G</t>
  </si>
  <si>
    <t>VF-ES_ORANGE_SMALLER CITIES_4G</t>
  </si>
  <si>
    <t>VF-ES_VODAFONE_CONNECTION ROADS_3G+4G</t>
  </si>
  <si>
    <t>VF-ES_VODAFONE_SMALLER CITIES_3G+4G</t>
  </si>
  <si>
    <t>VF-ES_VODAFONE_SMALLER CITIES_3G/2G</t>
  </si>
  <si>
    <t>VF-ES_VODAFONE_SMALLER CITIES_4G</t>
  </si>
  <si>
    <t>VF-ES_YOIGO_CONNECTION ROADS_3G+4G</t>
  </si>
  <si>
    <t>VF-ES_YOIGO_SMALLER CITIES_3G+4G</t>
  </si>
  <si>
    <t>VF-ES_YOIGO_SMALLER CITIES_3G/2G</t>
  </si>
  <si>
    <t>VF-ES_YOIGO_SMALLER CITIES_4G</t>
  </si>
  <si>
    <t>VF-GR_COSMOTE_CONNECTION ROADS_3G+4G</t>
  </si>
  <si>
    <t>VF-GR_COSMOTE_MAIN CITIES_3G+4G</t>
  </si>
  <si>
    <t>VF-GR_COSMOTE_MAIN CITIES_3G/2G</t>
  </si>
  <si>
    <t>VF-GR_COSMOTE_MAIN CITIES_4G</t>
  </si>
  <si>
    <t>VF-GR_COSMOTE_SMALLER CITIES_3G+4G</t>
  </si>
  <si>
    <t>VF-GR_COSMOTE_SMALLER CITIES_3G/2G</t>
  </si>
  <si>
    <t>VF-GR_COSMOTE_SMALLER CITIES_4G</t>
  </si>
  <si>
    <t>VF-GR_VODAFONE_CONNECTION ROADS_3G+4G</t>
  </si>
  <si>
    <t>VF-GR_VODAFONE_MAIN CITIES_3G+4G</t>
  </si>
  <si>
    <t>VF-GR_VODAFONE_MAIN CITIES_3G/2G</t>
  </si>
  <si>
    <t>VF-GR_VODAFONE_MAIN CITIES_4G</t>
  </si>
  <si>
    <t>VF-GR_VODAFONE_SMALLER CITIES_3G+4G</t>
  </si>
  <si>
    <t>VF-GR_VODAFONE_SMALLER CITIES_3G/2G</t>
  </si>
  <si>
    <t>VF-GR_VODAFONE_SMALLER CITIES_4G</t>
  </si>
  <si>
    <t>VF-GR_WIND_CONNECTION ROADS_3G+4G</t>
  </si>
  <si>
    <t>VF-GR_WIND_MAIN CITIES_3G+4G</t>
  </si>
  <si>
    <t>VF-GR_WIND_MAIN CITIES_3G/2G</t>
  </si>
  <si>
    <t>VF-GR_WIND_MAIN CITIES_4G</t>
  </si>
  <si>
    <t>VF-GR_WIND_SMALLER CITIES_3G+4G</t>
  </si>
  <si>
    <t>VF-GR_WIND_SMALLER CITIES_3G/2G</t>
  </si>
  <si>
    <t>VF-GR_WIND_SMALLER CITIES_4G</t>
  </si>
  <si>
    <t>VF-HU_T-MOBILE_CONNECTION ROADS_3G+4G</t>
  </si>
  <si>
    <t>VF-HU_T-MOBILE_MAIN CITIES_3G+4G</t>
  </si>
  <si>
    <t>VF-HU_T-MOBILE_MAIN CITIES_3G/2G</t>
  </si>
  <si>
    <t>VF-HU_T-MOBILE_MAIN CITIES_4G</t>
  </si>
  <si>
    <t>VF-HU_T-MOBILE_SMALLER CITIES_3G+4G</t>
  </si>
  <si>
    <t>VF-HU_T-MOBILE_SMALLER CITIES_3G/2G</t>
  </si>
  <si>
    <t>VF-HU_TELENOR_CONNECTION ROADS_3G+4G</t>
  </si>
  <si>
    <t>VF-HU_TELENOR_MAIN CITIES_3G+4G</t>
  </si>
  <si>
    <t>VF-HU_TELENOR_MAIN CITIES_3G/2G</t>
  </si>
  <si>
    <t>VF-HU_TELENOR_MAIN CITIES_4G</t>
  </si>
  <si>
    <t>VF-HU_TELENOR_SMALLER CITIES_3G+4G</t>
  </si>
  <si>
    <t>VF-HU_TELENOR_SMALLER CITIES_3G/2G</t>
  </si>
  <si>
    <t>VF-HU_VODAFONE_CONNECTION ROADS_3G+4G</t>
  </si>
  <si>
    <t>VF-HU_VODAFONE_MAIN CITIES_3G+4G</t>
  </si>
  <si>
    <t>VF-HU_VODAFONE_MAIN CITIES_3G/2G</t>
  </si>
  <si>
    <t>VF-HU_VODAFONE_MAIN CITIES_4G</t>
  </si>
  <si>
    <t>VF-HU_VODAFONE_SMALLER CITIES_3G+4G</t>
  </si>
  <si>
    <t>VF-HU_VODAFONE_SMALLER CITIES_3G/2G</t>
  </si>
  <si>
    <t>VF-IE_H3G_CONNECTION ROADS_3G+4G</t>
  </si>
  <si>
    <t>VF-IE_H3G_MAIN CITIES_3G+4G</t>
  </si>
  <si>
    <t>VF-IE_H3G_MAIN CITIES_3G/2G</t>
  </si>
  <si>
    <t>VF-IE_H3G_MAIN CITIES_4G</t>
  </si>
  <si>
    <t>VF-IE_H3G_SMALLER CITIES_3G+4G</t>
  </si>
  <si>
    <t>VF-IE_H3G_SMALLER CITIES_3G/2G</t>
  </si>
  <si>
    <t>VF-IE_H3G_SMALLER CITIES_4G</t>
  </si>
  <si>
    <t>VF-IE_METEOR_CONNECTION ROADS_3G+4G</t>
  </si>
  <si>
    <t>VF-IE_METEOR_MAIN CITIES_3G+4G</t>
  </si>
  <si>
    <t>VF-IE_METEOR_MAIN CITIES_3G/2G</t>
  </si>
  <si>
    <t>VF-IE_METEOR_MAIN CITIES_4G</t>
  </si>
  <si>
    <t>VF-IE_METEOR_SMALLER CITIES_3G+4G</t>
  </si>
  <si>
    <t>VF-IE_METEOR_SMALLER CITIES_3G/2G</t>
  </si>
  <si>
    <t>VF-IE_METEOR_SMALLER CITIES_4G</t>
  </si>
  <si>
    <t>VF-IE_VODAFONE_CONNECTION ROADS_3G+4G</t>
  </si>
  <si>
    <t>VF-IE_VODAFONE_MAIN CITIES_3G+4G</t>
  </si>
  <si>
    <t>VF-IE_VODAFONE_MAIN CITIES_3G/2G</t>
  </si>
  <si>
    <t>VF-IE_VODAFONE_MAIN CITIES_4G</t>
  </si>
  <si>
    <t>VF-IE_VODAFONE_SMALLER CITIES_3G+4G</t>
  </si>
  <si>
    <t>VF-IE_VODAFONE_SMALLER CITIES_3G/2G</t>
  </si>
  <si>
    <t>VF-IE_VODAFONE_SMALLER CITIES_4G</t>
  </si>
  <si>
    <t>VF-IT_H3G_CONNECTION ROADS_3G+4G</t>
  </si>
  <si>
    <t>VF-IT_H3G_MAIN CITIES_3G+4G</t>
  </si>
  <si>
    <t>VF-IT_H3G_MAIN CITIES_3G/2G</t>
  </si>
  <si>
    <t>VF-IT_H3G_MAIN CITIES_4G</t>
  </si>
  <si>
    <t>VF-IT_H3G_SMALLER CITIES_3G+4G</t>
  </si>
  <si>
    <t>VF-IT_H3G_SMALLER CITIES_3G/2G</t>
  </si>
  <si>
    <t>VF-IT_H3G_SMALLER CITIES_4G</t>
  </si>
  <si>
    <t>VF-IT_TIM_CONNECTION ROADS_3G+4G</t>
  </si>
  <si>
    <t>VF-IT_TIM_MAIN CITIES_3G+4G</t>
  </si>
  <si>
    <t>VF-IT_TIM_MAIN CITIES_3G/2G</t>
  </si>
  <si>
    <t>VF-IT_TIM_MAIN CITIES_4G</t>
  </si>
  <si>
    <t>VF-IT_TIM_SMALLER CITIES_3G+4G</t>
  </si>
  <si>
    <t>VF-IT_TIM_SMALLER CITIES_3G/2G</t>
  </si>
  <si>
    <t>VF-IT_TIM_SMALLER CITIES_4G</t>
  </si>
  <si>
    <t>VF-IT_VODAFONE_CONNECTION ROADS_3G+4G</t>
  </si>
  <si>
    <t>VF-IT_VODAFONE_MAIN CITIES_3G+4G</t>
  </si>
  <si>
    <t>VF-IT_VODAFONE_MAIN CITIES_3G/2G</t>
  </si>
  <si>
    <t>VF-IT_VODAFONE_MAIN CITIES_4G</t>
  </si>
  <si>
    <t>VF-IT_VODAFONE_SMALLER CITIES_3G+4G</t>
  </si>
  <si>
    <t>VF-IT_VODAFONE_SMALLER CITIES_3G/2G</t>
  </si>
  <si>
    <t>VF-IT_VODAFONE_SMALLER CITIES_4G</t>
  </si>
  <si>
    <t>VF-IT_WIND_CONNECTION ROADS_3G+4G</t>
  </si>
  <si>
    <t>VF-IT_WIND_MAIN CITIES_3G+4G</t>
  </si>
  <si>
    <t>VF-IT_WIND_MAIN CITIES_3G/2G</t>
  </si>
  <si>
    <t>VF-IT_WIND_MAIN CITIES_4G</t>
  </si>
  <si>
    <t>VF-IT_WIND_SMALLER CITIES_3G+4G</t>
  </si>
  <si>
    <t>VF-IT_WIND_SMALLER CITIES_3G/2G</t>
  </si>
  <si>
    <t>VF-IT_WIND_SMALLER CITIES_4G</t>
  </si>
  <si>
    <t>VF-MT_GO_CONNECTION ROADS_3G+4G</t>
  </si>
  <si>
    <t>VF-MT_GO_MAIN CITIES_3G+4G</t>
  </si>
  <si>
    <t>VF-MT_GO_MAIN CITIES_3G/2G</t>
  </si>
  <si>
    <t>VF-MT_GO_MAIN CITIES_4G</t>
  </si>
  <si>
    <t>VF-MT_MELITA_MAIN CITIES_3G+4G</t>
  </si>
  <si>
    <t>VF-MT_MELITA_MAIN CITIES_4G</t>
  </si>
  <si>
    <t>VF-MT_VODAFONE_CONNECTION ROADS_3G+4G</t>
  </si>
  <si>
    <t>VF-MT_VODAFONE_MAIN CITIES_3G+4G</t>
  </si>
  <si>
    <t>VF-MT_VODAFONE_MAIN CITIES_3G/2G</t>
  </si>
  <si>
    <t>VF-MT_VODAFONE_MAIN CITIES_4G</t>
  </si>
  <si>
    <t>VF-NL_KPN B.V_CONNECTION ROADS_3G+4G</t>
  </si>
  <si>
    <t>VF-NL_KPN B.V_MAIN CITIES_3G+4G</t>
  </si>
  <si>
    <t>VF-NL_KPN B.V_MAIN CITIES_3G/2G</t>
  </si>
  <si>
    <t>VF-NL_KPN B.V_MAIN CITIES_4G</t>
  </si>
  <si>
    <t>VF-NL_KPN B.V_SMALLER CITIES_3G+4G</t>
  </si>
  <si>
    <t>VF-NL_KPN B.V_SMALLER CITIES_3G/2G</t>
  </si>
  <si>
    <t>VF-NL_KPN B.V_SMALLER CITIES_4G</t>
  </si>
  <si>
    <t>VF-NL_T-MOBILE_CONNECTION ROADS_3G+4G</t>
  </si>
  <si>
    <t>VF-NL_T-MOBILE_MAIN CITIES_3G+4G</t>
  </si>
  <si>
    <t>VF-NL_T-MOBILE_MAIN CITIES_3G/2G</t>
  </si>
  <si>
    <t>VF-NL_T-MOBILE_MAIN CITIES_4G</t>
  </si>
  <si>
    <t>VF-NL_T-MOBILE_SMALLER CITIES_3G+4G</t>
  </si>
  <si>
    <t>VF-NL_T-MOBILE_SMALLER CITIES_3G/2G</t>
  </si>
  <si>
    <t>VF-NL_T-MOBILE_SMALLER CITIES_4G</t>
  </si>
  <si>
    <t>VF-NL_VODAFONE_CONNECTION ROADS_3G+4G</t>
  </si>
  <si>
    <t>VF-NL_VODAFONE_MAIN CITIES_3G+4G</t>
  </si>
  <si>
    <t>VF-NL_VODAFONE_MAIN CITIES_3G/2G</t>
  </si>
  <si>
    <t>VF-NL_VODAFONE_MAIN CITIES_4G</t>
  </si>
  <si>
    <t>VF-NL_VODAFONE_SMALLER CITIES_3G+4G</t>
  </si>
  <si>
    <t>VF-NL_VODAFONE_SMALLER CITIES_3G/2G</t>
  </si>
  <si>
    <t>VF-NL_VODAFONE_SMALLER CITIES_4G</t>
  </si>
  <si>
    <t>VF-PT_VODAFONE_CONNECTION ROADS_3G+4G</t>
  </si>
  <si>
    <t>VF-PT_VODAFONE_MAIN CITIES_3G+4G</t>
  </si>
  <si>
    <t>VF-PT_VODAFONE_MAIN CITIES_3G/2G</t>
  </si>
  <si>
    <t>VF-PT_VODAFONE_MAIN CITIES_4G</t>
  </si>
  <si>
    <t>VF-PT_VODAFONE_SMALLER CITIES_3G+4G</t>
  </si>
  <si>
    <t>VF-PT_VODAFONE_SMALLER CITIES_3G/2G</t>
  </si>
  <si>
    <t>VF-PT_VODAFONE_SMALLER CITIES_4G</t>
  </si>
  <si>
    <t>VF-RO_ORANGE_CONNECTION ROADS_3G+4G</t>
  </si>
  <si>
    <t>VF-RO_ORANGE_MAIN CITIES_3G+4G</t>
  </si>
  <si>
    <t>VF-RO_ORANGE_MAIN CITIES_3G/2G</t>
  </si>
  <si>
    <t>VF-RO_ORANGE_MAIN CITIES_4G</t>
  </si>
  <si>
    <t>VF-RO_ORANGE_SMALLER CITIES_3G+4G</t>
  </si>
  <si>
    <t>VF-RO_ORANGE_SMALLER CITIES_3G/2G</t>
  </si>
  <si>
    <t>VF-RO_ORANGE_SMALLER CITIES_4G</t>
  </si>
  <si>
    <t>VF-RO_VODAFONE_CONNECTION ROADS_3G+4G</t>
  </si>
  <si>
    <t>VF-RO_VODAFONE_MAIN CITIES_3G+4G</t>
  </si>
  <si>
    <t>VF-RO_VODAFONE_MAIN CITIES_3G/2G</t>
  </si>
  <si>
    <t>VF-RO_VODAFONE_MAIN CITIES_4G</t>
  </si>
  <si>
    <t>VF-RO_VODAFONE_SMALLER CITIES_3G+4G</t>
  </si>
  <si>
    <t>VF-RO_VODAFONE_SMALLER CITIES_3G/2G</t>
  </si>
  <si>
    <t>VF-RO_VODAFONE_SMALLER CITIES_4G</t>
  </si>
  <si>
    <t>VF-UK_EE_CONNECTION ROADS_3G+4G</t>
  </si>
  <si>
    <t>VF-UK_EE_MAIN CITIES_3G+4G</t>
  </si>
  <si>
    <t>VF-UK_EE_MAIN CITIES_3G/2G</t>
  </si>
  <si>
    <t>VF-UK_EE_MAIN CITIES_4G</t>
  </si>
  <si>
    <t>VF-UK_EE_SMALLER CITIES_3G+4G</t>
  </si>
  <si>
    <t>VF-UK_EE_SMALLER CITIES_3G/2G</t>
  </si>
  <si>
    <t>VF-UK_H3G_CONNECTION ROADS_3G+4G</t>
  </si>
  <si>
    <t>VF-UK_H3G_MAIN CITIES_3G+4G</t>
  </si>
  <si>
    <t>VF-UK_H3G_MAIN CITIES_3G/2G</t>
  </si>
  <si>
    <t>VF-UK_H3G_MAIN CITIES_4G</t>
  </si>
  <si>
    <t>VF-UK_H3G_SMALLER CITIES_3G+4G</t>
  </si>
  <si>
    <t>VF-UK_H3G_SMALLER CITIES_3G/2G</t>
  </si>
  <si>
    <t>VF-UK_O2_CONNECTION ROADS_3G+4G</t>
  </si>
  <si>
    <t>VF-UK_O2_MAIN CITIES_3G+4G</t>
  </si>
  <si>
    <t>VF-UK_O2_MAIN CITIES_3G/2G</t>
  </si>
  <si>
    <t>VF-UK_O2_MAIN CITIES_4G</t>
  </si>
  <si>
    <t>VF-UK_O2_SMALLER CITIES_3G+4G</t>
  </si>
  <si>
    <t>VF-UK_O2_SMALLER CITIES_3G/2G</t>
  </si>
  <si>
    <t>VF-UK_VODAFONE_CONNECTION ROADS_3G+4G</t>
  </si>
  <si>
    <t>VF-UK_VODAFONE_MAIN CITIES_3G+4G</t>
  </si>
  <si>
    <t>VF-UK_VODAFONE_MAIN CITIES_3G/2G</t>
  </si>
  <si>
    <t>VF-UK_VODAFONE_MAIN CITIES_4G</t>
  </si>
  <si>
    <t>VF-UK_VODAFONE_SMALLER CITIES_3G+4G</t>
  </si>
  <si>
    <t>VF-UK_VODAFONE_SMALLER CITIES_3G/2G</t>
  </si>
  <si>
    <t>Breakdown per categories</t>
  </si>
  <si>
    <t>TIM</t>
  </si>
  <si>
    <t>VODAFONE</t>
  </si>
  <si>
    <t>MAIN CITIES</t>
  </si>
  <si>
    <t>OPERATOR 1</t>
  </si>
  <si>
    <t>OPERATOR 2</t>
  </si>
  <si>
    <t>OPERATOR 3</t>
  </si>
  <si>
    <t>KEY 1</t>
  </si>
  <si>
    <t>WIND</t>
  </si>
  <si>
    <t>KEY 2</t>
  </si>
  <si>
    <t>KEY 3</t>
  </si>
  <si>
    <t>KEY 4</t>
  </si>
  <si>
    <t>OpCo</t>
  </si>
  <si>
    <t>Operator1</t>
  </si>
  <si>
    <t>Operator2</t>
  </si>
  <si>
    <t>Operator3</t>
  </si>
  <si>
    <t>Operator4</t>
  </si>
  <si>
    <t>DE</t>
  </si>
  <si>
    <t>O2</t>
  </si>
  <si>
    <t>T-MOBILE</t>
  </si>
  <si>
    <t>ES</t>
  </si>
  <si>
    <t>MOVISTAR</t>
  </si>
  <si>
    <t>ORANGE</t>
  </si>
  <si>
    <t>YOIGO</t>
  </si>
  <si>
    <t>UK</t>
  </si>
  <si>
    <t>EE</t>
  </si>
  <si>
    <t>H3G</t>
  </si>
  <si>
    <t>NL</t>
  </si>
  <si>
    <t>KPN B.V</t>
  </si>
  <si>
    <t>IT</t>
  </si>
  <si>
    <t>MT</t>
  </si>
  <si>
    <t>GO</t>
  </si>
  <si>
    <t>MELITA</t>
  </si>
  <si>
    <t>RO</t>
  </si>
  <si>
    <t>COSMOTE</t>
  </si>
  <si>
    <t>PT</t>
  </si>
  <si>
    <t>TMN</t>
  </si>
  <si>
    <t>OPTIMUS</t>
  </si>
  <si>
    <t>HU</t>
  </si>
  <si>
    <t>TELENOR</t>
  </si>
  <si>
    <t>GR</t>
  </si>
  <si>
    <t>AL</t>
  </si>
  <si>
    <t>EAGLE MOBILE</t>
  </si>
  <si>
    <t>AMC</t>
  </si>
  <si>
    <t>PLUS COMMUNICATION</t>
  </si>
  <si>
    <t>IE</t>
  </si>
  <si>
    <t>METEOR</t>
  </si>
  <si>
    <t>CZ</t>
  </si>
  <si>
    <t>3G/2G</t>
  </si>
  <si>
    <t>SMALLER CITIES</t>
  </si>
  <si>
    <t>VOICE KEYS</t>
  </si>
  <si>
    <t>CONNECTION ROADS</t>
  </si>
  <si>
    <t>DATA KEYS</t>
  </si>
  <si>
    <t>MH/CR</t>
  </si>
  <si>
    <t>4G</t>
  </si>
  <si>
    <t>MAIN HIGHWAYS</t>
  </si>
  <si>
    <t>Opco</t>
  </si>
  <si>
    <t>Target</t>
  </si>
  <si>
    <t>3G+4G</t>
  </si>
  <si>
    <t>VF-UK_EE_SMALLER CITIES_4G</t>
  </si>
  <si>
    <t>VF-UK_H3G_SMALLER CITIES_4G</t>
  </si>
  <si>
    <t>VF-UK_O2_SMALLER CITIES_4G</t>
  </si>
  <si>
    <t>VF-UK_VODAFONE_SMALLER CITIES_4G</t>
  </si>
  <si>
    <t>Index</t>
  </si>
  <si>
    <t>Technology</t>
  </si>
  <si>
    <t>Mapping</t>
  </si>
  <si>
    <t>Browsing</t>
  </si>
  <si>
    <t>LIVE BROWSING</t>
  </si>
  <si>
    <t>STATIC BROWSING</t>
  </si>
  <si>
    <t>EMPTY</t>
  </si>
  <si>
    <t>Filters</t>
  </si>
  <si>
    <t>ComboBox Value (index)</t>
  </si>
  <si>
    <t>Azioni Utente</t>
  </si>
  <si>
    <t>- Filtrare sui dati utilizzando le combobox presenti nella sezione "Filters" della scheda Service_Weights</t>
  </si>
  <si>
    <t>L'analisi verrà aggiornata automaticamente in base ai filtri selezionati</t>
  </si>
  <si>
    <t>L’utente per produrre il XSLX "P3 Benchmark Calculations" per uno specifico mese e OPCO dovrà eseguire le seguenti azioni:</t>
  </si>
  <si>
    <t>VF-AL_AMC_MAIN HIGHWAYS_3G+4G</t>
  </si>
  <si>
    <t>VF-AL_EAGLE MOBILE_MAIN HIGHWAYS_3G+4G</t>
  </si>
  <si>
    <t>VF-AL_PLUS COMMUNICATION_MAIN HIGHWAYS_3G+4G</t>
  </si>
  <si>
    <t>VF-AL_VODAFONE_MAIN HIGHWAYS_3G+4G</t>
  </si>
  <si>
    <t>VF-CZ_O2_MAIN HIGHWAYS_3G+4G</t>
  </si>
  <si>
    <t>VF-CZ_T-MOBILE_MAIN HIGHWAYS_3G+4G</t>
  </si>
  <si>
    <t>VF-CZ_VODAFONE_MAIN HIGHWAYS_3G+4G</t>
  </si>
  <si>
    <t>VF-DE_O2_MAIN HIGHWAYS_3G+4G</t>
  </si>
  <si>
    <t>VF-DE_T-MOBILE_MAIN HIGHWAYS_3G+4G</t>
  </si>
  <si>
    <t>VF-DE_VODAFONE_MAIN HIGHWAYS_3G+4G</t>
  </si>
  <si>
    <t>VF-ES_MOVISTAR_MAIN HIGHWAYS_3G+4G</t>
  </si>
  <si>
    <t>VF-ES_ORANGE_MAIN HIGHWAYS_3G+4G</t>
  </si>
  <si>
    <t>VF-ES_VODAFONE_MAIN HIGHWAYS_3G+4G</t>
  </si>
  <si>
    <t>VF-ES_YOIGO_MAIN HIGHWAYS_3G+4G</t>
  </si>
  <si>
    <t>VF-GR_COSMOTE_MAIN HIGHWAYS_3G+4G</t>
  </si>
  <si>
    <t>VF-GR_VODAFONE_MAIN HIGHWAYS_3G+4G</t>
  </si>
  <si>
    <t>VF-GR_WIND_MAIN HIGHWAYS_3G+4G</t>
  </si>
  <si>
    <t>VF-HU_T-MOBILE_MAIN HIGHWAYS_3G+4G</t>
  </si>
  <si>
    <t>VF-HU_TELENOR_MAIN HIGHWAYS_3G+4G</t>
  </si>
  <si>
    <t>VF-HU_VODAFONE_MAIN HIGHWAYS_3G+4G</t>
  </si>
  <si>
    <t>VF-IE_H3G_MAIN HIGHWAYS_3G+4G</t>
  </si>
  <si>
    <t>VF-IE_METEOR_MAIN HIGHWAYS_3G+4G</t>
  </si>
  <si>
    <t>VF-IE_VODAFONE_MAIN HIGHWAYS_3G+4G</t>
  </si>
  <si>
    <t>VF-IT_H3G_MAIN HIGHWAYS_3G+4G</t>
  </si>
  <si>
    <t>VF-IT_TIM_MAIN HIGHWAYS_3G+4G</t>
  </si>
  <si>
    <t>VF-IT_VODAFONE_MAIN HIGHWAYS_3G+4G</t>
  </si>
  <si>
    <t>VF-IT_WIND_MAIN HIGHWAYS_3G+4G</t>
  </si>
  <si>
    <t>VF-MT_GO_MAIN HIGHWAYS_3G+4G</t>
  </si>
  <si>
    <t>VF-MT_VODAFONE_MAIN HIGHWAYS_3G+4G</t>
  </si>
  <si>
    <t>VF-NL_KPN B.V_MAIN HIGHWAYS_3G+4G</t>
  </si>
  <si>
    <t>VF-NL_T-MOBILE_MAIN HIGHWAYS_3G+4G</t>
  </si>
  <si>
    <t>VF-NL_VODAFONE_MAIN HIGHWAYS_3G+4G</t>
  </si>
  <si>
    <t>VF-PT_VODAFONE_MAIN HIGHWAYS_3G+4G</t>
  </si>
  <si>
    <t>VF-RO_ORANGE_MAIN HIGHWAYS_3G+4G</t>
  </si>
  <si>
    <t>VF-RO_VODAFONE_MAIN HIGHWAYS_3G+4G</t>
  </si>
  <si>
    <t>VF-UK_EE_MAIN HIGHWAYS_3G+4G</t>
  </si>
  <si>
    <t>VF-UK_H3G_MAIN HIGHWAYS_3G+4G</t>
  </si>
  <si>
    <t>VF-UK_O2_MAIN HIGHWAYS_3G+4G</t>
  </si>
  <si>
    <t>VF-UK_VODAFONE_MAIN HIGHWAYS_3G+4G</t>
  </si>
  <si>
    <t>Live browsing qualifier</t>
  </si>
  <si>
    <t>Live browsing session time</t>
  </si>
  <si>
    <t>Static browsing qualifier</t>
  </si>
  <si>
    <t>Static browsing session time</t>
  </si>
  <si>
    <t>HTTP DL qualifier</t>
  </si>
  <si>
    <t>HTTP DL session time</t>
  </si>
  <si>
    <t>DL - 10th percentile</t>
  </si>
  <si>
    <t>DL - 90th percentile</t>
  </si>
  <si>
    <t>HTTP UL qualifier</t>
  </si>
  <si>
    <t>HTTP UL session time</t>
  </si>
  <si>
    <t>UL - 10th percentile</t>
  </si>
  <si>
    <t>UL - 90th percentile</t>
  </si>
  <si>
    <t>HTTP DL eKPI qualifier</t>
  </si>
  <si>
    <t>DL Netcap - Mean Data User Rate</t>
  </si>
  <si>
    <t>DL Netcap - 10th percentile</t>
  </si>
  <si>
    <t>DL Netcap - 90th percentile</t>
  </si>
  <si>
    <t>HTTP upload eKPI qualifier</t>
  </si>
  <si>
    <t>UL Netcap - Mean Data User Rate</t>
  </si>
  <si>
    <t>UL Netcap - 10th percentile</t>
  </si>
  <si>
    <t>UL Netcap - 90th percentile</t>
  </si>
  <si>
    <t>YouTube SD qualifier</t>
  </si>
  <si>
    <t>YouTube - Reproduction without interruptions</t>
  </si>
  <si>
    <t>YouTube - Avg video start time</t>
  </si>
  <si>
    <t>YouTube HD qualifier</t>
  </si>
  <si>
    <t>YouTube HD - Reproduction without interruptions</t>
  </si>
  <si>
    <t>YouTube HD - Avg video start time</t>
  </si>
  <si>
    <t>VF-AL_AMC_MAIN CITIES_3G+4G</t>
  </si>
  <si>
    <t>VF-AL_AMC_MAIN CITIES_3G/2G</t>
  </si>
  <si>
    <t>VF-AL_AMC_SMALLER CITIES_3G+4G</t>
  </si>
  <si>
    <t>VF-AL_AMC_SMALLER CITIES_3G/2G</t>
  </si>
  <si>
    <t>VF-AL_EAGLE MOBILE_MAIN CITIES_3G+4G</t>
  </si>
  <si>
    <t>VF-AL_EAGLE MOBILE_MAIN CITIES_3G/2G</t>
  </si>
  <si>
    <t>VF-AL_EAGLE MOBILE_SMALLER CITIES_3G+4G</t>
  </si>
  <si>
    <t>VF-AL_EAGLE MOBILE_SMALLER CITIES_3G/2G</t>
  </si>
  <si>
    <t>VF-AL_VODAFONE_MAIN CITIES_3G+4G</t>
  </si>
  <si>
    <t>VF-AL_VODAFONE_MAIN CITIES_3G/2G</t>
  </si>
  <si>
    <t>VF-AL_VODAFONE_SMALLER CITIES_3G+4G</t>
  </si>
  <si>
    <t>VF-AL_VODAFONE_SMALLER CITIES_3G/2G</t>
  </si>
  <si>
    <t>VF-CZ_O2_SMALLER CITIES_3G+4G</t>
  </si>
  <si>
    <t>VF-CZ_O2_SMALLER CITIES_3G/2G</t>
  </si>
  <si>
    <t>VF-CZ_O2_SMALLER CITIES_4G</t>
  </si>
  <si>
    <t>VF-CZ_T-MOBILE_SMALLER CITIES_3G+4G</t>
  </si>
  <si>
    <t>VF-CZ_T-MOBILE_SMALLER CITIES_3G/2G</t>
  </si>
  <si>
    <t>VF-CZ_T-MOBILE_SMALLER CITIES_4G</t>
  </si>
  <si>
    <t>VF-CZ_VODAFONE_SMALLER CITIES_3G+4G</t>
  </si>
  <si>
    <t>VF-CZ_VODAFONE_SMALLER CITIES_3G/2G</t>
  </si>
  <si>
    <t>VF-CZ_VODAFONE_SMALLER CITIES_4G</t>
  </si>
  <si>
    <t>VF-ES_MOVISTAR_MAIN CITIES_3G+4G</t>
  </si>
  <si>
    <t>VF-ES_MOVISTAR_MAIN CITIES_3G/2G</t>
  </si>
  <si>
    <t>VF-ES_MOVISTAR_MAIN CITIES_4G</t>
  </si>
  <si>
    <t>VF-ES_ORANGE_MAIN CITIES_3G+4G</t>
  </si>
  <si>
    <t>VF-ES_ORANGE_MAIN CITIES_3G/2G</t>
  </si>
  <si>
    <t>VF-ES_ORANGE_MAIN CITIES_4G</t>
  </si>
  <si>
    <t>VF-ES_VODAFONE_MAIN CITIES_3G+4G</t>
  </si>
  <si>
    <t>VF-ES_VODAFONE_MAIN CITIES_3G/2G</t>
  </si>
  <si>
    <t>VF-ES_VODAFONE_MAIN CITIES_4G</t>
  </si>
  <si>
    <t>VF-ES_YOIGO_MAIN CITIES_3G+4G</t>
  </si>
  <si>
    <t>VF-ES_YOIGO_MAIN CITIES_3G/2G</t>
  </si>
  <si>
    <t>VF-ES_YOIGO_MAIN CITIES_4G</t>
  </si>
  <si>
    <t>VF-MT_MELITA_MAIN CITIES_3G/2G</t>
  </si>
  <si>
    <t>voice M2M qualifier</t>
  </si>
  <si>
    <t>Alerting MO+MT CST (s)</t>
  </si>
  <si>
    <t>Avg Voice quality - overall</t>
  </si>
  <si>
    <t>Operator Mapping</t>
  </si>
  <si>
    <t>Combobox Mapping</t>
  </si>
  <si>
    <t>Main Cities</t>
  </si>
  <si>
    <t>Smaller Cities</t>
  </si>
  <si>
    <t>Main Highways</t>
  </si>
  <si>
    <t>Voice Tech Smaller Cities</t>
  </si>
  <si>
    <t>Data Tech Smaller Cities</t>
  </si>
  <si>
    <t>Voice Tech Highways/C.Roads</t>
  </si>
  <si>
    <t>Data Tech Highways/C.Roads</t>
  </si>
  <si>
    <t>Voice Tech Main Cities</t>
  </si>
  <si>
    <t>Data Tech Main Cities</t>
  </si>
  <si>
    <t>OPCO:</t>
  </si>
  <si>
    <t>Voice Technology:</t>
  </si>
  <si>
    <t>Data Technology:</t>
  </si>
  <si>
    <t xml:space="preserve">Highway </t>
  </si>
  <si>
    <t>Transfer Scenario:</t>
  </si>
  <si>
    <t>Browsing_Live:</t>
  </si>
  <si>
    <t>P3 Public</t>
  </si>
  <si>
    <t>MC_AVG</t>
  </si>
  <si>
    <t>MC_AVG_KEY</t>
  </si>
  <si>
    <t>subkey</t>
  </si>
  <si>
    <t>SC_AVG_KEY</t>
  </si>
  <si>
    <t>SC_AVG</t>
  </si>
  <si>
    <t>H_AVG_KEY</t>
  </si>
  <si>
    <t>H_AVG</t>
  </si>
  <si>
    <t>MC_AVG_4G</t>
  </si>
  <si>
    <t>MC_AVG_3+4</t>
  </si>
  <si>
    <t>SC_AVG_4G</t>
  </si>
  <si>
    <t>SC_AVG_3+4</t>
  </si>
  <si>
    <t>score</t>
  </si>
  <si>
    <t>data total score</t>
  </si>
  <si>
    <t>KEY</t>
  </si>
  <si>
    <t>Session Time (Avg)</t>
  </si>
  <si>
    <t>VF-AL_AMC</t>
  </si>
  <si>
    <t>VF-AL_EAGLE MOBILE</t>
  </si>
  <si>
    <t>VF-AL_VODAFONE</t>
  </si>
  <si>
    <t>VF-ES_MOVISTAR</t>
  </si>
  <si>
    <t>VF-ES_ORANGE</t>
  </si>
  <si>
    <t>VF-ES_VODAFONE</t>
  </si>
  <si>
    <t>VF-IT_TIM</t>
  </si>
  <si>
    <t>VF-IT_VODAFONE</t>
  </si>
  <si>
    <t>VF-MT_GO</t>
  </si>
  <si>
    <t>VF-MT_VODAFONE</t>
  </si>
  <si>
    <t>Call Setup Time [s]</t>
  </si>
  <si>
    <t>Speech Quality [MOS_LQO]</t>
  </si>
  <si>
    <t>Browsing Session Time [s] - Live</t>
  </si>
  <si>
    <t>Browsing Session Time [s] - Static</t>
  </si>
  <si>
    <t>File Transfer Session Time [s]</t>
  </si>
  <si>
    <t>File Transfer Data Rate P10 [kbps]</t>
  </si>
  <si>
    <t>File Transfer Data Rate P90 [kbps]</t>
  </si>
  <si>
    <t>Datastream Data Rate [kbps]</t>
  </si>
  <si>
    <t>Datastream Data Rate P10 [kbps]</t>
  </si>
  <si>
    <t>Datastream Data Rate P90 [kbps]</t>
  </si>
  <si>
    <t>VF-AL_AMC_CONNECTION ROADS_4G</t>
  </si>
  <si>
    <t>VF-AL_AMC_MAIN HIGHWAYS_4G</t>
  </si>
  <si>
    <t>VF-AL_EAGLE MOBILE_CONNECTION ROADS_4G</t>
  </si>
  <si>
    <t>VF-AL_EAGLE MOBILE_MAIN HIGHWAYS_4G</t>
  </si>
  <si>
    <t>VF-AL_VODAFONE_CONNECTION ROADS_4G</t>
  </si>
  <si>
    <t>VF-AL_VODAFONE_MAIN HIGHWAYS_4G</t>
  </si>
  <si>
    <t>VF-CZ_O2_CONNECTION ROADS_4G</t>
  </si>
  <si>
    <t>VF-CZ_O2_MAIN HIGHWAYS_4G</t>
  </si>
  <si>
    <t>VF-CZ_T-MOBILE_CONNECTION ROADS_4G</t>
  </si>
  <si>
    <t>VF-CZ_T-MOBILE_MAIN HIGHWAYS_4G</t>
  </si>
  <si>
    <t>VF-CZ_VODAFONE_CONNECTION ROADS_4G</t>
  </si>
  <si>
    <t>VF-CZ_VODAFONE_MAIN HIGHWAYS_4G</t>
  </si>
  <si>
    <t>VF-DE_O2_CONNECTION ROADS_4G</t>
  </si>
  <si>
    <t>VF-DE_O2_MAIN HIGHWAYS_4G</t>
  </si>
  <si>
    <t>VF-DE_T-MOBILE_CONNECTION ROADS_4G</t>
  </si>
  <si>
    <t>VF-DE_T-MOBILE_MAIN HIGHWAYS_4G</t>
  </si>
  <si>
    <t>VF-DE_VODAFONE_CONNECTION ROADS_4G</t>
  </si>
  <si>
    <t>VF-DE_VODAFONE_MAIN HIGHWAYS_4G</t>
  </si>
  <si>
    <t>VF-ES_MOVISTAR_CONNECTION ROADS_4G</t>
  </si>
  <si>
    <t>VF-ES_MOVISTAR_MAIN HIGHWAYS_4G</t>
  </si>
  <si>
    <t>VF-ES_ORANGE_CONNECTION ROADS_4G</t>
  </si>
  <si>
    <t>VF-ES_ORANGE_MAIN HIGHWAYS_4G</t>
  </si>
  <si>
    <t>VF-ES_VODAFONE_CONNECTION ROADS_4G</t>
  </si>
  <si>
    <t>VF-ES_VODAFONE_MAIN HIGHWAYS_4G</t>
  </si>
  <si>
    <t>VF-ES_YOIGO_CONNECTION ROADS_4G</t>
  </si>
  <si>
    <t>VF-ES_YOIGO_MAIN HIGHWAYS_4G</t>
  </si>
  <si>
    <t>VF-GR_COSMOTE_CONNECTION ROADS_4G</t>
  </si>
  <si>
    <t>VF-GR_COSMOTE_MAIN HIGHWAYS_4G</t>
  </si>
  <si>
    <t>VF-GR_VODAFONE_CONNECTION ROADS_4G</t>
  </si>
  <si>
    <t>VF-GR_VODAFONE_MAIN HIGHWAYS_4G</t>
  </si>
  <si>
    <t>VF-GR_WIND_CONNECTION ROADS_4G</t>
  </si>
  <si>
    <t>VF-GR_WIND_MAIN HIGHWAYS_4G</t>
  </si>
  <si>
    <t>VF-HU_T-MOBILE_CONNECTION ROADS_4G</t>
  </si>
  <si>
    <t>VF-HU_T-MOBILE_MAIN HIGHWAYS_4G</t>
  </si>
  <si>
    <t>VF-HU_T-MOBILE_SMALLER CITIES_4G</t>
  </si>
  <si>
    <t>VF-HU_TELENOR_CONNECTION ROADS_4G</t>
  </si>
  <si>
    <t>VF-HU_TELENOR_MAIN HIGHWAYS_4G</t>
  </si>
  <si>
    <t>VF-HU_TELENOR_SMALLER CITIES_4G</t>
  </si>
  <si>
    <t>VF-HU_VODAFONE_CONNECTION ROADS_4G</t>
  </si>
  <si>
    <t>VF-HU_VODAFONE_MAIN HIGHWAYS_4G</t>
  </si>
  <si>
    <t>VF-HU_VODAFONE_SMALLER CITIES_4G</t>
  </si>
  <si>
    <t>VF-IE_H3G_CONNECTION ROADS_4G</t>
  </si>
  <si>
    <t>VF-IE_H3G_MAIN HIGHWAYS_4G</t>
  </si>
  <si>
    <t>VF-IE_METEOR_CONNECTION ROADS_4G</t>
  </si>
  <si>
    <t>VF-IE_METEOR_MAIN HIGHWAYS_4G</t>
  </si>
  <si>
    <t>VF-IE_VODAFONE_CONNECTION ROADS_4G</t>
  </si>
  <si>
    <t>VF-IE_VODAFONE_MAIN HIGHWAYS_4G</t>
  </si>
  <si>
    <t>VF-IT_H3G_CONNECTION ROADS_4G</t>
  </si>
  <si>
    <t>VF-IT_H3G_MAIN HIGHWAYS_4G</t>
  </si>
  <si>
    <t>VF-IT_TIM_CONNECTION ROADS_4G</t>
  </si>
  <si>
    <t>VF-IT_TIM_MAIN HIGHWAYS_4G</t>
  </si>
  <si>
    <t>VF-IT_VODAFONE_CONNECTION ROADS_4G</t>
  </si>
  <si>
    <t>VF-IT_VODAFONE_MAIN HIGHWAYS_4G</t>
  </si>
  <si>
    <t>VF-IT_WIND_CONNECTION ROADS_4G</t>
  </si>
  <si>
    <t>VF-IT_WIND_MAIN HIGHWAYS_4G</t>
  </si>
  <si>
    <t>VF-MT_GO_CONNECTION ROADS_4G</t>
  </si>
  <si>
    <t>VF-MT_GO_MAIN HIGHWAYS_4G</t>
  </si>
  <si>
    <t>VF-MT_VODAFONE_CONNECTION ROADS_4G</t>
  </si>
  <si>
    <t>VF-MT_VODAFONE_MAIN HIGHWAYS_4G</t>
  </si>
  <si>
    <t>VF-NL_KPN B.V_CONNECTION ROADS_4G</t>
  </si>
  <si>
    <t>VF-NL_KPN B.V_MAIN HIGHWAYS_4G</t>
  </si>
  <si>
    <t>VF-NL_T-MOBILE_CONNECTION ROADS_4G</t>
  </si>
  <si>
    <t>VF-NL_T-MOBILE_MAIN HIGHWAYS_4G</t>
  </si>
  <si>
    <t>VF-NL_VODAFONE_CONNECTION ROADS_4G</t>
  </si>
  <si>
    <t>VF-NL_VODAFONE_MAIN HIGHWAYS_4G</t>
  </si>
  <si>
    <t>VF-PT_VODAFONE_CONNECTION ROADS_4G</t>
  </si>
  <si>
    <t>VF-PT_VODAFONE_MAIN HIGHWAYS_4G</t>
  </si>
  <si>
    <t>VF-RO_ORANGE_CONNECTION ROADS_4G</t>
  </si>
  <si>
    <t>VF-RO_ORANGE_MAIN HIGHWAYS_4G</t>
  </si>
  <si>
    <t>VF-RO_VODAFONE_CONNECTION ROADS_4G</t>
  </si>
  <si>
    <t>VF-RO_VODAFONE_MAIN HIGHWAYS_4G</t>
  </si>
  <si>
    <t>VF-UK_EE_CONNECTION ROADS_4G</t>
  </si>
  <si>
    <t>VF-UK_EE_MAIN HIGHWAYS_4G</t>
  </si>
  <si>
    <t>VF-UK_H3G_CONNECTION ROADS_4G</t>
  </si>
  <si>
    <t>VF-UK_H3G_MAIN HIGHWAYS_4G</t>
  </si>
  <si>
    <t>VF-UK_O2_CONNECTION ROADS_4G</t>
  </si>
  <si>
    <t>VF-UK_O2_MAIN HIGHWAYS_4G</t>
  </si>
  <si>
    <t>VF-UK_VODAFONE_CONNECTION ROADS_4G</t>
  </si>
  <si>
    <t>VF-UK_VODAFONE_MAIN HIGHWAYS_4G</t>
  </si>
  <si>
    <t>Operator</t>
  </si>
  <si>
    <t>Score</t>
  </si>
  <si>
    <t>VOICE</t>
  </si>
  <si>
    <t>DATA</t>
  </si>
  <si>
    <t>QUALIFIER</t>
  </si>
  <si>
    <t>DIFFERENTIATOR</t>
  </si>
  <si>
    <t>Aggregation</t>
  </si>
  <si>
    <t>Connecting roads</t>
  </si>
  <si>
    <t>TELEPHONY</t>
  </si>
  <si>
    <t>WEB BROWSING</t>
  </si>
  <si>
    <t>FILE DOWNLOAD</t>
  </si>
  <si>
    <t>FILE UPLOAD</t>
  </si>
  <si>
    <t>YOUTUBE</t>
  </si>
  <si>
    <t>VF-AL_PLUS COMMUNICATION_CONNECTION ROADS_4G</t>
  </si>
  <si>
    <t>VF-AL_PLUS COMMUNICATION_MAIN HIGHWAYS_4G</t>
  </si>
  <si>
    <t>Browsing Live</t>
  </si>
  <si>
    <t>Browsing Static</t>
  </si>
  <si>
    <t>HTTP File Download (3MB)</t>
  </si>
  <si>
    <t>HTTP File Upload (1MB)</t>
  </si>
  <si>
    <t>HTTP Download eKPI  NC</t>
  </si>
  <si>
    <t>HTTP Upload eKPI NC</t>
  </si>
  <si>
    <t>Browsing
Session
Time
[s]
Live</t>
  </si>
  <si>
    <t>Browsing
Session
Time
[s]
Static</t>
  </si>
  <si>
    <r>
      <t xml:space="preserve">Call Setup Time
</t>
    </r>
    <r>
      <rPr>
        <sz val="16"/>
        <color theme="1"/>
        <rFont val="Calibri"/>
        <family val="2"/>
        <scheme val="minor"/>
      </rPr>
      <t>[s]</t>
    </r>
  </si>
  <si>
    <r>
      <t xml:space="preserve">Speech
Quality
</t>
    </r>
    <r>
      <rPr>
        <sz val="16"/>
        <color theme="1"/>
        <rFont val="Calibri"/>
        <family val="2"/>
        <scheme val="minor"/>
      </rPr>
      <t>[MOS_LQO]</t>
    </r>
  </si>
  <si>
    <r>
      <t xml:space="preserve">File Transfer Session Time
</t>
    </r>
    <r>
      <rPr>
        <sz val="16"/>
        <color theme="1"/>
        <rFont val="Calibri"/>
        <family val="2"/>
        <scheme val="minor"/>
      </rPr>
      <t>[s]</t>
    </r>
  </si>
  <si>
    <r>
      <t xml:space="preserve">File Transfer Data Rate P10
</t>
    </r>
    <r>
      <rPr>
        <sz val="16"/>
        <color theme="1"/>
        <rFont val="Calibri"/>
        <family val="2"/>
        <scheme val="minor"/>
      </rPr>
      <t>[kbps]</t>
    </r>
  </si>
  <si>
    <r>
      <t xml:space="preserve">File Transfer Data Rate P90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</si>
  <si>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</si>
  <si>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 P10
</t>
    </r>
    <r>
      <rPr>
        <sz val="16"/>
        <color theme="1"/>
        <rFont val="Calibri"/>
        <family val="2"/>
        <scheme val="minor"/>
      </rPr>
      <t>[kbps]</t>
    </r>
  </si>
  <si>
    <r>
      <t xml:space="preserve">Datastream Data Rate P90
</t>
    </r>
    <r>
      <rPr>
        <sz val="16"/>
        <color theme="1"/>
        <rFont val="Calibri"/>
        <family val="2"/>
        <scheme val="minor"/>
      </rPr>
      <t>[kbps]</t>
    </r>
  </si>
  <si>
    <r>
      <t xml:space="preserve"> YouTube Video Start Time
</t>
    </r>
    <r>
      <rPr>
        <sz val="16"/>
        <color theme="1"/>
        <rFont val="Calibri"/>
        <family val="2"/>
        <scheme val="minor"/>
      </rPr>
      <t>[s]</t>
    </r>
  </si>
  <si>
    <r>
      <t xml:space="preserve"> YouTube Playouts without Interruptions
</t>
    </r>
    <r>
      <rPr>
        <sz val="16"/>
        <color theme="1"/>
        <rFont val="Calibri"/>
        <family val="2"/>
        <scheme val="minor"/>
      </rPr>
      <t>[%]</t>
    </r>
  </si>
  <si>
    <t>- Modificare i prompt dell'analisi presente nelle schede OBIEE_VOICE, OBIEE_DATA e OBIEE_LIVE_BROWSING per selezionare il mese desiderato.</t>
  </si>
  <si>
    <t>VF-AL_PLUS COMMUNICATION_MAIN CITIES_3G+4G</t>
  </si>
  <si>
    <t>VF-AL_PLUS COMMUNICATION_MAIN CITIES_3G/2G</t>
  </si>
  <si>
    <t>VF-AL_PLUS COMMUNICATION_SMALLER CITIES_3G+4G</t>
  </si>
  <si>
    <t>VF-AL_PLUS COMMUNICATION_SMALLER CITIES_3G/2G</t>
  </si>
  <si>
    <t>Total</t>
  </si>
  <si>
    <t>OPCO</t>
  </si>
  <si>
    <t>OPERATOR</t>
  </si>
  <si>
    <t>TOTAL</t>
  </si>
  <si>
    <t>PLUS COM.</t>
  </si>
  <si>
    <t>Graphs All OpCo Sheets</t>
  </si>
  <si>
    <t>- I dati utilizzati per i grafici saranno relativi ai valori selezionati negli altri filtri (es. Voice Technology, Browsing, ….)</t>
  </si>
  <si>
    <r>
      <t>- Tramite il pulsante "</t>
    </r>
    <r>
      <rPr>
        <i/>
        <sz val="11"/>
        <color theme="1"/>
        <rFont val="Calibri"/>
        <family val="2"/>
        <scheme val="minor"/>
      </rPr>
      <t>Refresh Graphs All OpCo</t>
    </r>
    <r>
      <rPr>
        <sz val="11"/>
        <color theme="1"/>
        <rFont val="Calibri"/>
        <family val="2"/>
        <scheme val="minor"/>
      </rPr>
      <t xml:space="preserve">" è possibile generare i grafici con i punteggi di tutte le 13 OpCo. </t>
    </r>
  </si>
  <si>
    <t>big city</t>
  </si>
  <si>
    <t>highways</t>
  </si>
  <si>
    <t>VF-GR_COSMOTE</t>
  </si>
  <si>
    <t>VF-GR_VODAFONE</t>
  </si>
  <si>
    <t>VF-IE_H3G</t>
  </si>
  <si>
    <t>VF-IE_VODAFONE</t>
  </si>
  <si>
    <t>VF-RO_ORANGE</t>
  </si>
  <si>
    <t>VF-RO_VODAFONE</t>
  </si>
  <si>
    <t>MEO</t>
  </si>
  <si>
    <t>NOS</t>
  </si>
  <si>
    <t>VOLTE_CAP</t>
  </si>
  <si>
    <t>MC_AVG_4G_O_VOLTE</t>
  </si>
  <si>
    <t>P3 Public VoLTE</t>
  </si>
  <si>
    <t xml:space="preserve">YOU TUBE HD - B5 AVG  VIDEO RESOLUTION FOR QUALIFIED VIDEOS
</t>
  </si>
  <si>
    <r>
      <t xml:space="preserve">YOU TUBE - B4 HD SHARE
</t>
    </r>
    <r>
      <rPr>
        <sz val="16"/>
        <color theme="1"/>
        <rFont val="Calibri"/>
        <family val="2"/>
        <scheme val="minor"/>
      </rPr>
      <t>[%]</t>
    </r>
  </si>
  <si>
    <t>value</t>
  </si>
  <si>
    <t>BIG</t>
  </si>
  <si>
    <t>SMALL</t>
  </si>
  <si>
    <t>ROADS</t>
  </si>
  <si>
    <t>-</t>
  </si>
  <si>
    <t>VF-AL_AMC_MAIN CITIES_4G</t>
  </si>
  <si>
    <t>VF-AL_AMC_SMALLER CITIES_4G</t>
  </si>
  <si>
    <t>VF-AL_EAGLE MOBILE_MAIN CITIES_4G</t>
  </si>
  <si>
    <t>VF-AL_EAGLE MOBILE_SMALLER CITIES_4G</t>
  </si>
  <si>
    <t>VF-AL_VODAFONE_MAIN CITIES_4G</t>
  </si>
  <si>
    <t>VF-AL_VODAFONE_SMALLER CITIES_4G</t>
  </si>
  <si>
    <t>YOU TUBE HD - B5 AVG  VIDEO RESOLUTION FOR QUALIFIED VIDEOS</t>
  </si>
  <si>
    <t>YouTube HD - B4 Share Perc of Qualified Video Started and Terminated in HD (%)</t>
  </si>
  <si>
    <t>YouTube HD - B5 Avg Video Resolution For Qualified Videos</t>
  </si>
  <si>
    <t>VF-PT_MEO_CONNECTION ROADS_3G+4G</t>
  </si>
  <si>
    <t>VF-PT_MEO_CONNECTION ROADS_4G</t>
  </si>
  <si>
    <t>VF-PT_MEO_MAIN CITIES_3G+4G</t>
  </si>
  <si>
    <t>VF-PT_MEO_MAIN CITIES_3G/2G</t>
  </si>
  <si>
    <t>VF-PT_MEO_MAIN CITIES_4G</t>
  </si>
  <si>
    <t>VF-PT_MEO_MAIN HIGHWAYS_3G+4G</t>
  </si>
  <si>
    <t>VF-PT_MEO_MAIN HIGHWAYS_4G</t>
  </si>
  <si>
    <t>VF-PT_MEO_SMALLER CITIES_3G+4G</t>
  </si>
  <si>
    <t>VF-PT_MEO_SMALLER CITIES_3G/2G</t>
  </si>
  <si>
    <t>VF-PT_MEO_SMALLER CITIES_4G</t>
  </si>
  <si>
    <t>VF-PT_NOS_CONNECTION ROADS_3G+4G</t>
  </si>
  <si>
    <t>VF-PT_NOS_CONNECTION ROADS_4G</t>
  </si>
  <si>
    <t>VF-PT_NOS_MAIN CITIES_3G+4G</t>
  </si>
  <si>
    <t>VF-PT_NOS_MAIN CITIES_3G/2G</t>
  </si>
  <si>
    <t>VF-PT_NOS_MAIN CITIES_4G</t>
  </si>
  <si>
    <t>VF-PT_NOS_MAIN HIGHWAYS_3G+4G</t>
  </si>
  <si>
    <t>VF-PT_NOS_MAIN HIGHWAYS_4G</t>
  </si>
  <si>
    <t>VF-PT_NOS_SMALLER CITIES_3G+4G</t>
  </si>
  <si>
    <t>VF-PT_NOS_SMALLER CITIES_3G/2G</t>
  </si>
  <si>
    <t>VF-PT_NOS_SMALLER CITIES_4G</t>
  </si>
  <si>
    <t>VF-AL_PLUS COMMUNICATION_MAIN CITIES_4G</t>
  </si>
  <si>
    <t>VF-AL_PLUS COMMUNICATION_SMALLER CITIES_4G</t>
  </si>
  <si>
    <t>VF-ES_VODAFONE_CONNECTION ROADS_VOLTE_CAP</t>
  </si>
  <si>
    <t>VF-ES_VODAFONE_MAIN HIGHWAYS_VOLTE_CAP</t>
  </si>
  <si>
    <t>VF-ES_VODAFONE_SMALLER CITIES_VOLTE_CAP</t>
  </si>
  <si>
    <t>VF-IT_VODAFONE_MAIN CITIES_VOLTE_CAP</t>
  </si>
  <si>
    <t>VF-IT_VODAFONE_SMALLER CITIES_VOLTE_CAP</t>
  </si>
  <si>
    <t>NOTE: 0 when Vodafone is best</t>
  </si>
  <si>
    <t>SCORE GAP WITH MAIN COMPETITOR</t>
  </si>
  <si>
    <t>ABSOLUTE GAP WITH MAIN COMPETITOR</t>
  </si>
  <si>
    <t>NOTE: VF behind when negative value. Inverse KPIs considered as well. Some differences of 0 in score appear highlighted due to decimals</t>
  </si>
  <si>
    <t>ABSOLUTE &amp; SCORE GAP DETAILS</t>
  </si>
  <si>
    <t>VF-DE_O2_MAIN CITIES_VOLTE_CAP</t>
  </si>
  <si>
    <t>VF-DE_O2_SMALLER CITIES_VOLTE_CAP</t>
  </si>
  <si>
    <t>VF-DE_T-MOBILE_MAIN CITIES_VOLTE_CAP</t>
  </si>
  <si>
    <t>VF-DE_T-MOBILE_SMALLER CITIES_VOLTE_CAP</t>
  </si>
  <si>
    <t>VF-DE_VODAFONE_MAIN CITIES_VOLTE_CAP</t>
  </si>
  <si>
    <t>VF-DE_VODAFONE_SMALLER CITIES_VOLTE_CAP</t>
  </si>
  <si>
    <t>VF-ES_VODAFONE_MAIN CITIES_VOLTE_CAP</t>
  </si>
  <si>
    <t>TELEKOM</t>
  </si>
  <si>
    <t>DIGI MOBIL</t>
  </si>
  <si>
    <t>TELE2</t>
  </si>
  <si>
    <t>YouTube Video Start Time [s]</t>
  </si>
  <si>
    <t>YouTube Playouts without Interruptions [%]</t>
  </si>
  <si>
    <t>VF-RO_DIGI MOBIL_CONNECTION ROADS_3G+4G</t>
  </si>
  <si>
    <t>VF-RO_DIGI MOBIL_CONNECTION ROADS_4G</t>
  </si>
  <si>
    <t>VF-RO_DIGI MOBIL_MAIN CITIES_3G+4G</t>
  </si>
  <si>
    <t>VF-RO_DIGI MOBIL_MAIN CITIES_3G/2G</t>
  </si>
  <si>
    <t>VF-RO_DIGI MOBIL_MAIN CITIES_4G</t>
  </si>
  <si>
    <t>VF-RO_DIGI MOBIL_MAIN HIGHWAYS_3G+4G</t>
  </si>
  <si>
    <t>VF-RO_DIGI MOBIL_MAIN HIGHWAYS_4G</t>
  </si>
  <si>
    <t>VF-RO_DIGI MOBIL_SMALLER CITIES_3G+4G</t>
  </si>
  <si>
    <t>VF-RO_DIGI MOBIL_SMALLER CITIES_3G/2G</t>
  </si>
  <si>
    <t>VF-RO_DIGI MOBIL_SMALLER CITIES_4G</t>
  </si>
  <si>
    <t>VF-RO_TELEKOM_CONNECTION ROADS_3G+4G</t>
  </si>
  <si>
    <t>VF-RO_TELEKOM_CONNECTION ROADS_4G</t>
  </si>
  <si>
    <t>VF-RO_TELEKOM_MAIN CITIES_3G+4G</t>
  </si>
  <si>
    <t>VF-RO_TELEKOM_MAIN CITIES_3G/2G</t>
  </si>
  <si>
    <t>VF-RO_TELEKOM_MAIN CITIES_4G</t>
  </si>
  <si>
    <t>VF-RO_TELEKOM_MAIN HIGHWAYS_3G+4G</t>
  </si>
  <si>
    <t>VF-RO_TELEKOM_MAIN HIGHWAYS_4G</t>
  </si>
  <si>
    <t>VF-RO_TELEKOM_SMALLER CITIES_3G+4G</t>
  </si>
  <si>
    <t>VF-RO_TELEKOM_SMALLER CITIES_3G/2G</t>
  </si>
  <si>
    <t>VF-RO_TELEKOM_SMALLER CITIES_4G</t>
  </si>
  <si>
    <t>VF-NL_TELE2_CONNECTION ROADS_3G+4G</t>
  </si>
  <si>
    <t>VF-NL_TELE2_CONNECTION ROADS_4G</t>
  </si>
  <si>
    <t>VF-NL_TELE2_MAIN CITIES_3G+4G</t>
  </si>
  <si>
    <t>VF-NL_TELE2_MAIN CITIES_3G/2G</t>
  </si>
  <si>
    <t>VF-NL_TELE2_MAIN CITIES_4G</t>
  </si>
  <si>
    <t>VF-NL_TELE2_MAIN HIGHWAYS_3G+4G</t>
  </si>
  <si>
    <t>VF-NL_TELE2_MAIN HIGHWAYS_4G</t>
  </si>
  <si>
    <t>VF-NL_TELE2_SMALLER CITIES_3G+4G</t>
  </si>
  <si>
    <t>VF-NL_TELE2_SMALLER CITIES_3G/2G</t>
  </si>
  <si>
    <t>VF-NL_TELE2_SMALLER CITIES_4G</t>
  </si>
  <si>
    <t>VF-PT_VODAFONE_CONNECTION ROADS_VOLTE_CAP</t>
  </si>
  <si>
    <t>VF-PT_VODAFONE_MAIN CITIES_VOLTE_CAP</t>
  </si>
  <si>
    <t>VF-PT_VODAFONE_MAIN HIGHWAYS_VOLTE_CAP</t>
  </si>
  <si>
    <t>VF-PT_VODAFONE_SMALLER CITIES_VOLTE_CAP</t>
  </si>
  <si>
    <t>VF-ES_YOIGO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</si>
</sst>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#,##0;&quot;-&quot;#,##0"/>
    <numFmt numFmtId="166" formatCode="#,##0.000000;&quot;-&quot;#,##0.000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0"/>
      <color theme="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14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Arial"/>
      <family val="2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59B3C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5">
    <xf numFmtId="0" fontId="0" fillId="0" borderId="0"/>
    <xf numFmtId="0" fontId="5" fillId="7" borderId="0" applyNumberFormat="0" applyBorder="0" applyAlignment="0" applyProtection="0"/>
    <xf numFmtId="0" fontId="6" fillId="8" borderId="13" applyNumberFormat="0" applyAlignment="0" applyProtection="0"/>
    <xf numFmtId="0" fontId="13" fillId="0" borderId="0"/>
    <xf numFmtId="0" fontId="15" fillId="0" borderId="0"/>
  </cellStyleXfs>
  <cellXfs count="351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0" borderId="0" xfId="0" applyAlignment="1"/>
    <xf numFmtId="0" fontId="2" fillId="0" borderId="0" xfId="0" applyFont="1" applyAlignment="1"/>
    <xf numFmtId="0" fontId="2" fillId="3" borderId="0" xfId="0" applyFont="1" applyFill="1"/>
    <xf numFmtId="0" fontId="3" fillId="4" borderId="0" xfId="0" applyFont="1" applyFill="1"/>
    <xf numFmtId="0" fontId="2" fillId="2" borderId="0" xfId="0" applyFont="1" applyFill="1"/>
    <xf numFmtId="9" fontId="4" fillId="5" borderId="0" xfId="0" applyNumberFormat="1" applyFont="1" applyFill="1"/>
    <xf numFmtId="0" fontId="0" fillId="0" borderId="4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4" xfId="0" applyFont="1" applyBorder="1"/>
    <xf numFmtId="0" fontId="1" fillId="0" borderId="6" xfId="0" applyFont="1" applyBorder="1"/>
    <xf numFmtId="0" fontId="1" fillId="0" borderId="8" xfId="0" applyFont="1" applyBorder="1"/>
    <xf numFmtId="0" fontId="2" fillId="2" borderId="0" xfId="0" applyFont="1" applyFill="1" applyAlignment="1">
      <alignment horizontal="center"/>
    </xf>
    <xf numFmtId="2" fontId="0" fillId="3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2" fontId="0" fillId="3" borderId="4" xfId="0" applyNumberFormat="1" applyFill="1" applyBorder="1"/>
    <xf numFmtId="2" fontId="0" fillId="3" borderId="5" xfId="0" applyNumberFormat="1" applyFill="1" applyBorder="1"/>
    <xf numFmtId="9" fontId="0" fillId="0" borderId="0" xfId="0" applyNumberFormat="1" applyFill="1"/>
    <xf numFmtId="2" fontId="0" fillId="3" borderId="0" xfId="0" applyNumberFormat="1" applyFill="1" applyBorder="1"/>
    <xf numFmtId="2" fontId="0" fillId="0" borderId="0" xfId="0" applyNumberFormat="1"/>
    <xf numFmtId="0" fontId="3" fillId="6" borderId="12" xfId="0" applyFont="1" applyFill="1" applyBorder="1"/>
    <xf numFmtId="2" fontId="0" fillId="9" borderId="9" xfId="0" applyNumberFormat="1" applyFill="1" applyBorder="1"/>
    <xf numFmtId="2" fontId="0" fillId="9" borderId="10" xfId="0" applyNumberFormat="1" applyFill="1" applyBorder="1"/>
    <xf numFmtId="2" fontId="0" fillId="9" borderId="11" xfId="0" applyNumberFormat="1" applyFill="1" applyBorder="1"/>
    <xf numFmtId="2" fontId="0" fillId="3" borderId="7" xfId="0" applyNumberFormat="1" applyFill="1" applyBorder="1"/>
    <xf numFmtId="2" fontId="0" fillId="3" borderId="8" xfId="0" applyNumberFormat="1" applyFill="1" applyBorder="1"/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0" fillId="9" borderId="0" xfId="0" applyFill="1" applyBorder="1"/>
    <xf numFmtId="9" fontId="0" fillId="0" borderId="3" xfId="0" applyNumberFormat="1" applyBorder="1"/>
    <xf numFmtId="0" fontId="0" fillId="0" borderId="5" xfId="0" applyBorder="1"/>
    <xf numFmtId="0" fontId="0" fillId="0" borderId="8" xfId="0" applyBorder="1"/>
    <xf numFmtId="0" fontId="0" fillId="0" borderId="6" xfId="0" applyBorder="1"/>
    <xf numFmtId="9" fontId="0" fillId="0" borderId="0" xfId="0" applyNumberFormat="1" applyBorder="1"/>
    <xf numFmtId="9" fontId="0" fillId="10" borderId="0" xfId="0" applyNumberFormat="1" applyFill="1" applyBorder="1"/>
    <xf numFmtId="0" fontId="9" fillId="0" borderId="0" xfId="0" applyFont="1"/>
    <xf numFmtId="9" fontId="9" fillId="0" borderId="0" xfId="0" applyNumberFormat="1" applyFont="1"/>
    <xf numFmtId="2" fontId="9" fillId="3" borderId="5" xfId="0" applyNumberFormat="1" applyFont="1" applyFill="1" applyBorder="1"/>
    <xf numFmtId="2" fontId="9" fillId="3" borderId="6" xfId="0" applyNumberFormat="1" applyFont="1" applyFill="1" applyBorder="1"/>
    <xf numFmtId="2" fontId="9" fillId="9" borderId="11" xfId="0" applyNumberFormat="1" applyFont="1" applyFill="1" applyBorder="1"/>
    <xf numFmtId="1" fontId="0" fillId="0" borderId="0" xfId="0" applyNumberFormat="1"/>
    <xf numFmtId="2" fontId="0" fillId="0" borderId="0" xfId="0" applyNumberFormat="1" applyBorder="1"/>
    <xf numFmtId="0" fontId="8" fillId="7" borderId="9" xfId="1" applyFont="1" applyBorder="1"/>
    <xf numFmtId="0" fontId="8" fillId="7" borderId="10" xfId="1" applyFont="1" applyBorder="1"/>
    <xf numFmtId="1" fontId="8" fillId="7" borderId="10" xfId="1" applyNumberFormat="1" applyFont="1" applyBorder="1"/>
    <xf numFmtId="0" fontId="3" fillId="6" borderId="14" xfId="0" applyFont="1" applyFill="1" applyBorder="1"/>
    <xf numFmtId="9" fontId="6" fillId="8" borderId="13" xfId="2" applyNumberFormat="1"/>
    <xf numFmtId="0" fontId="2" fillId="2" borderId="0" xfId="0" applyFont="1" applyFill="1" applyAlignment="1">
      <alignment horizontal="center"/>
    </xf>
    <xf numFmtId="0" fontId="8" fillId="7" borderId="15" xfId="1" applyFont="1" applyBorder="1"/>
    <xf numFmtId="0" fontId="8" fillId="7" borderId="16" xfId="1" applyFont="1" applyBorder="1"/>
    <xf numFmtId="0" fontId="8" fillId="7" borderId="17" xfId="1" applyFont="1" applyBorder="1"/>
    <xf numFmtId="1" fontId="8" fillId="7" borderId="17" xfId="1" applyNumberFormat="1" applyFont="1" applyBorder="1"/>
    <xf numFmtId="1" fontId="10" fillId="11" borderId="6" xfId="1" applyNumberFormat="1" applyFont="1" applyFill="1" applyBorder="1"/>
    <xf numFmtId="1" fontId="8" fillId="7" borderId="16" xfId="1" applyNumberFormat="1" applyFont="1" applyBorder="1"/>
    <xf numFmtId="0" fontId="0" fillId="0" borderId="0" xfId="0" applyFill="1"/>
    <xf numFmtId="164" fontId="0" fillId="10" borderId="0" xfId="0" applyNumberFormat="1" applyFill="1" applyBorder="1"/>
    <xf numFmtId="2" fontId="0" fillId="12" borderId="10" xfId="0" applyNumberFormat="1" applyFill="1" applyBorder="1"/>
    <xf numFmtId="2" fontId="0" fillId="12" borderId="11" xfId="0" applyNumberFormat="1" applyFill="1" applyBorder="1"/>
    <xf numFmtId="2" fontId="0" fillId="12" borderId="9" xfId="0" applyNumberFormat="1" applyFill="1" applyBorder="1"/>
    <xf numFmtId="0" fontId="0" fillId="13" borderId="0" xfId="0" applyFill="1"/>
    <xf numFmtId="0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 vertical="top" wrapText="1"/>
      <protection locked="0"/>
    </xf>
    <xf numFmtId="0" fontId="0" fillId="0" borderId="0" xfId="0" quotePrefix="1" applyNumberFormat="1" applyProtection="1">
      <protection locked="0"/>
    </xf>
    <xf numFmtId="0" fontId="0" fillId="0" borderId="0" xfId="0" quotePrefix="1" applyNumberFormat="1" applyAlignment="1" applyProtection="1">
      <alignment horizontal="left" vertical="top" wrapText="1"/>
      <protection locked="0"/>
    </xf>
    <xf numFmtId="0" fontId="0" fillId="0" borderId="0" xfId="0" applyFont="1"/>
    <xf numFmtId="49" fontId="0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49" fontId="12" fillId="0" borderId="7" xfId="0" applyNumberFormat="1" applyFont="1" applyBorder="1" applyAlignment="1">
      <alignment horizontal="center"/>
    </xf>
    <xf numFmtId="49" fontId="12" fillId="0" borderId="2" xfId="0" applyNumberFormat="1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7" xfId="0" applyNumberFormat="1" applyFont="1" applyFill="1" applyBorder="1" applyAlignment="1">
      <alignment horizontal="center"/>
    </xf>
    <xf numFmtId="49" fontId="1" fillId="0" borderId="2" xfId="0" applyNumberFormat="1" applyFont="1" applyFill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49" fontId="0" fillId="0" borderId="8" xfId="0" applyNumberFormat="1" applyFont="1" applyBorder="1" applyAlignment="1">
      <alignment horizontal="center"/>
    </xf>
    <xf numFmtId="0" fontId="0" fillId="14" borderId="0" xfId="0" applyFont="1" applyFill="1" applyBorder="1" applyAlignment="1">
      <alignment horizontal="center"/>
    </xf>
    <xf numFmtId="0" fontId="0" fillId="14" borderId="4" xfId="0" applyFont="1" applyFill="1" applyBorder="1" applyAlignment="1">
      <alignment horizontal="center"/>
    </xf>
    <xf numFmtId="0" fontId="0" fillId="14" borderId="8" xfId="0" applyFont="1" applyFill="1" applyBorder="1" applyAlignment="1">
      <alignment horizontal="center"/>
    </xf>
    <xf numFmtId="0" fontId="0" fillId="14" borderId="6" xfId="0" applyFon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1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2" xfId="0" applyFont="1" applyBorder="1"/>
    <xf numFmtId="0" fontId="1" fillId="0" borderId="22" xfId="0" applyFont="1" applyBorder="1"/>
    <xf numFmtId="0" fontId="1" fillId="0" borderId="21" xfId="0" applyFont="1" applyBorder="1"/>
    <xf numFmtId="0" fontId="14" fillId="13" borderId="0" xfId="3" applyFont="1" applyFill="1" applyAlignment="1">
      <alignment horizontal="justify" vertical="center"/>
    </xf>
    <xf numFmtId="0" fontId="13" fillId="13" borderId="0" xfId="3" applyFill="1"/>
    <xf numFmtId="0" fontId="13" fillId="13" borderId="0" xfId="3" quotePrefix="1" applyFill="1"/>
    <xf numFmtId="0" fontId="0" fillId="13" borderId="0" xfId="3" quotePrefix="1" applyFont="1" applyFill="1"/>
    <xf numFmtId="0" fontId="13" fillId="13" borderId="7" xfId="3" applyFill="1" applyBorder="1"/>
    <xf numFmtId="0" fontId="13" fillId="13" borderId="2" xfId="3" applyFill="1" applyBorder="1"/>
    <xf numFmtId="0" fontId="13" fillId="13" borderId="3" xfId="3" applyFill="1" applyBorder="1"/>
    <xf numFmtId="0" fontId="13" fillId="13" borderId="0" xfId="3" applyFill="1" applyBorder="1"/>
    <xf numFmtId="0" fontId="13" fillId="13" borderId="4" xfId="3" applyFill="1" applyBorder="1"/>
    <xf numFmtId="0" fontId="13" fillId="13" borderId="8" xfId="3" applyFill="1" applyBorder="1"/>
    <xf numFmtId="0" fontId="13" fillId="13" borderId="6" xfId="3" applyFill="1" applyBorder="1"/>
    <xf numFmtId="0" fontId="1" fillId="13" borderId="1" xfId="3" applyFont="1" applyFill="1" applyBorder="1"/>
    <xf numFmtId="0" fontId="1" fillId="13" borderId="0" xfId="3" applyFont="1" applyFill="1" applyBorder="1"/>
    <xf numFmtId="0" fontId="1" fillId="13" borderId="3" xfId="3" applyFont="1" applyFill="1" applyBorder="1"/>
    <xf numFmtId="0" fontId="13" fillId="13" borderId="5" xfId="3" applyFill="1" applyBorder="1"/>
    <xf numFmtId="0" fontId="1" fillId="13" borderId="0" xfId="3" applyFont="1" applyFill="1" applyBorder="1" applyAlignment="1">
      <alignment horizontal="left"/>
    </xf>
    <xf numFmtId="0" fontId="13" fillId="13" borderId="0" xfId="3" applyFill="1" applyBorder="1" applyAlignment="1">
      <alignment horizontal="left"/>
    </xf>
    <xf numFmtId="0" fontId="0" fillId="0" borderId="23" xfId="0" applyBorder="1"/>
    <xf numFmtId="3" fontId="1" fillId="0" borderId="0" xfId="0" applyNumberFormat="1" applyFont="1"/>
    <xf numFmtId="0" fontId="0" fillId="0" borderId="0" xfId="0" applyAlignment="1">
      <alignment wrapText="1"/>
    </xf>
    <xf numFmtId="9" fontId="6" fillId="8" borderId="25" xfId="2" applyNumberFormat="1" applyBorder="1"/>
    <xf numFmtId="3" fontId="0" fillId="15" borderId="24" xfId="0" applyNumberFormat="1" applyFill="1" applyBorder="1"/>
    <xf numFmtId="3" fontId="1" fillId="15" borderId="24" xfId="0" applyNumberFormat="1" applyFont="1" applyFill="1" applyBorder="1"/>
    <xf numFmtId="0" fontId="0" fillId="0" borderId="0" xfId="0" applyNumberFormat="1" applyAlignment="1" applyProtection="1">
      <alignment horizontal="left" vertical="top" wrapText="1"/>
      <protection locked="0"/>
    </xf>
    <xf numFmtId="166" fontId="0" fillId="0" borderId="0" xfId="0" applyNumberFormat="1" applyAlignment="1" applyProtection="1">
      <alignment horizontal="right" vertical="top" wrapText="1"/>
      <protection locked="0"/>
    </xf>
    <xf numFmtId="0" fontId="1" fillId="0" borderId="1" xfId="0" applyFont="1" applyBorder="1"/>
    <xf numFmtId="0" fontId="1" fillId="0" borderId="7" xfId="0" applyFont="1" applyBorder="1"/>
    <xf numFmtId="0" fontId="1" fillId="0" borderId="2" xfId="0" applyFont="1" applyBorder="1"/>
    <xf numFmtId="0" fontId="0" fillId="0" borderId="0" xfId="0" applyAlignment="1">
      <alignment horizontal="center"/>
    </xf>
    <xf numFmtId="1" fontId="0" fillId="15" borderId="24" xfId="0" applyNumberFormat="1" applyFill="1" applyBorder="1"/>
    <xf numFmtId="0" fontId="0" fillId="0" borderId="0" xfId="0" quotePrefix="1"/>
    <xf numFmtId="0" fontId="15" fillId="16" borderId="0" xfId="4" applyFill="1"/>
    <xf numFmtId="0" fontId="15" fillId="13" borderId="0" xfId="4" applyFill="1"/>
    <xf numFmtId="0" fontId="15" fillId="13" borderId="0" xfId="4" applyFill="1" applyBorder="1"/>
    <xf numFmtId="0" fontId="16" fillId="17" borderId="26" xfId="4" applyFont="1" applyFill="1" applyBorder="1" applyAlignment="1">
      <alignment horizontal="left" vertical="center"/>
    </xf>
    <xf numFmtId="0" fontId="16" fillId="17" borderId="27" xfId="4" applyFont="1" applyFill="1" applyBorder="1" applyAlignment="1">
      <alignment horizontal="center" vertical="center"/>
    </xf>
    <xf numFmtId="0" fontId="15" fillId="13" borderId="28" xfId="4" applyFill="1" applyBorder="1"/>
    <xf numFmtId="0" fontId="15" fillId="13" borderId="30" xfId="4" applyFill="1" applyBorder="1"/>
    <xf numFmtId="0" fontId="16" fillId="13" borderId="0" xfId="4" applyFont="1" applyFill="1" applyAlignment="1"/>
    <xf numFmtId="0" fontId="15" fillId="13" borderId="37" xfId="4" applyFill="1" applyBorder="1"/>
    <xf numFmtId="0" fontId="15" fillId="13" borderId="38" xfId="4" applyFill="1" applyBorder="1"/>
    <xf numFmtId="0" fontId="16" fillId="13" borderId="0" xfId="4" applyFont="1" applyFill="1" applyBorder="1" applyAlignment="1">
      <alignment vertical="center"/>
    </xf>
    <xf numFmtId="0" fontId="16" fillId="13" borderId="38" xfId="4" applyFont="1" applyFill="1" applyBorder="1" applyAlignment="1">
      <alignment horizontal="left" vertical="center"/>
    </xf>
    <xf numFmtId="0" fontId="16" fillId="17" borderId="39" xfId="4" applyFont="1" applyFill="1" applyBorder="1" applyAlignment="1">
      <alignment horizontal="left" vertical="center"/>
    </xf>
    <xf numFmtId="0" fontId="16" fillId="13" borderId="28" xfId="4" applyFont="1" applyFill="1" applyBorder="1" applyAlignment="1">
      <alignment vertical="center"/>
    </xf>
    <xf numFmtId="0" fontId="15" fillId="13" borderId="33" xfId="4" applyFill="1" applyBorder="1" applyAlignment="1">
      <alignment horizontal="left"/>
    </xf>
    <xf numFmtId="0" fontId="15" fillId="13" borderId="37" xfId="4" applyFill="1" applyBorder="1" applyAlignment="1">
      <alignment horizontal="left" vertical="center"/>
    </xf>
    <xf numFmtId="0" fontId="15" fillId="13" borderId="28" xfId="4" applyFill="1" applyBorder="1" applyAlignment="1">
      <alignment horizontal="left"/>
    </xf>
    <xf numFmtId="0" fontId="15" fillId="13" borderId="0" xfId="4" applyFill="1" applyBorder="1" applyAlignment="1">
      <alignment horizontal="left" vertical="center"/>
    </xf>
    <xf numFmtId="0" fontId="15" fillId="13" borderId="30" xfId="4" applyFill="1" applyBorder="1" applyAlignment="1">
      <alignment horizontal="left"/>
    </xf>
    <xf numFmtId="0" fontId="15" fillId="13" borderId="38" xfId="4" applyFill="1" applyBorder="1" applyAlignment="1">
      <alignment horizontal="left" vertical="center"/>
    </xf>
    <xf numFmtId="0" fontId="15" fillId="13" borderId="33" xfId="4" applyFont="1" applyFill="1" applyBorder="1" applyAlignment="1">
      <alignment horizontal="left"/>
    </xf>
    <xf numFmtId="0" fontId="15" fillId="13" borderId="33" xfId="4" applyFont="1" applyFill="1" applyBorder="1" applyAlignment="1">
      <alignment vertical="center"/>
    </xf>
    <xf numFmtId="0" fontId="15" fillId="13" borderId="28" xfId="4" applyFont="1" applyFill="1" applyBorder="1" applyAlignment="1">
      <alignment vertical="center" wrapText="1"/>
    </xf>
    <xf numFmtId="0" fontId="17" fillId="13" borderId="0" xfId="4" applyFont="1" applyFill="1"/>
    <xf numFmtId="0" fontId="16" fillId="13" borderId="38" xfId="4" applyFont="1" applyFill="1" applyBorder="1" applyAlignment="1">
      <alignment vertical="center"/>
    </xf>
    <xf numFmtId="0" fontId="16" fillId="17" borderId="42" xfId="4" applyFont="1" applyFill="1" applyBorder="1" applyAlignment="1">
      <alignment horizontal="center" vertical="center"/>
    </xf>
    <xf numFmtId="0" fontId="16" fillId="17" borderId="43" xfId="4" applyFont="1" applyFill="1" applyBorder="1" applyAlignment="1">
      <alignment horizontal="center" vertical="center"/>
    </xf>
    <xf numFmtId="0" fontId="15" fillId="13" borderId="44" xfId="4" applyFill="1" applyBorder="1"/>
    <xf numFmtId="0" fontId="15" fillId="13" borderId="45" xfId="4" applyFill="1" applyBorder="1"/>
    <xf numFmtId="3" fontId="15" fillId="13" borderId="0" xfId="4" applyNumberFormat="1" applyFill="1" applyBorder="1" applyAlignment="1">
      <alignment horizontal="center"/>
    </xf>
    <xf numFmtId="3" fontId="15" fillId="13" borderId="46" xfId="4" applyNumberFormat="1" applyFill="1" applyBorder="1" applyAlignment="1">
      <alignment horizontal="center"/>
    </xf>
    <xf numFmtId="0" fontId="15" fillId="13" borderId="0" xfId="4" applyFill="1" applyBorder="1" applyAlignment="1">
      <alignment vertical="center"/>
    </xf>
    <xf numFmtId="0" fontId="16" fillId="17" borderId="33" xfId="4" applyFont="1" applyFill="1" applyBorder="1" applyAlignment="1">
      <alignment horizontal="left" vertical="center"/>
    </xf>
    <xf numFmtId="0" fontId="16" fillId="17" borderId="37" xfId="4" applyFont="1" applyFill="1" applyBorder="1" applyAlignment="1">
      <alignment horizontal="left" vertical="center"/>
    </xf>
    <xf numFmtId="0" fontId="16" fillId="17" borderId="34" xfId="4" applyFont="1" applyFill="1" applyBorder="1" applyAlignment="1">
      <alignment vertical="center"/>
    </xf>
    <xf numFmtId="1" fontId="15" fillId="13" borderId="34" xfId="4" applyNumberFormat="1" applyFill="1" applyBorder="1" applyAlignment="1">
      <alignment horizontal="center" vertical="center"/>
    </xf>
    <xf numFmtId="1" fontId="15" fillId="13" borderId="29" xfId="4" applyNumberFormat="1" applyFill="1" applyBorder="1" applyAlignment="1">
      <alignment horizontal="center" vertical="center"/>
    </xf>
    <xf numFmtId="1" fontId="15" fillId="13" borderId="31" xfId="4" applyNumberFormat="1" applyFill="1" applyBorder="1" applyAlignment="1">
      <alignment horizontal="center" vertical="center"/>
    </xf>
    <xf numFmtId="3" fontId="15" fillId="13" borderId="34" xfId="4" applyNumberFormat="1" applyFill="1" applyBorder="1" applyAlignment="1">
      <alignment horizontal="center" vertical="center"/>
    </xf>
    <xf numFmtId="3" fontId="15" fillId="13" borderId="29" xfId="4" applyNumberFormat="1" applyFill="1" applyBorder="1" applyAlignment="1">
      <alignment horizontal="center" vertical="center"/>
    </xf>
    <xf numFmtId="3" fontId="15" fillId="13" borderId="31" xfId="4" applyNumberFormat="1" applyFill="1" applyBorder="1" applyAlignment="1">
      <alignment horizontal="center"/>
    </xf>
    <xf numFmtId="0" fontId="15" fillId="13" borderId="33" xfId="4" applyFont="1" applyFill="1" applyBorder="1" applyAlignment="1">
      <alignment horizontal="left" vertical="center" wrapText="1"/>
    </xf>
    <xf numFmtId="0" fontId="15" fillId="13" borderId="28" xfId="4" applyFont="1" applyFill="1" applyBorder="1" applyAlignment="1">
      <alignment horizontal="left" vertical="center" wrapText="1"/>
    </xf>
    <xf numFmtId="0" fontId="16" fillId="17" borderId="34" xfId="4" applyFont="1" applyFill="1" applyBorder="1" applyAlignment="1">
      <alignment horizontal="center" vertical="center"/>
    </xf>
    <xf numFmtId="0" fontId="15" fillId="13" borderId="30" xfId="4" applyFont="1" applyFill="1" applyBorder="1" applyAlignment="1">
      <alignment vertical="center"/>
    </xf>
    <xf numFmtId="0" fontId="15" fillId="13" borderId="30" xfId="4" applyFont="1" applyFill="1" applyBorder="1" applyAlignment="1">
      <alignment horizontal="left" vertical="center" wrapText="1"/>
    </xf>
    <xf numFmtId="3" fontId="15" fillId="13" borderId="31" xfId="4" applyNumberFormat="1" applyFill="1" applyBorder="1" applyAlignment="1">
      <alignment horizontal="center" vertical="center"/>
    </xf>
    <xf numFmtId="1" fontId="15" fillId="13" borderId="31" xfId="4" applyNumberFormat="1" applyFill="1" applyBorder="1" applyAlignment="1">
      <alignment horizontal="center"/>
    </xf>
    <xf numFmtId="1" fontId="17" fillId="13" borderId="0" xfId="4" applyNumberFormat="1" applyFont="1" applyFill="1"/>
    <xf numFmtId="1" fontId="15" fillId="13" borderId="0" xfId="4" applyNumberFormat="1" applyFill="1"/>
    <xf numFmtId="1" fontId="15" fillId="13" borderId="0" xfId="4" applyNumberFormat="1" applyFill="1" applyBorder="1"/>
    <xf numFmtId="1" fontId="16" fillId="13" borderId="0" xfId="4" applyNumberFormat="1" applyFont="1" applyFill="1" applyBorder="1" applyAlignment="1">
      <alignment vertical="center"/>
    </xf>
    <xf numFmtId="0" fontId="21" fillId="13" borderId="0" xfId="0" applyFont="1" applyFill="1"/>
    <xf numFmtId="0" fontId="21" fillId="13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center" vertical="center" wrapText="1"/>
    </xf>
    <xf numFmtId="0" fontId="23" fillId="13" borderId="33" xfId="4" applyFont="1" applyFill="1" applyBorder="1"/>
    <xf numFmtId="0" fontId="21" fillId="13" borderId="37" xfId="0" applyFont="1" applyFill="1" applyBorder="1"/>
    <xf numFmtId="0" fontId="23" fillId="13" borderId="28" xfId="4" applyFont="1" applyFill="1" applyBorder="1"/>
    <xf numFmtId="0" fontId="21" fillId="13" borderId="0" xfId="0" applyFont="1" applyFill="1" applyBorder="1"/>
    <xf numFmtId="0" fontId="23" fillId="13" borderId="30" xfId="4" applyFont="1" applyFill="1" applyBorder="1"/>
    <xf numFmtId="0" fontId="21" fillId="13" borderId="38" xfId="0" applyFont="1" applyFill="1" applyBorder="1"/>
    <xf numFmtId="0" fontId="21" fillId="13" borderId="28" xfId="0" applyFont="1" applyFill="1" applyBorder="1"/>
    <xf numFmtId="0" fontId="21" fillId="13" borderId="29" xfId="0" applyFont="1" applyFill="1" applyBorder="1"/>
    <xf numFmtId="0" fontId="22" fillId="13" borderId="28" xfId="0" applyFont="1" applyFill="1" applyBorder="1" applyAlignment="1">
      <alignment horizontal="center" vertical="center" wrapText="1"/>
    </xf>
    <xf numFmtId="0" fontId="22" fillId="13" borderId="29" xfId="0" applyFont="1" applyFill="1" applyBorder="1" applyAlignment="1">
      <alignment horizontal="center" vertical="center" wrapText="1"/>
    </xf>
    <xf numFmtId="0" fontId="21" fillId="13" borderId="33" xfId="0" applyFont="1" applyFill="1" applyBorder="1"/>
    <xf numFmtId="3" fontId="20" fillId="13" borderId="33" xfId="4" applyNumberFormat="1" applyFont="1" applyFill="1" applyBorder="1" applyAlignment="1">
      <alignment horizontal="center"/>
    </xf>
    <xf numFmtId="3" fontId="20" fillId="13" borderId="37" xfId="4" applyNumberFormat="1" applyFont="1" applyFill="1" applyBorder="1" applyAlignment="1">
      <alignment horizontal="center"/>
    </xf>
    <xf numFmtId="3" fontId="20" fillId="13" borderId="34" xfId="4" applyNumberFormat="1" applyFont="1" applyFill="1" applyBorder="1" applyAlignment="1">
      <alignment horizontal="center"/>
    </xf>
    <xf numFmtId="0" fontId="19" fillId="13" borderId="37" xfId="0" applyFont="1" applyFill="1" applyBorder="1"/>
    <xf numFmtId="0" fontId="19" fillId="13" borderId="33" xfId="0" applyFont="1" applyFill="1" applyBorder="1"/>
    <xf numFmtId="0" fontId="19" fillId="13" borderId="34" xfId="0" applyFont="1" applyFill="1" applyBorder="1"/>
    <xf numFmtId="3" fontId="20" fillId="13" borderId="28" xfId="4" applyNumberFormat="1" applyFont="1" applyFill="1" applyBorder="1" applyAlignment="1">
      <alignment horizontal="center"/>
    </xf>
    <xf numFmtId="3" fontId="20" fillId="13" borderId="0" xfId="4" applyNumberFormat="1" applyFont="1" applyFill="1" applyBorder="1" applyAlignment="1">
      <alignment horizontal="center"/>
    </xf>
    <xf numFmtId="3" fontId="20" fillId="13" borderId="29" xfId="4" applyNumberFormat="1" applyFont="1" applyFill="1" applyBorder="1" applyAlignment="1">
      <alignment horizontal="center"/>
    </xf>
    <xf numFmtId="0" fontId="19" fillId="13" borderId="0" xfId="0" applyFont="1" applyFill="1" applyBorder="1"/>
    <xf numFmtId="0" fontId="19" fillId="13" borderId="28" xfId="0" applyFont="1" applyFill="1" applyBorder="1"/>
    <xf numFmtId="0" fontId="19" fillId="13" borderId="29" xfId="0" applyFont="1" applyFill="1" applyBorder="1"/>
    <xf numFmtId="3" fontId="20" fillId="13" borderId="30" xfId="4" applyNumberFormat="1" applyFont="1" applyFill="1" applyBorder="1" applyAlignment="1">
      <alignment horizontal="center"/>
    </xf>
    <xf numFmtId="3" fontId="20" fillId="13" borderId="38" xfId="4" applyNumberFormat="1" applyFont="1" applyFill="1" applyBorder="1" applyAlignment="1">
      <alignment horizontal="center"/>
    </xf>
    <xf numFmtId="3" fontId="20" fillId="13" borderId="31" xfId="4" applyNumberFormat="1" applyFont="1" applyFill="1" applyBorder="1" applyAlignment="1">
      <alignment horizontal="center"/>
    </xf>
    <xf numFmtId="0" fontId="19" fillId="13" borderId="30" xfId="0" applyFont="1" applyFill="1" applyBorder="1"/>
    <xf numFmtId="0" fontId="19" fillId="13" borderId="31" xfId="0" applyFont="1" applyFill="1" applyBorder="1"/>
    <xf numFmtId="0" fontId="21" fillId="13" borderId="26" xfId="0" applyFont="1" applyFill="1" applyBorder="1"/>
    <xf numFmtId="0" fontId="0" fillId="13" borderId="0" xfId="3" quotePrefix="1" applyFont="1" applyFill="1" applyAlignment="1">
      <alignment wrapText="1"/>
    </xf>
    <xf numFmtId="0" fontId="16" fillId="17" borderId="47" xfId="4" applyFont="1" applyFill="1" applyBorder="1" applyAlignment="1">
      <alignment vertical="center"/>
    </xf>
    <xf numFmtId="0" fontId="16" fillId="17" borderId="48" xfId="4" applyFont="1" applyFill="1" applyBorder="1" applyAlignment="1">
      <alignment horizontal="center" vertical="center"/>
    </xf>
    <xf numFmtId="3" fontId="15" fillId="13" borderId="49" xfId="4" applyNumberFormat="1" applyFill="1" applyBorder="1"/>
    <xf numFmtId="3" fontId="15" fillId="13" borderId="50" xfId="4" applyNumberFormat="1" applyFill="1" applyBorder="1"/>
    <xf numFmtId="0" fontId="1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8" borderId="0" xfId="0" applyFill="1"/>
    <xf numFmtId="0" fontId="15" fillId="18" borderId="0" xfId="4" applyFill="1"/>
    <xf numFmtId="49" fontId="27" fillId="13" borderId="40" xfId="0" applyNumberFormat="1" applyFont="1" applyFill="1" applyBorder="1" applyAlignment="1">
      <alignment horizontal="center" vertical="center"/>
    </xf>
    <xf numFmtId="1" fontId="27" fillId="13" borderId="40" xfId="0" applyNumberFormat="1" applyFont="1" applyFill="1" applyBorder="1" applyAlignment="1">
      <alignment horizontal="center" vertical="center"/>
    </xf>
    <xf numFmtId="1" fontId="27" fillId="13" borderId="41" xfId="0" applyNumberFormat="1" applyFont="1" applyFill="1" applyBorder="1" applyAlignment="1">
      <alignment horizontal="center" vertical="center"/>
    </xf>
    <xf numFmtId="49" fontId="27" fillId="13" borderId="0" xfId="0" applyNumberFormat="1" applyFont="1" applyFill="1" applyBorder="1" applyAlignment="1">
      <alignment horizontal="center" vertical="center"/>
    </xf>
    <xf numFmtId="1" fontId="27" fillId="13" borderId="0" xfId="0" applyNumberFormat="1" applyFont="1" applyFill="1" applyBorder="1" applyAlignment="1">
      <alignment horizontal="center" vertical="center"/>
    </xf>
    <xf numFmtId="1" fontId="27" fillId="13" borderId="52" xfId="0" applyNumberFormat="1" applyFont="1" applyFill="1" applyBorder="1" applyAlignment="1">
      <alignment horizontal="center" vertical="center"/>
    </xf>
    <xf numFmtId="49" fontId="27" fillId="13" borderId="42" xfId="0" applyNumberFormat="1" applyFont="1" applyFill="1" applyBorder="1" applyAlignment="1">
      <alignment horizontal="center" vertical="center"/>
    </xf>
    <xf numFmtId="1" fontId="27" fillId="13" borderId="42" xfId="0" applyNumberFormat="1" applyFont="1" applyFill="1" applyBorder="1" applyAlignment="1">
      <alignment horizontal="center" vertical="center"/>
    </xf>
    <xf numFmtId="1" fontId="27" fillId="13" borderId="43" xfId="0" applyNumberFormat="1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8" borderId="0" xfId="0" applyFill="1" applyBorder="1"/>
    <xf numFmtId="0" fontId="0" fillId="13" borderId="0" xfId="0" applyFill="1" applyBorder="1"/>
    <xf numFmtId="0" fontId="28" fillId="13" borderId="0" xfId="3" applyFont="1" applyFill="1" applyAlignment="1">
      <alignment horizontal="left"/>
    </xf>
    <xf numFmtId="1" fontId="0" fillId="19" borderId="24" xfId="0" applyNumberFormat="1" applyFill="1" applyBorder="1"/>
    <xf numFmtId="2" fontId="0" fillId="3" borderId="6" xfId="0" applyNumberFormat="1" applyFill="1" applyBorder="1"/>
    <xf numFmtId="0" fontId="0" fillId="3" borderId="5" xfId="0" applyFill="1" applyBorder="1"/>
    <xf numFmtId="0" fontId="0" fillId="3" borderId="6" xfId="0" applyFill="1" applyBorder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Font="1" applyFill="1" applyBorder="1" applyAlignment="1">
      <alignment horizontal="center"/>
    </xf>
    <xf numFmtId="0" fontId="21" fillId="13" borderId="56" xfId="0" applyFont="1" applyFill="1" applyBorder="1"/>
    <xf numFmtId="0" fontId="21" fillId="13" borderId="57" xfId="0" applyFont="1" applyFill="1" applyBorder="1"/>
    <xf numFmtId="0" fontId="21" fillId="13" borderId="31" xfId="0" applyFont="1" applyFill="1" applyBorder="1"/>
    <xf numFmtId="0" fontId="21" fillId="13" borderId="30" xfId="0" applyFont="1" applyFill="1" applyBorder="1"/>
    <xf numFmtId="0" fontId="24" fillId="13" borderId="24" xfId="0" applyFont="1" applyFill="1" applyBorder="1" applyAlignment="1">
      <alignment horizontal="center" vertical="center" wrapText="1"/>
    </xf>
    <xf numFmtId="0" fontId="26" fillId="13" borderId="27" xfId="0" applyFont="1" applyFill="1" applyBorder="1" applyAlignment="1">
      <alignment horizontal="center" vertical="center" wrapText="1"/>
    </xf>
    <xf numFmtId="0" fontId="21" fillId="13" borderId="28" xfId="0" applyFont="1" applyFill="1" applyBorder="1" applyAlignment="1">
      <alignment horizontal="center"/>
    </xf>
    <xf numFmtId="0" fontId="21" fillId="13" borderId="29" xfId="0" applyFont="1" applyFill="1" applyBorder="1" applyAlignment="1">
      <alignment horizontal="center"/>
    </xf>
    <xf numFmtId="0" fontId="21" fillId="13" borderId="0" xfId="0" applyFont="1" applyFill="1" applyBorder="1" applyAlignment="1">
      <alignment horizontal="center"/>
    </xf>
    <xf numFmtId="0" fontId="31" fillId="0" borderId="0" xfId="0" applyFont="1"/>
    <xf numFmtId="4" fontId="20" fillId="13" borderId="34" xfId="4" applyNumberFormat="1" applyFont="1" applyFill="1" applyBorder="1" applyAlignment="1">
      <alignment horizontal="center"/>
    </xf>
    <xf numFmtId="4" fontId="20" fillId="13" borderId="29" xfId="4" applyNumberFormat="1" applyFont="1" applyFill="1" applyBorder="1" applyAlignment="1">
      <alignment horizontal="center"/>
    </xf>
    <xf numFmtId="4" fontId="20" fillId="13" borderId="31" xfId="4" applyNumberFormat="1" applyFont="1" applyFill="1" applyBorder="1" applyAlignment="1">
      <alignment horizontal="center"/>
    </xf>
    <xf numFmtId="4" fontId="21" fillId="13" borderId="0" xfId="0" applyNumberFormat="1" applyFont="1" applyFill="1"/>
    <xf numFmtId="3" fontId="21" fillId="13" borderId="0" xfId="0" applyNumberFormat="1" applyFont="1" applyFill="1"/>
    <xf numFmtId="3" fontId="20" fillId="20" borderId="34" xfId="4" applyNumberFormat="1" applyFont="1" applyFill="1" applyBorder="1" applyAlignment="1">
      <alignment horizontal="center"/>
    </xf>
    <xf numFmtId="3" fontId="20" fillId="20" borderId="29" xfId="4" applyNumberFormat="1" applyFont="1" applyFill="1" applyBorder="1" applyAlignment="1">
      <alignment horizontal="center"/>
    </xf>
    <xf numFmtId="3" fontId="20" fillId="20" borderId="31" xfId="4" applyNumberFormat="1" applyFont="1" applyFill="1" applyBorder="1" applyAlignment="1">
      <alignment horizontal="center"/>
    </xf>
    <xf numFmtId="9" fontId="0" fillId="10" borderId="0" xfId="0" applyNumberFormat="1" applyFont="1" applyFill="1" applyBorder="1"/>
    <xf numFmtId="0" fontId="32" fillId="13" borderId="0" xfId="0" applyFont="1" applyFill="1"/>
    <xf numFmtId="0" fontId="24" fillId="13" borderId="0" xfId="0" applyFont="1" applyFill="1"/>
    <xf numFmtId="0" fontId="24" fillId="13" borderId="64" xfId="0" applyFont="1" applyFill="1" applyBorder="1"/>
    <xf numFmtId="3" fontId="20" fillId="13" borderId="64" xfId="4" applyNumberFormat="1" applyFont="1" applyFill="1" applyBorder="1" applyAlignment="1">
      <alignment horizontal="center"/>
    </xf>
    <xf numFmtId="4" fontId="20" fillId="13" borderId="64" xfId="4" applyNumberFormat="1" applyFont="1" applyFill="1" applyBorder="1" applyAlignment="1">
      <alignment horizontal="center"/>
    </xf>
    <xf numFmtId="0" fontId="19" fillId="13" borderId="64" xfId="0" applyFont="1" applyFill="1" applyBorder="1"/>
    <xf numFmtId="2" fontId="20" fillId="13" borderId="34" xfId="4" applyNumberFormat="1" applyFont="1" applyFill="1" applyBorder="1" applyAlignment="1">
      <alignment horizontal="center"/>
    </xf>
    <xf numFmtId="1" fontId="20" fillId="13" borderId="34" xfId="4" applyNumberFormat="1" applyFont="1" applyFill="1" applyBorder="1" applyAlignment="1">
      <alignment horizontal="center"/>
    </xf>
    <xf numFmtId="2" fontId="20" fillId="13" borderId="29" xfId="4" applyNumberFormat="1" applyFont="1" applyFill="1" applyBorder="1" applyAlignment="1">
      <alignment horizontal="center"/>
    </xf>
    <xf numFmtId="1" fontId="20" fillId="13" borderId="29" xfId="4" applyNumberFormat="1" applyFont="1" applyFill="1" applyBorder="1" applyAlignment="1">
      <alignment horizontal="center"/>
    </xf>
    <xf numFmtId="2" fontId="20" fillId="13" borderId="31" xfId="4" applyNumberFormat="1" applyFont="1" applyFill="1" applyBorder="1" applyAlignment="1">
      <alignment horizontal="center"/>
    </xf>
    <xf numFmtId="1" fontId="20" fillId="13" borderId="31" xfId="4" applyNumberFormat="1" applyFont="1" applyFill="1" applyBorder="1" applyAlignment="1">
      <alignment horizontal="center"/>
    </xf>
    <xf numFmtId="2" fontId="21" fillId="13" borderId="0" xfId="0" applyNumberFormat="1" applyFont="1" applyFill="1"/>
    <xf numFmtId="1" fontId="21" fillId="13" borderId="0" xfId="0" applyNumberFormat="1" applyFont="1" applyFill="1"/>
    <xf numFmtId="0" fontId="0" fillId="2" borderId="0" xfId="0" quotePrefix="1" applyNumberFormat="1" applyFill="1" applyAlignment="1" applyProtection="1">
      <alignment horizontal="left" vertical="top" wrapText="1"/>
      <protection locked="0"/>
    </xf>
    <xf numFmtId="165" fontId="0" fillId="2" borderId="0" xfId="0" applyNumberFormat="1" applyFill="1" applyAlignment="1" applyProtection="1">
      <alignment horizontal="right" vertical="top" wrapText="1"/>
      <protection locked="0"/>
    </xf>
    <xf numFmtId="0" fontId="0" fillId="2" borderId="0" xfId="0" applyNumberFormat="1" applyFill="1" applyAlignment="1" applyProtection="1">
      <alignment horizontal="left" vertical="top" wrapText="1"/>
      <protection locked="0"/>
    </xf>
    <xf numFmtId="166" fontId="0" fillId="2" borderId="0" xfId="0" applyNumberFormat="1" applyFill="1" applyAlignment="1" applyProtection="1">
      <alignment horizontal="right" vertical="top" wrapText="1"/>
      <protection locked="0"/>
    </xf>
    <xf numFmtId="0" fontId="8" fillId="7" borderId="1" xfId="1" applyFont="1" applyBorder="1" applyAlignment="1">
      <alignment horizontal="center"/>
    </xf>
    <xf numFmtId="0" fontId="8" fillId="7" borderId="7" xfId="1" applyFont="1" applyBorder="1" applyAlignment="1">
      <alignment horizontal="center"/>
    </xf>
    <xf numFmtId="0" fontId="8" fillId="7" borderId="2" xfId="1" applyFont="1" applyBorder="1" applyAlignment="1">
      <alignment horizontal="center"/>
    </xf>
    <xf numFmtId="0" fontId="8" fillId="7" borderId="5" xfId="1" applyFont="1" applyBorder="1" applyAlignment="1">
      <alignment horizontal="center"/>
    </xf>
    <xf numFmtId="0" fontId="8" fillId="7" borderId="8" xfId="1" applyFont="1" applyBorder="1" applyAlignment="1">
      <alignment horizontal="center"/>
    </xf>
    <xf numFmtId="0" fontId="8" fillId="7" borderId="6" xfId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6" fillId="17" borderId="47" xfId="4" applyFont="1" applyFill="1" applyBorder="1" applyAlignment="1">
      <alignment horizontal="center" vertical="center"/>
    </xf>
    <xf numFmtId="0" fontId="16" fillId="17" borderId="40" xfId="4" applyFont="1" applyFill="1" applyBorder="1" applyAlignment="1">
      <alignment horizontal="center" vertical="center"/>
    </xf>
    <xf numFmtId="0" fontId="16" fillId="17" borderId="41" xfId="4" applyFont="1" applyFill="1" applyBorder="1" applyAlignment="1">
      <alignment horizontal="center" vertical="center"/>
    </xf>
    <xf numFmtId="0" fontId="18" fillId="0" borderId="0" xfId="4" applyFont="1" applyFill="1" applyBorder="1" applyAlignment="1">
      <alignment horizontal="center" vertical="top"/>
    </xf>
    <xf numFmtId="0" fontId="16" fillId="17" borderId="33" xfId="4" applyFont="1" applyFill="1" applyBorder="1" applyAlignment="1">
      <alignment horizontal="center" vertical="center" textRotation="90"/>
    </xf>
    <xf numFmtId="0" fontId="16" fillId="17" borderId="28" xfId="4" applyFont="1" applyFill="1" applyBorder="1" applyAlignment="1">
      <alignment horizontal="center" vertical="center" textRotation="90"/>
    </xf>
    <xf numFmtId="0" fontId="16" fillId="17" borderId="30" xfId="4" applyFont="1" applyFill="1" applyBorder="1" applyAlignment="1">
      <alignment horizontal="center" vertical="center" textRotation="90"/>
    </xf>
    <xf numFmtId="0" fontId="18" fillId="13" borderId="0" xfId="4" applyFont="1" applyFill="1" applyAlignment="1">
      <alignment horizontal="center" vertical="center"/>
    </xf>
    <xf numFmtId="0" fontId="16" fillId="13" borderId="0" xfId="4" applyFont="1" applyFill="1" applyAlignment="1">
      <alignment horizontal="center" wrapText="1"/>
    </xf>
    <xf numFmtId="0" fontId="16" fillId="17" borderId="32" xfId="4" applyFont="1" applyFill="1" applyBorder="1" applyAlignment="1">
      <alignment horizontal="center" vertical="center" textRotation="90"/>
    </xf>
    <xf numFmtId="0" fontId="16" fillId="17" borderId="35" xfId="4" applyFont="1" applyFill="1" applyBorder="1" applyAlignment="1">
      <alignment horizontal="center" vertical="center" textRotation="90"/>
    </xf>
    <xf numFmtId="0" fontId="16" fillId="17" borderId="36" xfId="4" applyFont="1" applyFill="1" applyBorder="1" applyAlignment="1">
      <alignment horizontal="center" vertical="center" textRotation="90"/>
    </xf>
    <xf numFmtId="0" fontId="16" fillId="0" borderId="0" xfId="4" applyFont="1" applyFill="1" applyAlignment="1">
      <alignment horizontal="center"/>
    </xf>
    <xf numFmtId="49" fontId="27" fillId="13" borderId="47" xfId="0" applyNumberFormat="1" applyFont="1" applyFill="1" applyBorder="1" applyAlignment="1">
      <alignment horizontal="center" vertical="center"/>
    </xf>
    <xf numFmtId="49" fontId="27" fillId="13" borderId="51" xfId="0" applyNumberFormat="1" applyFont="1" applyFill="1" applyBorder="1" applyAlignment="1">
      <alignment horizontal="center" vertical="center"/>
    </xf>
    <xf numFmtId="49" fontId="27" fillId="13" borderId="48" xfId="0" applyNumberFormat="1" applyFont="1" applyFill="1" applyBorder="1" applyAlignment="1">
      <alignment horizontal="center" vertical="center"/>
    </xf>
    <xf numFmtId="0" fontId="24" fillId="13" borderId="61" xfId="0" applyFont="1" applyFill="1" applyBorder="1" applyAlignment="1">
      <alignment horizontal="center" vertical="center" wrapText="1"/>
    </xf>
    <xf numFmtId="0" fontId="24" fillId="13" borderId="62" xfId="0" applyFont="1" applyFill="1" applyBorder="1" applyAlignment="1">
      <alignment horizontal="center" vertical="center" wrapText="1"/>
    </xf>
    <xf numFmtId="0" fontId="24" fillId="13" borderId="63" xfId="0" applyFont="1" applyFill="1" applyBorder="1" applyAlignment="1">
      <alignment horizontal="center" vertical="center" wrapText="1"/>
    </xf>
    <xf numFmtId="0" fontId="24" fillId="19" borderId="64" xfId="0" applyFont="1" applyFill="1" applyBorder="1" applyAlignment="1">
      <alignment horizontal="center"/>
    </xf>
    <xf numFmtId="0" fontId="25" fillId="13" borderId="53" xfId="0" applyFont="1" applyFill="1" applyBorder="1" applyAlignment="1">
      <alignment horizontal="center"/>
    </xf>
    <xf numFmtId="0" fontId="25" fillId="13" borderId="54" xfId="0" applyFont="1" applyFill="1" applyBorder="1" applyAlignment="1">
      <alignment horizontal="center"/>
    </xf>
    <xf numFmtId="0" fontId="25" fillId="13" borderId="55" xfId="0" applyFont="1" applyFill="1" applyBorder="1" applyAlignment="1">
      <alignment horizontal="center"/>
    </xf>
    <xf numFmtId="0" fontId="24" fillId="13" borderId="59" xfId="0" applyFont="1" applyFill="1" applyBorder="1" applyAlignment="1">
      <alignment horizontal="center"/>
    </xf>
    <xf numFmtId="0" fontId="24" fillId="13" borderId="58" xfId="0" applyFont="1" applyFill="1" applyBorder="1" applyAlignment="1">
      <alignment horizontal="center"/>
    </xf>
    <xf numFmtId="0" fontId="24" fillId="13" borderId="60" xfId="0" applyFont="1" applyFill="1" applyBorder="1" applyAlignment="1">
      <alignment horizontal="center"/>
    </xf>
    <xf numFmtId="0" fontId="22" fillId="13" borderId="33" xfId="0" applyFont="1" applyFill="1" applyBorder="1" applyAlignment="1">
      <alignment horizontal="center" vertical="center" wrapText="1"/>
    </xf>
    <xf numFmtId="0" fontId="22" fillId="13" borderId="34" xfId="0" applyFont="1" applyFill="1" applyBorder="1" applyAlignment="1">
      <alignment horizontal="center" vertical="center" wrapText="1"/>
    </xf>
    <xf numFmtId="0" fontId="22" fillId="13" borderId="28" xfId="0" applyFont="1" applyFill="1" applyBorder="1" applyAlignment="1">
      <alignment horizontal="center" vertical="center" wrapText="1"/>
    </xf>
    <xf numFmtId="0" fontId="22" fillId="13" borderId="29" xfId="0" applyFont="1" applyFill="1" applyBorder="1" applyAlignment="1">
      <alignment horizontal="center" vertical="center" wrapText="1"/>
    </xf>
    <xf numFmtId="0" fontId="22" fillId="13" borderId="3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49" fontId="1" fillId="0" borderId="12" xfId="0" applyNumberFormat="1" applyFont="1" applyFill="1" applyBorder="1" applyAlignment="1">
      <alignment horizontal="center"/>
    </xf>
    <xf numFmtId="49" fontId="1" fillId="0" borderId="22" xfId="0" applyNumberFormat="1" applyFont="1" applyFill="1" applyBorder="1" applyAlignment="1">
      <alignment horizontal="center"/>
    </xf>
    <xf numFmtId="49" fontId="1" fillId="0" borderId="21" xfId="0" applyNumberFormat="1" applyFont="1" applyFill="1" applyBorder="1" applyAlignment="1">
      <alignment horizontal="center"/>
    </xf>
  </cellXfs>
  <cellStyles count="5">
    <cellStyle name="Buena" xfId="1" builtinId="26"/>
    <cellStyle name="Cálculo" xfId="2" builtinId="22"/>
    <cellStyle name="Normal" xfId="0" builtinId="0"/>
    <cellStyle name="Normale 2" xfId="3"/>
    <cellStyle name="Normale 3" xfId="4"/>
  </cellStyles>
  <dxfs count="2">
    <dxf>
      <font>
        <b/>
        <i val="0"/>
        <color rgb="FFFF0000"/>
      </font>
      <fill>
        <patternFill>
          <bgColor theme="5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strike/>
      </font>
    </dxf>
  </dxfs>
  <tableStyles count="0" defaultTableStyle="TableStyleMedium2" defaultPivotStyle="PivotStyleLight16"/>
  <colors>
    <mruColors>
      <color rgb="FFC7D9A3"/>
      <color rgb="FF76C0D4"/>
      <color rgb="FF31859C"/>
      <color rgb="FFF9B47B"/>
      <color rgb="FFF79646"/>
      <color rgb="FFFF6565"/>
      <color rgb="FFFF4747"/>
      <color rgb="FFB7CE88"/>
      <color rgb="FF59B3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Service_Weights!$B$2</c:f>
              <c:strCache>
                <c:ptCount val="1"/>
                <c:pt idx="0">
                  <c:v>VOICE M2M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Service_Weights!$C$1</c:f>
              <c:strCache>
                <c:ptCount val="1"/>
                <c:pt idx="0">
                  <c:v>ServiceWeight</c:v>
                </c:pt>
              </c:strCache>
            </c:strRef>
          </c:cat>
          <c:val>
            <c:numRef>
              <c:f>Service_Weights!$C$2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CA5-4D8A-8815-CF91D542A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Service_Weights!$C$1</c:f>
              <c:strCache>
                <c:ptCount val="1"/>
                <c:pt idx="0">
                  <c:v>ServiceWeight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Service_Weights!$B$6:$B$12</c:f>
              <c:strCache>
                <c:ptCount val="7"/>
                <c:pt idx="0">
                  <c:v>HTTP STATIC PAGE DL</c:v>
                </c:pt>
                <c:pt idx="1">
                  <c:v>HTTP LIVE PAGE DL</c:v>
                </c:pt>
                <c:pt idx="2">
                  <c:v>HTTP FILE DL</c:v>
                </c:pt>
                <c:pt idx="3">
                  <c:v>HTTP UL</c:v>
                </c:pt>
                <c:pt idx="4">
                  <c:v>HTTP DOWNLOAD FDTT</c:v>
                </c:pt>
                <c:pt idx="5">
                  <c:v>HTTP UPLOAD FDTT</c:v>
                </c:pt>
                <c:pt idx="6">
                  <c:v>Youtube HD</c:v>
                </c:pt>
              </c:strCache>
            </c:strRef>
          </c:cat>
          <c:val>
            <c:numRef>
              <c:f>Service_Weights!$C$6:$C$12</c:f>
              <c:numCache>
                <c:formatCode>0%</c:formatCode>
                <c:ptCount val="7"/>
                <c:pt idx="0">
                  <c:v>0.1</c:v>
                </c:pt>
                <c:pt idx="1">
                  <c:v>0.25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0CC-44C0-83A5-C927A43F974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Service_Weights!$C$28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Service_Weights!$B$29:$B$31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Service_Weights!$C$29:$C$31</c:f>
              <c:numCache>
                <c:formatCode>0</c:formatCode>
                <c:ptCount val="3"/>
                <c:pt idx="0">
                  <c:v>219.00801231433869</c:v>
                </c:pt>
                <c:pt idx="1">
                  <c:v>71.005205312768211</c:v>
                </c:pt>
                <c:pt idx="2">
                  <c:v>59.717250342144297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E3-4C20-B0FC-667C22D6E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Service_Weights!$D$28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Service_Weights!$B$29:$B$31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Service_Weights!$D$29:$D$31</c:f>
              <c:numCache>
                <c:formatCode>0</c:formatCode>
                <c:ptCount val="3"/>
                <c:pt idx="0">
                  <c:v>327.22503220471754</c:v>
                </c:pt>
                <c:pt idx="1">
                  <c:v>110.15775291644781</c:v>
                </c:pt>
                <c:pt idx="2">
                  <c:v>98.470201044842355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6E-4339-9296-0452CB283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Service_Weights!$J$28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Service_Weights!$I$29:$I$31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Service_Weights!$J$29:$J$31</c:f>
              <c:numCache>
                <c:formatCode>0</c:formatCode>
                <c:ptCount val="3"/>
                <c:pt idx="0">
                  <c:v>170.54532263690089</c:v>
                </c:pt>
                <c:pt idx="1">
                  <c:v>53.62437742978355</c:v>
                </c:pt>
                <c:pt idx="2">
                  <c:v>59.717250342144297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23-4768-8A92-535C0A1E8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Service_Weights!$K$28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Service_Weights!$I$29:$I$31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Service_Weights!$K$29:$K$31</c:f>
              <c:numCache>
                <c:formatCode>0</c:formatCode>
                <c:ptCount val="3"/>
                <c:pt idx="0">
                  <c:v>323.09755697258987</c:v>
                </c:pt>
                <c:pt idx="1">
                  <c:v>109.05093795361026</c:v>
                </c:pt>
                <c:pt idx="2">
                  <c:v>94.808538493680999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EE-4320-AE3A-F5D2BBD1D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Service_Weights!$Q$28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Service_Weights!$P$29:$P$31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Service_Weights!$Q$29:$Q$31</c:f>
              <c:numCache>
                <c:formatCode>0</c:formatCode>
                <c:ptCount val="3"/>
                <c:pt idx="0">
                  <c:v>201.2300736491797</c:v>
                </c:pt>
                <c:pt idx="1">
                  <c:v>68.045165528011736</c:v>
                </c:pt>
                <c:pt idx="2">
                  <c:v>49.322661383544855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D8E-4B83-A8B0-ECB62E51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Service_Weights!$R$28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Service_Weights!$P$29:$P$31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Service_Weights!$R$29:$R$31</c:f>
              <c:numCache>
                <c:formatCode>0</c:formatCode>
                <c:ptCount val="3"/>
                <c:pt idx="0">
                  <c:v>311.46169045140817</c:v>
                </c:pt>
                <c:pt idx="1">
                  <c:v>102.34656282278993</c:v>
                </c:pt>
                <c:pt idx="2">
                  <c:v>89.023230873917726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86C-469B-A788-4601DFCA0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Service_Weights!$X$28</c:f>
              <c:strCache>
                <c:ptCount val="1"/>
                <c:pt idx="0">
                  <c:v>voice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Service_Weights!$W$29:$W$31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Service_Weights!$X$29:$X$31</c:f>
              <c:numCache>
                <c:formatCode>0</c:formatCode>
                <c:ptCount val="3"/>
                <c:pt idx="0">
                  <c:v>155.96978751296058</c:v>
                </c:pt>
                <c:pt idx="1">
                  <c:v>57.332883745820347</c:v>
                </c:pt>
                <c:pt idx="2">
                  <c:v>16.819595034634567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6F-46CF-97E1-F5DFAB8CB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Service_Weights!$Y$28</c:f>
              <c:strCache>
                <c:ptCount val="1"/>
                <c:pt idx="0">
                  <c:v>data outdoor</c:v>
                </c:pt>
              </c:strCache>
            </c:strRef>
          </c:tx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Service_Weights!$W$29:$W$31</c:f>
              <c:strCache>
                <c:ptCount val="3"/>
                <c:pt idx="0">
                  <c:v>Big city</c:v>
                </c:pt>
                <c:pt idx="1">
                  <c:v>small city</c:v>
                </c:pt>
                <c:pt idx="2">
                  <c:v>highway</c:v>
                </c:pt>
              </c:strCache>
            </c:strRef>
          </c:cat>
          <c:val>
            <c:numRef>
              <c:f>Service_Weights!$Y$29:$Y$31</c:f>
              <c:numCache>
                <c:formatCode>0</c:formatCode>
                <c:ptCount val="3"/>
                <c:pt idx="0">
                  <c:v>278.22681426854848</c:v>
                </c:pt>
                <c:pt idx="1">
                  <c:v>94.166084222669852</c:v>
                </c:pt>
                <c:pt idx="2">
                  <c:v>78.023760380893393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DC-49D0-AC97-B539EE0D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AE7-4890-8D21-31AC292C16C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AE7-4890-8D21-31AC292C16C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AE7-4890-8D21-31AC292C16C0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DAE7-4890-8D21-31AC292C16C0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DAE7-4890-8D21-31AC292C16C0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DAE7-4890-8D21-31AC292C16C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DAE7-4890-8D21-31AC292C16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Graphs!$F$49:$H$56</c:f>
              <c:multiLvlStrCache>
                <c:ptCount val="8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</c:lvl>
                <c:lvl>
                  <c:pt idx="0">
                    <c:v>Voice</c:v>
                  </c:pt>
                  <c:pt idx="4">
                    <c:v>Data</c:v>
                  </c:pt>
                </c:lvl>
                <c:lvl>
                  <c:pt idx="0">
                    <c:v>DIFFERENTIATOR</c:v>
                  </c:pt>
                </c:lvl>
              </c:multiLvlStrCache>
            </c:multiLvlStrRef>
          </c:cat>
          <c:val>
            <c:numRef>
              <c:f>Graphs!$I$49:$I$56</c:f>
              <c:numCache>
                <c:formatCode>0</c:formatCode>
                <c:ptCount val="8"/>
                <c:pt idx="0">
                  <c:v>93.975486924920347</c:v>
                </c:pt>
                <c:pt idx="1">
                  <c:v>70.36606465850582</c:v>
                </c:pt>
                <c:pt idx="2">
                  <c:v>79.639043370916198</c:v>
                </c:pt>
                <c:pt idx="3">
                  <c:v>53.028901789804365</c:v>
                </c:pt>
                <c:pt idx="4" formatCode="#,##0">
                  <c:v>196.48197614776268</c:v>
                </c:pt>
                <c:pt idx="5" formatCode="#,##0">
                  <c:v>191.26200248094085</c:v>
                </c:pt>
                <c:pt idx="6" formatCode="#,##0">
                  <c:v>175.58815651437925</c:v>
                </c:pt>
                <c:pt idx="7" formatCode="#,##0">
                  <c:v>152.36255604590895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DAE7-4890-8D21-31AC292C16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11680"/>
        <c:axId val="172313216"/>
      </c:barChart>
      <c:catAx>
        <c:axId val="17231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313216"/>
        <c:crosses val="autoZero"/>
        <c:auto val="1"/>
        <c:lblAlgn val="ctr"/>
        <c:lblOffset val="100"/>
        <c:noMultiLvlLbl val="0"/>
      </c:catAx>
      <c:valAx>
        <c:axId val="172313216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311680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layout>
        <c:manualLayout>
          <c:xMode val="edge"/>
          <c:yMode val="edge"/>
          <c:x val="0.60069647573697937"/>
          <c:y val="3.773584905660377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575-49B0-B5E0-5077818461F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75-49B0-B5E0-5077818461F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575-49B0-B5E0-5077818461FD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E575-49B0-B5E0-5077818461F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E575-49B0-B5E0-5077818461F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E575-49B0-B5E0-5077818461F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E575-49B0-B5E0-5077818461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Graphs!$F$37:$H$44</c:f>
              <c:multiLvlStrCache>
                <c:ptCount val="8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</c:lvl>
                <c:lvl>
                  <c:pt idx="0">
                    <c:v>Voice</c:v>
                  </c:pt>
                  <c:pt idx="4">
                    <c:v>Data</c:v>
                  </c:pt>
                </c:lvl>
                <c:lvl>
                  <c:pt idx="0">
                    <c:v>QUALIFIER</c:v>
                  </c:pt>
                </c:lvl>
              </c:multiLvlStrCache>
            </c:multiLvlStrRef>
          </c:cat>
          <c:val>
            <c:numRef>
              <c:f>Graphs!$I$37:$I$44</c:f>
              <c:numCache>
                <c:formatCode>0</c:formatCode>
                <c:ptCount val="8"/>
                <c:pt idx="0">
                  <c:v>255.75498104433086</c:v>
                </c:pt>
                <c:pt idx="1">
                  <c:v>213.52088575032292</c:v>
                </c:pt>
                <c:pt idx="2">
                  <c:v>238.95885718982012</c:v>
                </c:pt>
                <c:pt idx="3">
                  <c:v>177.09336450361113</c:v>
                </c:pt>
                <c:pt idx="4" formatCode="#,##0">
                  <c:v>339.37101001824499</c:v>
                </c:pt>
                <c:pt idx="5" formatCode="#,##0">
                  <c:v>335.69503093894025</c:v>
                </c:pt>
                <c:pt idx="6" formatCode="#,##0">
                  <c:v>327.24332763373661</c:v>
                </c:pt>
                <c:pt idx="7" formatCode="#,##0">
                  <c:v>298.05410282620278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575-49B0-B5E0-507781846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380928"/>
        <c:axId val="172382464"/>
      </c:barChart>
      <c:catAx>
        <c:axId val="17238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382464"/>
        <c:crosses val="autoZero"/>
        <c:auto val="1"/>
        <c:lblAlgn val="ctr"/>
        <c:lblOffset val="100"/>
        <c:noMultiLvlLbl val="0"/>
      </c:catAx>
      <c:valAx>
        <c:axId val="172382464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380928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 </a:t>
            </a:r>
          </a:p>
        </c:rich>
      </c:tx>
      <c:layout>
        <c:manualLayout>
          <c:xMode val="edge"/>
          <c:yMode val="edge"/>
          <c:x val="0.35292757822034093"/>
          <c:y val="3.727786222640382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Graphs!$H$12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4AF-4C77-8A19-98CA7DCECB0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4AF-4C77-8A19-98CA7DCECB0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4AF-4C77-8A19-98CA7DCECB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Graphs!$G$13:$G$16</c:f>
              <c:strCache>
                <c:ptCount val="4"/>
                <c:pt idx="0">
                  <c:v>VODAFONE</c:v>
                </c:pt>
                <c:pt idx="1">
                  <c:v>MOVISTAR</c:v>
                </c:pt>
                <c:pt idx="2">
                  <c:v>ORANGE</c:v>
                </c:pt>
                <c:pt idx="3">
                  <c:v>YOIGO</c:v>
                </c:pt>
              </c:strCache>
            </c:strRef>
          </c:cat>
          <c:val>
            <c:numRef>
              <c:f>Graphs!$H$13:$H$16</c:f>
              <c:numCache>
                <c:formatCode>#,##0</c:formatCode>
                <c:ptCount val="4"/>
                <c:pt idx="0">
                  <c:v>349.73046796925121</c:v>
                </c:pt>
                <c:pt idx="1">
                  <c:v>283.88695040882874</c:v>
                </c:pt>
                <c:pt idx="2">
                  <c:v>318.59790056073632</c:v>
                </c:pt>
                <c:pt idx="3">
                  <c:v>230.12226629341549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4AF-4C77-8A19-98CA7DCECB02}"/>
            </c:ext>
          </c:extLst>
        </c:ser>
        <c:ser>
          <c:idx val="1"/>
          <c:order val="1"/>
          <c:tx>
            <c:strRef>
              <c:f>Graphs!$I$12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54AF-4C77-8A19-98CA7DCECB02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54AF-4C77-8A19-98CA7DCECB02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54AF-4C77-8A19-98CA7DCECB02}"/>
              </c:ext>
            </c:extLst>
          </c:dPt>
          <c:dPt>
            <c:idx val="3"/>
            <c:invertIfNegative val="0"/>
            <c:bubble3D val="0"/>
            <c:spPr>
              <a:solidFill>
                <a:srgbClr val="B7CE88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54AF-4C77-8A19-98CA7DCECB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Graphs!$G$13:$G$16</c:f>
              <c:strCache>
                <c:ptCount val="4"/>
                <c:pt idx="0">
                  <c:v>VODAFONE</c:v>
                </c:pt>
                <c:pt idx="1">
                  <c:v>MOVISTAR</c:v>
                </c:pt>
                <c:pt idx="2">
                  <c:v>ORANGE</c:v>
                </c:pt>
                <c:pt idx="3">
                  <c:v>YOIGO</c:v>
                </c:pt>
              </c:strCache>
            </c:strRef>
          </c:cat>
          <c:val>
            <c:numRef>
              <c:f>Graphs!$I$13:$I$16</c:f>
              <c:numCache>
                <c:formatCode>#,##0</c:formatCode>
                <c:ptCount val="4"/>
                <c:pt idx="0">
                  <c:v>535.85298616600767</c:v>
                </c:pt>
                <c:pt idx="1">
                  <c:v>526.9570334198811</c:v>
                </c:pt>
                <c:pt idx="2">
                  <c:v>502.83148414811586</c:v>
                </c:pt>
                <c:pt idx="3">
                  <c:v>450.41665887211173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F-54AF-4C77-8A19-98CA7DCE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72466560"/>
        <c:axId val="172468096"/>
      </c:barChart>
      <c:lineChart>
        <c:grouping val="standard"/>
        <c:varyColors val="0"/>
        <c:ser>
          <c:idx val="2"/>
          <c:order val="2"/>
          <c:tx>
            <c:strRef>
              <c:f>Graphs!$J$12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Graphs!$J$13:$J$16</c:f>
              <c:numCache>
                <c:formatCode>#,##0</c:formatCode>
                <c:ptCount val="4"/>
                <c:pt idx="0">
                  <c:v>885.58345413525888</c:v>
                </c:pt>
                <c:pt idx="1">
                  <c:v>810.84398382870984</c:v>
                </c:pt>
                <c:pt idx="2">
                  <c:v>821.42938470885224</c:v>
                </c:pt>
                <c:pt idx="3">
                  <c:v>680.53892516552719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0-54AF-4C77-8A19-98CA7DCEC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66560"/>
        <c:axId val="172468096"/>
      </c:lineChart>
      <c:catAx>
        <c:axId val="17246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468096"/>
        <c:crosses val="autoZero"/>
        <c:auto val="1"/>
        <c:lblAlgn val="ctr"/>
        <c:lblOffset val="100"/>
        <c:noMultiLvlLbl val="0"/>
      </c:catAx>
      <c:valAx>
        <c:axId val="172468096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466560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0118-4E8B-99E3-E26A3D03B19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0118-4E8B-99E3-E26A3D03B19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0118-4E8B-99E3-E26A3D03B19C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0118-4E8B-99E3-E26A3D03B19C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0118-4E8B-99E3-E26A3D03B19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0118-4E8B-99E3-E26A3D03B19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0118-4E8B-99E3-E26A3D03B19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0118-4E8B-99E3-E26A3D03B19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0118-4E8B-99E3-E26A3D03B19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0118-4E8B-99E3-E26A3D03B19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Graphs!$G$75:$H$86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Graphs!$I$75:$I$86</c:f>
              <c:numCache>
                <c:formatCode>#,##0</c:formatCode>
                <c:ptCount val="12"/>
                <c:pt idx="0">
                  <c:v>219.00801231433869</c:v>
                </c:pt>
                <c:pt idx="1">
                  <c:v>170.54532263690089</c:v>
                </c:pt>
                <c:pt idx="2">
                  <c:v>201.2300736491797</c:v>
                </c:pt>
                <c:pt idx="3">
                  <c:v>155.96978751296058</c:v>
                </c:pt>
                <c:pt idx="4">
                  <c:v>71.005205312768211</c:v>
                </c:pt>
                <c:pt idx="5">
                  <c:v>53.62437742978355</c:v>
                </c:pt>
                <c:pt idx="6">
                  <c:v>68.045165528011736</c:v>
                </c:pt>
                <c:pt idx="7">
                  <c:v>57.332883745820347</c:v>
                </c:pt>
                <c:pt idx="8">
                  <c:v>59.717250342144297</c:v>
                </c:pt>
                <c:pt idx="9">
                  <c:v>59.717250342144297</c:v>
                </c:pt>
                <c:pt idx="10">
                  <c:v>49.322661383544855</c:v>
                </c:pt>
                <c:pt idx="11">
                  <c:v>16.819595034634567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0118-4E8B-99E3-E26A3D03B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172583168"/>
        <c:axId val="172597248"/>
      </c:barChart>
      <c:catAx>
        <c:axId val="172583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97248"/>
        <c:crosses val="autoZero"/>
        <c:auto val="1"/>
        <c:lblAlgn val="ctr"/>
        <c:lblOffset val="100"/>
        <c:noMultiLvlLbl val="0"/>
      </c:catAx>
      <c:valAx>
        <c:axId val="17259724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583168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BB6-4CEF-AFE4-BFA7B61ACC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BB6-4CEF-AFE4-BFA7B61ACC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BB6-4CEF-AFE4-BFA7B61ACCA2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2BB6-4CEF-AFE4-BFA7B61ACCA2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2BB6-4CEF-AFE4-BFA7B61ACCA2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2BB6-4CEF-AFE4-BFA7B61ACCA2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2BB6-4CEF-AFE4-BFA7B61ACCA2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2BB6-4CEF-AFE4-BFA7B61ACCA2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2BB6-4CEF-AFE4-BFA7B61ACCA2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2BB6-4CEF-AFE4-BFA7B61ACCA2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2BB6-4CEF-AFE4-BFA7B61ACC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Graphs!$G$90:$H$101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Graphs!$I$90:$I$101</c:f>
              <c:numCache>
                <c:formatCode>0</c:formatCode>
                <c:ptCount val="12"/>
                <c:pt idx="0">
                  <c:v>327.22503220471754</c:v>
                </c:pt>
                <c:pt idx="1">
                  <c:v>323.09755697258987</c:v>
                </c:pt>
                <c:pt idx="2">
                  <c:v>311.46169045140817</c:v>
                </c:pt>
                <c:pt idx="3">
                  <c:v>278.22681426854848</c:v>
                </c:pt>
                <c:pt idx="4">
                  <c:v>110.15775291644781</c:v>
                </c:pt>
                <c:pt idx="5">
                  <c:v>109.05093795361026</c:v>
                </c:pt>
                <c:pt idx="6">
                  <c:v>102.34656282278993</c:v>
                </c:pt>
                <c:pt idx="7">
                  <c:v>94.166084222669852</c:v>
                </c:pt>
                <c:pt idx="8">
                  <c:v>98.470201044842355</c:v>
                </c:pt>
                <c:pt idx="9">
                  <c:v>94.808538493680999</c:v>
                </c:pt>
                <c:pt idx="10">
                  <c:v>89.023230873917726</c:v>
                </c:pt>
                <c:pt idx="11">
                  <c:v>78.023760380893393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2BB6-4CEF-AFE4-BFA7B61AC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-27"/>
        <c:axId val="172659456"/>
        <c:axId val="172660992"/>
      </c:barChart>
      <c:catAx>
        <c:axId val="17265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660992"/>
        <c:crosses val="autoZero"/>
        <c:auto val="1"/>
        <c:lblAlgn val="ctr"/>
        <c:lblOffset val="100"/>
        <c:noMultiLvlLbl val="0"/>
      </c:catAx>
      <c:valAx>
        <c:axId val="172660992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659456"/>
        <c:crosses val="autoZero"/>
        <c:crossBetween val="between"/>
        <c:majorUnit val="10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Telephony</a:t>
            </a:r>
            <a:r>
              <a:rPr lang="en-US" sz="1400" b="1" i="0" baseline="0">
                <a:effectLst/>
              </a:rPr>
              <a:t> - Actual</a:t>
            </a:r>
            <a:r>
              <a:rPr lang="en-US" sz="1400" b="1" i="0" u="none" strike="noStrike" baseline="0">
                <a:effectLst/>
              </a:rPr>
              <a:t>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FF-40FD-9625-92E2AFDC69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FF-40FD-9625-92E2AFDC69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FF-40FD-9625-92E2AFDC69EC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89FF-40FD-9625-92E2AFDC69EC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9FF-40FD-9625-92E2AFDC69E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89FF-40FD-9625-92E2AFDC69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89FF-40FD-9625-92E2AFDC69E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89FF-40FD-9625-92E2AFDC69E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89FF-40FD-9625-92E2AFDC69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89FF-40FD-9625-92E2AFDC69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Graphs!$G$114:$H$125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Graphs!$I$114:$I$125</c:f>
              <c:numCache>
                <c:formatCode>0</c:formatCode>
                <c:ptCount val="12"/>
                <c:pt idx="0">
                  <c:v>219.00801231433869</c:v>
                </c:pt>
                <c:pt idx="1">
                  <c:v>170.54532263690089</c:v>
                </c:pt>
                <c:pt idx="2">
                  <c:v>201.2300736491797</c:v>
                </c:pt>
                <c:pt idx="3">
                  <c:v>155.96978751296058</c:v>
                </c:pt>
                <c:pt idx="4">
                  <c:v>71.005205312768211</c:v>
                </c:pt>
                <c:pt idx="5">
                  <c:v>53.62437742978355</c:v>
                </c:pt>
                <c:pt idx="6">
                  <c:v>68.045165528011736</c:v>
                </c:pt>
                <c:pt idx="7">
                  <c:v>57.332883745820347</c:v>
                </c:pt>
                <c:pt idx="8">
                  <c:v>59.717250342144297</c:v>
                </c:pt>
                <c:pt idx="9">
                  <c:v>59.717250342144297</c:v>
                </c:pt>
                <c:pt idx="10">
                  <c:v>49.322661383544855</c:v>
                </c:pt>
                <c:pt idx="11">
                  <c:v>16.819595034634567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3-89FF-40FD-9625-92E2AFDC69E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89FF-40FD-9625-92E2AFDC69E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89FF-40FD-9625-92E2AFDC69E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89FF-40FD-9625-92E2AFDC69E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89FF-40FD-9625-92E2AFDC69EC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89FF-40FD-9625-92E2AFDC69E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89FF-40FD-9625-92E2AFDC69EC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89FF-40FD-9625-92E2AFDC69EC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89FF-40FD-9625-92E2AFDC69E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89FF-40FD-9625-92E2AFDC69EC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89FF-40FD-9625-92E2AFDC69EC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89FF-40FD-9625-92E2AFDC69EC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89FF-40FD-9625-92E2AFDC69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Graphs!$G$114:$H$125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Graphs!$K$114:$K$125</c:f>
              <c:numCache>
                <c:formatCode>0</c:formatCode>
                <c:ptCount val="12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C-89FF-40FD-9625-92E2AFDC6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72754816"/>
        <c:axId val="172756352"/>
      </c:barChart>
      <c:catAx>
        <c:axId val="1727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756352"/>
        <c:crosses val="autoZero"/>
        <c:auto val="1"/>
        <c:lblAlgn val="ctr"/>
        <c:lblOffset val="100"/>
        <c:noMultiLvlLbl val="0"/>
      </c:catAx>
      <c:valAx>
        <c:axId val="172756352"/>
        <c:scaling>
          <c:orientation val="minMax"/>
          <c:max val="2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754816"/>
        <c:crosses val="autoZero"/>
        <c:crossBetween val="between"/>
        <c:majorUnit val="4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Web Browsing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1CB-4166-AF1F-AE5652E30B1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1CB-4166-AF1F-AE5652E30B1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1CB-4166-AF1F-AE5652E30B16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31CB-4166-AF1F-AE5652E30B1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31CB-4166-AF1F-AE5652E30B1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31CB-4166-AF1F-AE5652E30B1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31CB-4166-AF1F-AE5652E30B16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31CB-4166-AF1F-AE5652E30B1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1CB-4166-AF1F-AE5652E30B1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1CB-4166-AF1F-AE5652E30B1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1CB-4166-AF1F-AE5652E30B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Graphs!$G$131:$H$142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Graphs!$I$131:$I$142</c:f>
              <c:numCache>
                <c:formatCode>0</c:formatCode>
                <c:ptCount val="12"/>
                <c:pt idx="0">
                  <c:v>115.4146719673991</c:v>
                </c:pt>
                <c:pt idx="1">
                  <c:v>113.11933410489812</c:v>
                </c:pt>
                <c:pt idx="2">
                  <c:v>111.08637606951602</c:v>
                </c:pt>
                <c:pt idx="3">
                  <c:v>102.40746260507075</c:v>
                </c:pt>
                <c:pt idx="4">
                  <c:v>38.377610931326799</c:v>
                </c:pt>
                <c:pt idx="5">
                  <c:v>37.735329318135747</c:v>
                </c:pt>
                <c:pt idx="6">
                  <c:v>36.420963690928509</c:v>
                </c:pt>
                <c:pt idx="7">
                  <c:v>34.446602989194304</c:v>
                </c:pt>
                <c:pt idx="8">
                  <c:v>34.561881155569679</c:v>
                </c:pt>
                <c:pt idx="9">
                  <c:v>32.446933018553395</c:v>
                </c:pt>
                <c:pt idx="10">
                  <c:v>30.603630237969725</c:v>
                </c:pt>
                <c:pt idx="11">
                  <c:v>23.509876928190117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31CB-4166-AF1F-AE5652E30B1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31CB-4166-AF1F-AE5652E30B1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31CB-4166-AF1F-AE5652E30B1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31CB-4166-AF1F-AE5652E30B1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1CB-4166-AF1F-AE5652E30B1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1CB-4166-AF1F-AE5652E30B16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31CB-4166-AF1F-AE5652E30B1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31CB-4166-AF1F-AE5652E30B1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31CB-4166-AF1F-AE5652E30B16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31CB-4166-AF1F-AE5652E30B1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31CB-4166-AF1F-AE5652E30B1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31CB-4166-AF1F-AE5652E30B1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31CB-4166-AF1F-AE5652E30B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Graphs!$G$131:$H$142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Graphs!$K$131:$K$142</c:f>
              <c:numCache>
                <c:formatCode>0</c:formatCode>
                <c:ptCount val="12"/>
                <c:pt idx="0">
                  <c:v>126</c:v>
                </c:pt>
                <c:pt idx="1">
                  <c:v>126</c:v>
                </c:pt>
                <c:pt idx="2">
                  <c:v>126</c:v>
                </c:pt>
                <c:pt idx="3">
                  <c:v>126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31CB-4166-AF1F-AE5652E30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72866944"/>
        <c:axId val="172872832"/>
      </c:barChart>
      <c:catAx>
        <c:axId val="17286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872832"/>
        <c:crosses val="autoZero"/>
        <c:auto val="1"/>
        <c:lblAlgn val="ctr"/>
        <c:lblOffset val="100"/>
        <c:noMultiLvlLbl val="0"/>
      </c:catAx>
      <c:valAx>
        <c:axId val="172872832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866944"/>
        <c:crosses val="autoZero"/>
        <c:crossBetween val="between"/>
        <c:majorUnit val="25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File Download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E68-4D7D-A0F5-E6A41BD68E9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E68-4D7D-A0F5-E6A41BD68E9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E68-4D7D-A0F5-E6A41BD68E91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BE68-4D7D-A0F5-E6A41BD68E91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BE68-4D7D-A0F5-E6A41BD68E91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BE68-4D7D-A0F5-E6A41BD68E9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BE68-4D7D-A0F5-E6A41BD68E91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BE68-4D7D-A0F5-E6A41BD68E91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BE68-4D7D-A0F5-E6A41BD68E91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BE68-4D7D-A0F5-E6A41BD68E9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BE68-4D7D-A0F5-E6A41BD68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Graphs!$G$148:$H$159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Graphs!$I$148:$I$159</c:f>
              <c:numCache>
                <c:formatCode>0</c:formatCode>
                <c:ptCount val="12"/>
                <c:pt idx="0">
                  <c:v>64.079512552263139</c:v>
                </c:pt>
                <c:pt idx="1">
                  <c:v>61.942966686092859</c:v>
                </c:pt>
                <c:pt idx="2">
                  <c:v>59.065286521157972</c:v>
                </c:pt>
                <c:pt idx="3">
                  <c:v>52.520616236162589</c:v>
                </c:pt>
                <c:pt idx="4">
                  <c:v>21.497266789776631</c:v>
                </c:pt>
                <c:pt idx="5">
                  <c:v>21.125256956261868</c:v>
                </c:pt>
                <c:pt idx="6">
                  <c:v>19.266613838129842</c:v>
                </c:pt>
                <c:pt idx="7">
                  <c:v>17.245357718054059</c:v>
                </c:pt>
                <c:pt idx="8">
                  <c:v>20.386175276971517</c:v>
                </c:pt>
                <c:pt idx="9">
                  <c:v>19.707232829602916</c:v>
                </c:pt>
                <c:pt idx="10">
                  <c:v>17.74420197053584</c:v>
                </c:pt>
                <c:pt idx="11">
                  <c:v>16.21920103256512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BE68-4D7D-A0F5-E6A41BD68E9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BE68-4D7D-A0F5-E6A41BD68E9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BE68-4D7D-A0F5-E6A41BD68E9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BE68-4D7D-A0F5-E6A41BD68E9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BE68-4D7D-A0F5-E6A41BD68E91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BE68-4D7D-A0F5-E6A41BD68E91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BE68-4D7D-A0F5-E6A41BD68E91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BE68-4D7D-A0F5-E6A41BD68E9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BE68-4D7D-A0F5-E6A41BD68E91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BE68-4D7D-A0F5-E6A41BD68E91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BE68-4D7D-A0F5-E6A41BD68E91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BE68-4D7D-A0F5-E6A41BD68E91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BE68-4D7D-A0F5-E6A41BD68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Graphs!$G$148:$H$159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Graphs!$K$148:$K$159</c:f>
              <c:numCache>
                <c:formatCode>0</c:formatCode>
                <c:ptCount val="12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BE68-4D7D-A0F5-E6A41BD68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72971136"/>
        <c:axId val="172972672"/>
      </c:barChart>
      <c:catAx>
        <c:axId val="17297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972672"/>
        <c:crosses val="autoZero"/>
        <c:auto val="1"/>
        <c:lblAlgn val="ctr"/>
        <c:lblOffset val="100"/>
        <c:noMultiLvlLbl val="0"/>
      </c:catAx>
      <c:valAx>
        <c:axId val="172972672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2971136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File Upload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8941-4A46-9035-3F413EB1C0B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8941-4A46-9035-3F413EB1C0B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8941-4A46-9035-3F413EB1C0B6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8941-4A46-9035-3F413EB1C0B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8941-4A46-9035-3F413EB1C0B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8941-4A46-9035-3F413EB1C0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8941-4A46-9035-3F413EB1C0B6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8941-4A46-9035-3F413EB1C0B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8941-4A46-9035-3F413EB1C0B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8941-4A46-9035-3F413EB1C0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8941-4A46-9035-3F413EB1C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Graphs!$G$165:$H$176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Graphs!$I$165:$I$176</c:f>
              <c:numCache>
                <c:formatCode>0</c:formatCode>
                <c:ptCount val="12"/>
                <c:pt idx="0">
                  <c:v>64.012830457342005</c:v>
                </c:pt>
                <c:pt idx="1">
                  <c:v>63.185183513957391</c:v>
                </c:pt>
                <c:pt idx="2">
                  <c:v>58.76892670999824</c:v>
                </c:pt>
                <c:pt idx="3">
                  <c:v>51.279817938204403</c:v>
                </c:pt>
                <c:pt idx="4">
                  <c:v>21.781853474426139</c:v>
                </c:pt>
                <c:pt idx="5">
                  <c:v>21.712421403201837</c:v>
                </c:pt>
                <c:pt idx="6">
                  <c:v>19.280368944648441</c:v>
                </c:pt>
                <c:pt idx="7">
                  <c:v>17.077467353814122</c:v>
                </c:pt>
                <c:pt idx="8">
                  <c:v>17.783751272902201</c:v>
                </c:pt>
                <c:pt idx="9">
                  <c:v>17.880533454033152</c:v>
                </c:pt>
                <c:pt idx="10">
                  <c:v>15.865224356107101</c:v>
                </c:pt>
                <c:pt idx="11">
                  <c:v>13.751028325445755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8941-4A46-9035-3F413EB1C0B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8941-4A46-9035-3F413EB1C0B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8941-4A46-9035-3F413EB1C0B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8941-4A46-9035-3F413EB1C0B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8941-4A46-9035-3F413EB1C0B6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8941-4A46-9035-3F413EB1C0B6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8941-4A46-9035-3F413EB1C0B6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8941-4A46-9035-3F413EB1C0B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8941-4A46-9035-3F413EB1C0B6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8941-4A46-9035-3F413EB1C0B6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8941-4A46-9035-3F413EB1C0B6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8941-4A46-9035-3F413EB1C0B6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8941-4A46-9035-3F413EB1C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Graphs!$G$165:$H$176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Graphs!$K$165:$K$176</c:f>
              <c:numCache>
                <c:formatCode>0</c:formatCode>
                <c:ptCount val="12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24</c:v>
                </c:pt>
                <c:pt idx="5">
                  <c:v>24</c:v>
                </c:pt>
                <c:pt idx="6">
                  <c:v>24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8941-4A46-9035-3F413EB1C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73140608"/>
        <c:axId val="173150592"/>
      </c:barChart>
      <c:catAx>
        <c:axId val="173140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50592"/>
        <c:crosses val="autoZero"/>
        <c:auto val="1"/>
        <c:lblAlgn val="ctr"/>
        <c:lblOffset val="100"/>
        <c:noMultiLvlLbl val="0"/>
      </c:catAx>
      <c:valAx>
        <c:axId val="173150592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40608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>
                <a:effectLst/>
              </a:rPr>
              <a:t>YouTube - Actual / Maximum Score Points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EB9-4981-B495-528881C1CCA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EB9-4981-B495-528881C1CCA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EB9-4981-B495-528881C1CCAD}"/>
              </c:ext>
            </c:extLst>
          </c:dPt>
          <c:dPt>
            <c:idx val="4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FEB9-4981-B495-528881C1CCA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EB9-4981-B495-528881C1CCA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A-FEB9-4981-B495-528881C1CCA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C-FEB9-4981-B495-528881C1CCAD}"/>
              </c:ext>
            </c:extLst>
          </c:dPt>
          <c:dPt>
            <c:idx val="8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D-FEB9-4981-B495-528881C1CCAD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EB9-4981-B495-528881C1CCAD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EB9-4981-B495-528881C1CCA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EB9-4981-B495-528881C1CC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Graphs!$G$182:$H$193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Graphs!$I$182:$I$193</c:f>
              <c:numCache>
                <c:formatCode>0</c:formatCode>
                <c:ptCount val="12"/>
                <c:pt idx="0">
                  <c:v>83.718017227713261</c:v>
                </c:pt>
                <c:pt idx="1">
                  <c:v>84.850072667641513</c:v>
                </c:pt>
                <c:pt idx="2">
                  <c:v>82.541101150735912</c:v>
                </c:pt>
                <c:pt idx="3">
                  <c:v>72.018917489110706</c:v>
                </c:pt>
                <c:pt idx="4">
                  <c:v>28.501021720918224</c:v>
                </c:pt>
                <c:pt idx="5">
                  <c:v>28.477930276010813</c:v>
                </c:pt>
                <c:pt idx="6">
                  <c:v>27.378616349083167</c:v>
                </c:pt>
                <c:pt idx="7">
                  <c:v>25.396656161607364</c:v>
                </c:pt>
                <c:pt idx="8">
                  <c:v>25.738393339398947</c:v>
                </c:pt>
                <c:pt idx="9">
                  <c:v>24.773839191491533</c:v>
                </c:pt>
                <c:pt idx="10">
                  <c:v>24.810174309305054</c:v>
                </c:pt>
                <c:pt idx="11">
                  <c:v>24.5436540946924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FEB9-4981-B495-528881C1CCA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FEB9-4981-B495-528881C1CCA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FEB9-4981-B495-528881C1CCA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FEB9-4981-B495-528881C1CCA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FEB9-4981-B495-528881C1CCA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FEB9-4981-B495-528881C1CCAD}"/>
              </c:ext>
            </c:extLst>
          </c:dPt>
          <c:dPt>
            <c:idx val="5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FEB9-4981-B495-528881C1CCAD}"/>
              </c:ext>
            </c:extLst>
          </c:dPt>
          <c:dPt>
            <c:idx val="6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FEB9-4981-B495-528881C1CCA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FEB9-4981-B495-528881C1CCAD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6-FEB9-4981-B495-528881C1CCAD}"/>
              </c:ext>
            </c:extLst>
          </c:dPt>
          <c:dPt>
            <c:idx val="9"/>
            <c:invertIfNegative val="0"/>
            <c:bubble3D val="0"/>
            <c:spPr>
              <a:solidFill>
                <a:srgbClr val="F79646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8-FEB9-4981-B495-528881C1CCAD}"/>
              </c:ext>
            </c:extLst>
          </c:dPt>
          <c:dPt>
            <c:idx val="10"/>
            <c:invertIfNegative val="0"/>
            <c:bubble3D val="0"/>
            <c:spPr>
              <a:solidFill>
                <a:srgbClr val="31859C">
                  <a:alpha val="25000"/>
                </a:srgb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A-FEB9-4981-B495-528881C1CCAD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3">
                  <a:alpha val="2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C-FEB9-4981-B495-528881C1CC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Graphs!$G$182:$H$193</c:f>
              <c:multiLvlStrCache>
                <c:ptCount val="12"/>
                <c:lvl>
                  <c:pt idx="0">
                    <c:v>VODAFONE</c:v>
                  </c:pt>
                  <c:pt idx="1">
                    <c:v>MOVISTAR</c:v>
                  </c:pt>
                  <c:pt idx="2">
                    <c:v>ORANGE</c:v>
                  </c:pt>
                  <c:pt idx="3">
                    <c:v>YOIGO</c:v>
                  </c:pt>
                  <c:pt idx="4">
                    <c:v>VODAFONE</c:v>
                  </c:pt>
                  <c:pt idx="5">
                    <c:v>MOVISTAR</c:v>
                  </c:pt>
                  <c:pt idx="6">
                    <c:v>ORANGE</c:v>
                  </c:pt>
                  <c:pt idx="7">
                    <c:v>YOIGO</c:v>
                  </c:pt>
                  <c:pt idx="8">
                    <c:v>VODAFONE</c:v>
                  </c:pt>
                  <c:pt idx="9">
                    <c:v>MOVISTAR</c:v>
                  </c:pt>
                  <c:pt idx="10">
                    <c:v>ORANGE</c:v>
                  </c:pt>
                  <c:pt idx="11">
                    <c:v>YOIGO</c:v>
                  </c:pt>
                </c:lvl>
                <c:lvl>
                  <c:pt idx="0">
                    <c:v>Big Cities</c:v>
                  </c:pt>
                  <c:pt idx="4">
                    <c:v>Small Cities</c:v>
                  </c:pt>
                  <c:pt idx="8">
                    <c:v>Connecting roads</c:v>
                  </c:pt>
                </c:lvl>
              </c:multiLvlStrCache>
            </c:multiLvlStrRef>
          </c:cat>
          <c:val>
            <c:numRef>
              <c:f>Graphs!$K$182:$K$193</c:f>
              <c:numCache>
                <c:formatCode>0</c:formatCode>
                <c:ptCount val="12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D-FEB9-4981-B495-528881C1C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73736320"/>
        <c:axId val="173737856"/>
      </c:barChart>
      <c:catAx>
        <c:axId val="17373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737856"/>
        <c:crosses val="autoZero"/>
        <c:auto val="1"/>
        <c:lblAlgn val="ctr"/>
        <c:lblOffset val="100"/>
        <c:noMultiLvlLbl val="0"/>
      </c:catAx>
      <c:valAx>
        <c:axId val="1737378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736320"/>
        <c:crosses val="autoZero"/>
        <c:crossBetween val="between"/>
        <c:majorUnit val="20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9-A33C-4FED-A27E-860AFFFC25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0E0-4D5B-9324-C0186B607A7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0E0-4D5B-9324-C0186B607A7A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0E0-4D5B-9324-C0186B607A7A}"/>
              </c:ext>
            </c:extLst>
          </c:dPt>
          <c:dPt>
            <c:idx val="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A-A33C-4FED-A27E-860AFFFC2523}"/>
              </c:ext>
            </c:extLst>
          </c:dPt>
          <c:dPt>
            <c:idx val="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0E0-4D5B-9324-C0186B607A7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0E0-4D5B-9324-C0186B607A7A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0E0-4D5B-9324-C0186B607A7A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B-A33C-4FED-A27E-860AFFFC2523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0E0-4D5B-9324-C0186B607A7A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30E0-4D5B-9324-C0186B607A7A}"/>
              </c:ext>
            </c:extLst>
          </c:dPt>
          <c:dPt>
            <c:idx val="11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30E0-4D5B-9324-C0186B607A7A}"/>
              </c:ext>
            </c:extLst>
          </c:dPt>
          <c:dPt>
            <c:idx val="12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C-A33C-4FED-A27E-860AFFFC2523}"/>
              </c:ext>
            </c:extLst>
          </c:dPt>
          <c:dPt>
            <c:idx val="13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30E0-4D5B-9324-C0186B607A7A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30E0-4D5B-9324-C0186B607A7A}"/>
              </c:ext>
            </c:extLst>
          </c:dPt>
          <c:dPt>
            <c:idx val="1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6-A33C-4FED-A27E-860AFFFC2523}"/>
              </c:ext>
            </c:extLst>
          </c:dPt>
          <c:dPt>
            <c:idx val="1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30E0-4D5B-9324-C0186B607A7A}"/>
              </c:ext>
            </c:extLst>
          </c:dPt>
          <c:dPt>
            <c:idx val="1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30E0-4D5B-9324-C0186B607A7A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30E0-4D5B-9324-C0186B607A7A}"/>
              </c:ext>
            </c:extLst>
          </c:dPt>
          <c:dPt>
            <c:idx val="1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7-A33C-4FED-A27E-860AFFFC2523}"/>
              </c:ext>
            </c:extLst>
          </c:dPt>
          <c:dPt>
            <c:idx val="2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30E0-4D5B-9324-C0186B607A7A}"/>
              </c:ext>
            </c:extLst>
          </c:dPt>
          <c:dPt>
            <c:idx val="2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30E0-4D5B-9324-C0186B607A7A}"/>
              </c:ext>
            </c:extLst>
          </c:dPt>
          <c:dPt>
            <c:idx val="2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8-A33C-4FED-A27E-860AFFFC2523}"/>
              </c:ext>
            </c:extLst>
          </c:dPt>
          <c:dPt>
            <c:idx val="2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30E0-4D5B-9324-C0186B607A7A}"/>
              </c:ext>
            </c:extLst>
          </c:dPt>
          <c:dPt>
            <c:idx val="2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30E0-4D5B-9324-C0186B607A7A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B-64C0-4F6E-A182-4456C12110AC}"/>
              </c:ext>
            </c:extLst>
          </c:dPt>
          <c:dPt>
            <c:idx val="26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30E0-4D5B-9324-C0186B607A7A}"/>
              </c:ext>
            </c:extLst>
          </c:dPt>
          <c:dPt>
            <c:idx val="27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30E0-4D5B-9324-C0186B607A7A}"/>
              </c:ext>
            </c:extLst>
          </c:dPt>
          <c:dPt>
            <c:idx val="28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64C0-4F6E-A182-4456C12110AC}"/>
              </c:ext>
            </c:extLst>
          </c:dPt>
          <c:dPt>
            <c:idx val="2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30E0-4D5B-9324-C0186B607A7A}"/>
              </c:ext>
            </c:extLst>
          </c:dPt>
          <c:dPt>
            <c:idx val="3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30E0-4D5B-9324-C0186B607A7A}"/>
              </c:ext>
            </c:extLst>
          </c:dPt>
          <c:dPt>
            <c:idx val="3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D-64C0-4F6E-A182-4456C12110AC}"/>
              </c:ext>
            </c:extLst>
          </c:dPt>
          <c:dPt>
            <c:idx val="3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30E0-4D5B-9324-C0186B607A7A}"/>
              </c:ext>
            </c:extLst>
          </c:dPt>
          <c:dPt>
            <c:idx val="3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30E0-4D5B-9324-C0186B607A7A}"/>
              </c:ext>
            </c:extLst>
          </c:dPt>
          <c:dPt>
            <c:idx val="3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64C0-4F6E-A182-4456C12110AC}"/>
              </c:ext>
            </c:extLst>
          </c:dPt>
          <c:dPt>
            <c:idx val="3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30E0-4D5B-9324-C0186B607A7A}"/>
              </c:ext>
            </c:extLst>
          </c:dPt>
          <c:dPt>
            <c:idx val="3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30E0-4D5B-9324-C0186B607A7A}"/>
              </c:ext>
            </c:extLst>
          </c:dPt>
          <c:dPt>
            <c:idx val="3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30E0-4D5B-9324-C0186B607A7A}"/>
              </c:ext>
            </c:extLst>
          </c:dPt>
          <c:dPt>
            <c:idx val="3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64C0-4F6E-A182-4456C12110AC}"/>
              </c:ext>
            </c:extLst>
          </c:dPt>
          <c:dPt>
            <c:idx val="39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30E0-4D5B-9324-C0186B607A7A}"/>
              </c:ext>
            </c:extLst>
          </c:dPt>
          <c:dPt>
            <c:idx val="40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30E0-4D5B-9324-C0186B607A7A}"/>
              </c:ext>
            </c:extLst>
          </c:dPt>
          <c:dPt>
            <c:idx val="41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30E0-4D5B-9324-C0186B607A7A}"/>
              </c:ext>
            </c:extLst>
          </c:dPt>
          <c:dPt>
            <c:idx val="42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30E0-4D5B-9324-C0186B607A7A}"/>
              </c:ext>
            </c:extLst>
          </c:dPt>
          <c:dPt>
            <c:idx val="43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30E0-4D5B-9324-C0186B607A7A}"/>
              </c:ext>
            </c:extLst>
          </c:dPt>
          <c:dPt>
            <c:idx val="44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1-30E0-4D5B-9324-C0186B607A7A}"/>
              </c:ext>
            </c:extLst>
          </c:dPt>
          <c:dPt>
            <c:idx val="4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E-A33C-4FED-A27E-860AFFFC2523}"/>
              </c:ext>
            </c:extLst>
          </c:dPt>
          <c:dLbls>
            <c:dLbl>
              <c:idx val="43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0E0-4D5B-9324-C0186B607A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OpCo'!$A$2:$B$46</c:f>
              <c:multiLvlStrCache>
                <c:ptCount val="45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  <c:pt idx="19">
                    <c:v>VODAFONE</c:v>
                  </c:pt>
                  <c:pt idx="20">
                    <c:v>GO</c:v>
                  </c:pt>
                  <c:pt idx="21">
                    <c:v>MELITA</c:v>
                  </c:pt>
                  <c:pt idx="22">
                    <c:v>VODAFONE</c:v>
                  </c:pt>
                  <c:pt idx="23">
                    <c:v>ORANGE</c:v>
                  </c:pt>
                  <c:pt idx="24">
                    <c:v>TELEKOM</c:v>
                  </c:pt>
                  <c:pt idx="25">
                    <c:v>DIGI MOBIL</c:v>
                  </c:pt>
                  <c:pt idx="26">
                    <c:v>VODAFONE</c:v>
                  </c:pt>
                  <c:pt idx="27">
                    <c:v>TMN</c:v>
                  </c:pt>
                  <c:pt idx="28">
                    <c:v>OPTIMUS</c:v>
                  </c:pt>
                  <c:pt idx="29">
                    <c:v>VODAFONE</c:v>
                  </c:pt>
                  <c:pt idx="30">
                    <c:v>T-MOBILE</c:v>
                  </c:pt>
                  <c:pt idx="31">
                    <c:v>TELENOR</c:v>
                  </c:pt>
                  <c:pt idx="32">
                    <c:v>VODAFONE</c:v>
                  </c:pt>
                  <c:pt idx="33">
                    <c:v>WIND</c:v>
                  </c:pt>
                  <c:pt idx="34">
                    <c:v>COSMOTE</c:v>
                  </c:pt>
                  <c:pt idx="35">
                    <c:v>VODAFONE</c:v>
                  </c:pt>
                  <c:pt idx="36">
                    <c:v>EAGLE MOBILE</c:v>
                  </c:pt>
                  <c:pt idx="37">
                    <c:v>AMC</c:v>
                  </c:pt>
                  <c:pt idx="38">
                    <c:v>PLUS COM.</c:v>
                  </c:pt>
                  <c:pt idx="39">
                    <c:v>VODAFONE</c:v>
                  </c:pt>
                  <c:pt idx="40">
                    <c:v>METEOR</c:v>
                  </c:pt>
                  <c:pt idx="41">
                    <c:v>H3G</c:v>
                  </c:pt>
                  <c:pt idx="42">
                    <c:v>VODAFONE</c:v>
                  </c:pt>
                  <c:pt idx="43">
                    <c:v>T-MOBILE</c:v>
                  </c:pt>
                  <c:pt idx="44">
                    <c:v>O2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  <c:pt idx="19">
                    <c:v>MT</c:v>
                  </c:pt>
                  <c:pt idx="22">
                    <c:v>RO</c:v>
                  </c:pt>
                  <c:pt idx="26">
                    <c:v>PT</c:v>
                  </c:pt>
                  <c:pt idx="29">
                    <c:v>HU</c:v>
                  </c:pt>
                  <c:pt idx="32">
                    <c:v>GR</c:v>
                  </c:pt>
                  <c:pt idx="35">
                    <c:v>AL</c:v>
                  </c:pt>
                  <c:pt idx="39">
                    <c:v>IE</c:v>
                  </c:pt>
                  <c:pt idx="42">
                    <c:v>CZ</c:v>
                  </c:pt>
                </c:lvl>
              </c:multiLvlStrCache>
            </c:multiLvlStrRef>
          </c:cat>
          <c:val>
            <c:numRef>
              <c:f>'Graphs All OpCo'!$C$2:$C$46</c:f>
              <c:numCache>
                <c:formatCode>0</c:formatCode>
                <c:ptCount val="45"/>
                <c:pt idx="0">
                  <c:v>328.4271148496473</c:v>
                </c:pt>
                <c:pt idx="1">
                  <c:v>108.32553063720708</c:v>
                </c:pt>
                <c:pt idx="2">
                  <c:v>314.73260661249572</c:v>
                </c:pt>
                <c:pt idx="3">
                  <c:v>338.46625734602219</c:v>
                </c:pt>
                <c:pt idx="4">
                  <c:v>275.98902057744635</c:v>
                </c:pt>
                <c:pt idx="5">
                  <c:v>299.14692234830977</c:v>
                </c:pt>
                <c:pt idx="6">
                  <c:v>240.32263798624894</c:v>
                </c:pt>
                <c:pt idx="7">
                  <c:v>309.72114874946146</c:v>
                </c:pt>
                <c:pt idx="8">
                  <c:v>277.66752570796069</c:v>
                </c:pt>
                <c:pt idx="9">
                  <c:v>316.5791196127276</c:v>
                </c:pt>
                <c:pt idx="10">
                  <c:v>328.99514116251248</c:v>
                </c:pt>
                <c:pt idx="11">
                  <c:v>345.07488574837879</c:v>
                </c:pt>
                <c:pt idx="12">
                  <c:v>364.38995659422335</c:v>
                </c:pt>
                <c:pt idx="13">
                  <c:v>355.3477409440992</c:v>
                </c:pt>
                <c:pt idx="14">
                  <c:v>336.05336332119987</c:v>
                </c:pt>
                <c:pt idx="15">
                  <c:v>297.34317411858967</c:v>
                </c:pt>
                <c:pt idx="16">
                  <c:v>222.00402096629782</c:v>
                </c:pt>
                <c:pt idx="17">
                  <c:v>152.391110358052</c:v>
                </c:pt>
                <c:pt idx="18">
                  <c:v>238.7703024299195</c:v>
                </c:pt>
                <c:pt idx="19">
                  <c:v>293.52928685669349</c:v>
                </c:pt>
                <c:pt idx="20">
                  <c:v>192.74521876805068</c:v>
                </c:pt>
                <c:pt idx="21">
                  <c:v>0</c:v>
                </c:pt>
                <c:pt idx="22">
                  <c:v>306.67801359581301</c:v>
                </c:pt>
                <c:pt idx="23">
                  <c:v>234.37583640225313</c:v>
                </c:pt>
                <c:pt idx="24">
                  <c:v>238.83801400832311</c:v>
                </c:pt>
                <c:pt idx="25">
                  <c:v>161.18524471842187</c:v>
                </c:pt>
                <c:pt idx="26">
                  <c:v>357.9616749383589</c:v>
                </c:pt>
                <c:pt idx="27">
                  <c:v>311.81015878145189</c:v>
                </c:pt>
                <c:pt idx="28">
                  <c:v>178.65159623296665</c:v>
                </c:pt>
                <c:pt idx="29">
                  <c:v>367.02981601793886</c:v>
                </c:pt>
                <c:pt idx="30">
                  <c:v>339.07647437324124</c:v>
                </c:pt>
                <c:pt idx="31">
                  <c:v>326.82482937766315</c:v>
                </c:pt>
                <c:pt idx="32">
                  <c:v>274.31368797928394</c:v>
                </c:pt>
                <c:pt idx="33">
                  <c:v>119.41502984588301</c:v>
                </c:pt>
                <c:pt idx="34">
                  <c:v>230.98236567335408</c:v>
                </c:pt>
                <c:pt idx="35">
                  <c:v>353.86309352713363</c:v>
                </c:pt>
                <c:pt idx="36">
                  <c:v>314.17664977473373</c:v>
                </c:pt>
                <c:pt idx="37">
                  <c:v>312.84984629222646</c:v>
                </c:pt>
                <c:pt idx="38">
                  <c:v>312.22125596870933</c:v>
                </c:pt>
                <c:pt idx="39">
                  <c:v>318.0273474134479</c:v>
                </c:pt>
                <c:pt idx="40">
                  <c:v>180.93222995239225</c:v>
                </c:pt>
                <c:pt idx="41">
                  <c:v>229.62512568433499</c:v>
                </c:pt>
                <c:pt idx="42">
                  <c:v>318.92312495582183</c:v>
                </c:pt>
                <c:pt idx="43">
                  <c:v>221.3156884589618</c:v>
                </c:pt>
                <c:pt idx="44">
                  <c:v>186.1855309434431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2-30E0-4D5B-9324-C0186B607A7A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4-30E0-4D5B-9324-C0186B607A7A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30E0-4D5B-9324-C0186B607A7A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30E0-4D5B-9324-C0186B607A7A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30E0-4D5B-9324-C0186B607A7A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30E0-4D5B-9324-C0186B607A7A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30E0-4D5B-9324-C0186B607A7A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30E0-4D5B-9324-C0186B607A7A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30E0-4D5B-9324-C0186B607A7A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30E0-4D5B-9324-C0186B607A7A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30E0-4D5B-9324-C0186B607A7A}"/>
              </c:ext>
            </c:extLst>
          </c:dPt>
          <c:dPt>
            <c:idx val="10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30E0-4D5B-9324-C0186B607A7A}"/>
              </c:ext>
            </c:extLst>
          </c:dPt>
          <c:dPt>
            <c:idx val="1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30E0-4D5B-9324-C0186B607A7A}"/>
              </c:ext>
            </c:extLst>
          </c:dPt>
          <c:dPt>
            <c:idx val="1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30E0-4D5B-9324-C0186B607A7A}"/>
              </c:ext>
            </c:extLst>
          </c:dPt>
          <c:dPt>
            <c:idx val="13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30E0-4D5B-9324-C0186B607A7A}"/>
              </c:ext>
            </c:extLst>
          </c:dPt>
          <c:dPt>
            <c:idx val="14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30E0-4D5B-9324-C0186B607A7A}"/>
              </c:ext>
            </c:extLst>
          </c:dPt>
          <c:dPt>
            <c:idx val="1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30E0-4D5B-9324-C0186B607A7A}"/>
              </c:ext>
            </c:extLst>
          </c:dPt>
          <c:dPt>
            <c:idx val="1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30E0-4D5B-9324-C0186B607A7A}"/>
              </c:ext>
            </c:extLst>
          </c:dPt>
          <c:dPt>
            <c:idx val="1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30E0-4D5B-9324-C0186B607A7A}"/>
              </c:ext>
            </c:extLst>
          </c:dPt>
          <c:dPt>
            <c:idx val="1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30E0-4D5B-9324-C0186B607A7A}"/>
              </c:ext>
            </c:extLst>
          </c:dPt>
          <c:dPt>
            <c:idx val="1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30E0-4D5B-9324-C0186B607A7A}"/>
              </c:ext>
            </c:extLst>
          </c:dPt>
          <c:dPt>
            <c:idx val="2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30E0-4D5B-9324-C0186B607A7A}"/>
              </c:ext>
            </c:extLst>
          </c:dPt>
          <c:dPt>
            <c:idx val="2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30E0-4D5B-9324-C0186B607A7A}"/>
              </c:ext>
            </c:extLst>
          </c:dPt>
          <c:dPt>
            <c:idx val="2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30E0-4D5B-9324-C0186B607A7A}"/>
              </c:ext>
            </c:extLst>
          </c:dPt>
          <c:dPt>
            <c:idx val="2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30E0-4D5B-9324-C0186B607A7A}"/>
              </c:ext>
            </c:extLst>
          </c:dPt>
          <c:dPt>
            <c:idx val="2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30E0-4D5B-9324-C0186B607A7A}"/>
              </c:ext>
            </c:extLst>
          </c:dPt>
          <c:dPt>
            <c:idx val="25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30E0-4D5B-9324-C0186B607A7A}"/>
              </c:ext>
            </c:extLst>
          </c:dPt>
          <c:dPt>
            <c:idx val="26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30E0-4D5B-9324-C0186B607A7A}"/>
              </c:ext>
            </c:extLst>
          </c:dPt>
          <c:dPt>
            <c:idx val="27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30E0-4D5B-9324-C0186B607A7A}"/>
              </c:ext>
            </c:extLst>
          </c:dPt>
          <c:dPt>
            <c:idx val="28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30E0-4D5B-9324-C0186B607A7A}"/>
              </c:ext>
            </c:extLst>
          </c:dPt>
          <c:dPt>
            <c:idx val="2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30E0-4D5B-9324-C0186B607A7A}"/>
              </c:ext>
            </c:extLst>
          </c:dPt>
          <c:dPt>
            <c:idx val="3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30E0-4D5B-9324-C0186B607A7A}"/>
              </c:ext>
            </c:extLst>
          </c:dPt>
          <c:dPt>
            <c:idx val="3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30E0-4D5B-9324-C0186B607A7A}"/>
              </c:ext>
            </c:extLst>
          </c:dPt>
          <c:dPt>
            <c:idx val="3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30E0-4D5B-9324-C0186B607A7A}"/>
              </c:ext>
            </c:extLst>
          </c:dPt>
          <c:dPt>
            <c:idx val="3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30E0-4D5B-9324-C0186B607A7A}"/>
              </c:ext>
            </c:extLst>
          </c:dPt>
          <c:dPt>
            <c:idx val="3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30E0-4D5B-9324-C0186B607A7A}"/>
              </c:ext>
            </c:extLst>
          </c:dPt>
          <c:dPt>
            <c:idx val="3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30E0-4D5B-9324-C0186B607A7A}"/>
              </c:ext>
            </c:extLst>
          </c:dPt>
          <c:dPt>
            <c:idx val="3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30E0-4D5B-9324-C0186B607A7A}"/>
              </c:ext>
            </c:extLst>
          </c:dPt>
          <c:dPt>
            <c:idx val="3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30E0-4D5B-9324-C0186B607A7A}"/>
              </c:ext>
            </c:extLst>
          </c:dPt>
          <c:dPt>
            <c:idx val="3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30E0-4D5B-9324-C0186B607A7A}"/>
              </c:ext>
            </c:extLst>
          </c:dPt>
          <c:dPt>
            <c:idx val="39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30E0-4D5B-9324-C0186B607A7A}"/>
              </c:ext>
            </c:extLst>
          </c:dPt>
          <c:dPt>
            <c:idx val="4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30E0-4D5B-9324-C0186B607A7A}"/>
              </c:ext>
            </c:extLst>
          </c:dPt>
          <c:dPt>
            <c:idx val="41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30E0-4D5B-9324-C0186B607A7A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30E0-4D5B-9324-C0186B607A7A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30E0-4D5B-9324-C0186B607A7A}"/>
              </c:ext>
            </c:extLst>
          </c:dPt>
          <c:dPt>
            <c:idx val="44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30E0-4D5B-9324-C0186B607A7A}"/>
              </c:ext>
            </c:extLst>
          </c:dPt>
          <c:dPt>
            <c:idx val="4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D-A33C-4FED-A27E-860AFFFC25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All OpCo'!$D$2:$D$46</c:f>
              <c:numCache>
                <c:formatCode>0</c:formatCode>
                <c:ptCount val="45"/>
                <c:pt idx="0">
                  <c:v>412.98096685984194</c:v>
                </c:pt>
                <c:pt idx="1">
                  <c:v>361.09252913711231</c:v>
                </c:pt>
                <c:pt idx="2">
                  <c:v>413.68397070957172</c:v>
                </c:pt>
                <c:pt idx="3">
                  <c:v>442.15456048538886</c:v>
                </c:pt>
                <c:pt idx="4">
                  <c:v>417.16557428972402</c:v>
                </c:pt>
                <c:pt idx="5">
                  <c:v>379.8004818141182</c:v>
                </c:pt>
                <c:pt idx="6">
                  <c:v>378.8102730308118</c:v>
                </c:pt>
                <c:pt idx="7">
                  <c:v>353.33309340108497</c:v>
                </c:pt>
                <c:pt idx="8">
                  <c:v>311.74847766332078</c:v>
                </c:pt>
                <c:pt idx="9">
                  <c:v>303.01932844653425</c:v>
                </c:pt>
                <c:pt idx="10">
                  <c:v>354.03778232951134</c:v>
                </c:pt>
                <c:pt idx="11">
                  <c:v>473.62662359496198</c:v>
                </c:pt>
                <c:pt idx="12">
                  <c:v>487.54046288216909</c:v>
                </c:pt>
                <c:pt idx="13">
                  <c:v>452.27781682363241</c:v>
                </c:pt>
                <c:pt idx="14">
                  <c:v>153.71503378466852</c:v>
                </c:pt>
                <c:pt idx="15">
                  <c:v>423.85976104640474</c:v>
                </c:pt>
                <c:pt idx="16">
                  <c:v>366.21919073190236</c:v>
                </c:pt>
                <c:pt idx="17">
                  <c:v>268.9734495701469</c:v>
                </c:pt>
                <c:pt idx="18">
                  <c:v>332.3004768855597</c:v>
                </c:pt>
                <c:pt idx="19">
                  <c:v>449.63508651911206</c:v>
                </c:pt>
                <c:pt idx="20">
                  <c:v>335.25962333653035</c:v>
                </c:pt>
                <c:pt idx="21">
                  <c:v>57.906821748577208</c:v>
                </c:pt>
                <c:pt idx="22">
                  <c:v>439.70176978922518</c:v>
                </c:pt>
                <c:pt idx="23">
                  <c:v>432.06262239767091</c:v>
                </c:pt>
                <c:pt idx="24">
                  <c:v>409.85514965772995</c:v>
                </c:pt>
                <c:pt idx="25">
                  <c:v>184.99297231194703</c:v>
                </c:pt>
                <c:pt idx="26">
                  <c:v>413.09494917728864</c:v>
                </c:pt>
                <c:pt idx="27">
                  <c:v>386.90017738202158</c:v>
                </c:pt>
                <c:pt idx="28">
                  <c:v>309.51565544077079</c:v>
                </c:pt>
                <c:pt idx="29">
                  <c:v>437.73797391271046</c:v>
                </c:pt>
                <c:pt idx="30">
                  <c:v>471.79588919926073</c:v>
                </c:pt>
                <c:pt idx="31">
                  <c:v>399.82768417958721</c:v>
                </c:pt>
                <c:pt idx="32">
                  <c:v>179.43727054504356</c:v>
                </c:pt>
                <c:pt idx="33">
                  <c:v>153.22419613426669</c:v>
                </c:pt>
                <c:pt idx="34">
                  <c:v>284.43775412777455</c:v>
                </c:pt>
                <c:pt idx="35">
                  <c:v>314.58466612308894</c:v>
                </c:pt>
                <c:pt idx="36">
                  <c:v>295.85339832981754</c:v>
                </c:pt>
                <c:pt idx="37">
                  <c:v>279.88931861425181</c:v>
                </c:pt>
                <c:pt idx="38">
                  <c:v>146.11555524569411</c:v>
                </c:pt>
                <c:pt idx="39">
                  <c:v>409.02499530838151</c:v>
                </c:pt>
                <c:pt idx="40">
                  <c:v>277.15334697959929</c:v>
                </c:pt>
                <c:pt idx="41">
                  <c:v>312.6483406913211</c:v>
                </c:pt>
                <c:pt idx="42">
                  <c:v>404.24140764859322</c:v>
                </c:pt>
                <c:pt idx="43">
                  <c:v>325.09992384589225</c:v>
                </c:pt>
                <c:pt idx="44">
                  <c:v>281.48891973860384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D-30E0-4D5B-9324-C0186B60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174215168"/>
        <c:axId val="174216704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'Graphs All OpCo'!$E$2:$E$46</c:f>
              <c:numCache>
                <c:formatCode>0</c:formatCode>
                <c:ptCount val="45"/>
                <c:pt idx="0">
                  <c:v>741.40808170948924</c:v>
                </c:pt>
                <c:pt idx="1">
                  <c:v>469.41805977431937</c:v>
                </c:pt>
                <c:pt idx="2">
                  <c:v>728.4165773220675</c:v>
                </c:pt>
                <c:pt idx="3">
                  <c:v>780.62081783141105</c:v>
                </c:pt>
                <c:pt idx="4">
                  <c:v>693.15459486717032</c:v>
                </c:pt>
                <c:pt idx="5">
                  <c:v>678.94740416242803</c:v>
                </c:pt>
                <c:pt idx="6">
                  <c:v>619.13291101706068</c:v>
                </c:pt>
                <c:pt idx="7">
                  <c:v>663.05424215054643</c:v>
                </c:pt>
                <c:pt idx="8">
                  <c:v>589.41600337128148</c:v>
                </c:pt>
                <c:pt idx="9">
                  <c:v>619.59844805926184</c:v>
                </c:pt>
                <c:pt idx="10">
                  <c:v>683.03292349202388</c:v>
                </c:pt>
                <c:pt idx="11">
                  <c:v>818.70150934334083</c:v>
                </c:pt>
                <c:pt idx="12">
                  <c:v>851.93041947639244</c:v>
                </c:pt>
                <c:pt idx="13">
                  <c:v>807.62555776773161</c:v>
                </c:pt>
                <c:pt idx="14">
                  <c:v>489.76839710586842</c:v>
                </c:pt>
                <c:pt idx="15">
                  <c:v>721.20293516499441</c:v>
                </c:pt>
                <c:pt idx="16">
                  <c:v>588.2232116982002</c:v>
                </c:pt>
                <c:pt idx="17">
                  <c:v>421.3645599281989</c:v>
                </c:pt>
                <c:pt idx="18">
                  <c:v>571.07077931547917</c:v>
                </c:pt>
                <c:pt idx="19">
                  <c:v>743.16437337580555</c:v>
                </c:pt>
                <c:pt idx="20">
                  <c:v>528.00484210458103</c:v>
                </c:pt>
                <c:pt idx="21">
                  <c:v>57.906821748577208</c:v>
                </c:pt>
                <c:pt idx="22">
                  <c:v>746.37978338503819</c:v>
                </c:pt>
                <c:pt idx="23">
                  <c:v>666.43845879992409</c:v>
                </c:pt>
                <c:pt idx="24">
                  <c:v>648.69316366605312</c:v>
                </c:pt>
                <c:pt idx="25">
                  <c:v>346.1782170303689</c:v>
                </c:pt>
                <c:pt idx="26">
                  <c:v>771.05662411564754</c:v>
                </c:pt>
                <c:pt idx="27">
                  <c:v>698.71033616347347</c:v>
                </c:pt>
                <c:pt idx="28">
                  <c:v>488.16725167373744</c:v>
                </c:pt>
                <c:pt idx="29">
                  <c:v>804.76778993064931</c:v>
                </c:pt>
                <c:pt idx="30">
                  <c:v>810.87236357250197</c:v>
                </c:pt>
                <c:pt idx="31">
                  <c:v>726.65251355725036</c:v>
                </c:pt>
                <c:pt idx="32">
                  <c:v>453.75095852432753</c:v>
                </c:pt>
                <c:pt idx="33">
                  <c:v>272.63922598014972</c:v>
                </c:pt>
                <c:pt idx="34">
                  <c:v>515.42011980112864</c:v>
                </c:pt>
                <c:pt idx="35">
                  <c:v>668.44775965022257</c:v>
                </c:pt>
                <c:pt idx="36">
                  <c:v>610.03004810455127</c:v>
                </c:pt>
                <c:pt idx="37">
                  <c:v>592.73916490647821</c:v>
                </c:pt>
                <c:pt idx="38">
                  <c:v>458.33681121440344</c:v>
                </c:pt>
                <c:pt idx="39">
                  <c:v>727.0523427218294</c:v>
                </c:pt>
                <c:pt idx="40">
                  <c:v>458.08557693199157</c:v>
                </c:pt>
                <c:pt idx="41">
                  <c:v>542.27346637565608</c:v>
                </c:pt>
                <c:pt idx="42">
                  <c:v>723.16453260441506</c:v>
                </c:pt>
                <c:pt idx="43">
                  <c:v>546.41561230485399</c:v>
                </c:pt>
                <c:pt idx="44">
                  <c:v>467.67445068204694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9E-30E0-4D5B-9324-C0186B607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15168"/>
        <c:axId val="174216704"/>
      </c:lineChart>
      <c:catAx>
        <c:axId val="17421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16704"/>
        <c:crosses val="autoZero"/>
        <c:auto val="1"/>
        <c:lblAlgn val="ctr"/>
        <c:lblOffset val="100"/>
        <c:noMultiLvlLbl val="0"/>
      </c:catAx>
      <c:valAx>
        <c:axId val="17421670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15168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 - Big OpCo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E87B-4E83-8B1A-3993A2693D2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18A-4DA8-927C-1816E585AE6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18A-4DA8-927C-1816E585AE61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18A-4DA8-927C-1816E585AE61}"/>
              </c:ext>
            </c:extLst>
          </c:dPt>
          <c:dPt>
            <c:idx val="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E87B-4E83-8B1A-3993A2693D29}"/>
              </c:ext>
            </c:extLst>
          </c:dPt>
          <c:dPt>
            <c:idx val="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8A-4DA8-927C-1816E585AE61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8A-4DA8-927C-1816E585AE61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18A-4DA8-927C-1816E585AE61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D-E87B-4E83-8B1A-3993A2693D29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F18A-4DA8-927C-1816E585AE61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F18A-4DA8-927C-1816E585AE61}"/>
              </c:ext>
            </c:extLst>
          </c:dPt>
          <c:dPt>
            <c:idx val="11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F18A-4DA8-927C-1816E585AE61}"/>
              </c:ext>
            </c:extLst>
          </c:dPt>
          <c:dPt>
            <c:idx val="12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E87B-4E83-8B1A-3993A2693D29}"/>
              </c:ext>
            </c:extLst>
          </c:dPt>
          <c:dPt>
            <c:idx val="13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F18A-4DA8-927C-1816E585AE61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F18A-4DA8-927C-1816E585AE61}"/>
              </c:ext>
            </c:extLst>
          </c:dPt>
          <c:dPt>
            <c:idx val="15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B-E87B-4E83-8B1A-3993A2693D29}"/>
              </c:ext>
            </c:extLst>
          </c:dPt>
          <c:dPt>
            <c:idx val="16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F18A-4DA8-927C-1816E585AE61}"/>
              </c:ext>
            </c:extLst>
          </c:dPt>
          <c:dPt>
            <c:idx val="17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F18A-4DA8-927C-1816E585AE61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F18A-4DA8-927C-1816E585AE61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E87B-4E83-8B1A-3993A2693D29}"/>
              </c:ext>
            </c:extLst>
          </c:dPt>
          <c:dPt>
            <c:idx val="20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F18A-4DA8-927C-1816E585AE61}"/>
              </c:ext>
            </c:extLst>
          </c:dPt>
          <c:dPt>
            <c:idx val="21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F18A-4DA8-927C-1816E585AE61}"/>
              </c:ext>
            </c:extLst>
          </c:dPt>
          <c:dPt>
            <c:idx val="2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F18A-4DA8-927C-1816E585AE61}"/>
              </c:ext>
            </c:extLst>
          </c:dPt>
          <c:dPt>
            <c:idx val="2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F18A-4DA8-927C-1816E585AE61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F18A-4DA8-927C-1816E585AE6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F18A-4DA8-927C-1816E585AE61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F18A-4DA8-927C-1816E585AE61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F18A-4DA8-927C-1816E585AE61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F18A-4DA8-927C-1816E585AE61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F18A-4DA8-927C-1816E585AE61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F18A-4DA8-927C-1816E585AE61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F18A-4DA8-927C-1816E585AE61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F18A-4DA8-927C-1816E585AE61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F18A-4DA8-927C-1816E585AE61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F18A-4DA8-927C-1816E585AE61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F18A-4DA8-927C-1816E585AE61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F18A-4DA8-927C-1816E585AE61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F18A-4DA8-927C-1816E585A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OpCo'!$C$2:$C$20</c:f>
              <c:numCache>
                <c:formatCode>0</c:formatCode>
                <c:ptCount val="19"/>
                <c:pt idx="0">
                  <c:v>328.4271148496473</c:v>
                </c:pt>
                <c:pt idx="1">
                  <c:v>108.32553063720708</c:v>
                </c:pt>
                <c:pt idx="2">
                  <c:v>314.73260661249572</c:v>
                </c:pt>
                <c:pt idx="3">
                  <c:v>338.46625734602219</c:v>
                </c:pt>
                <c:pt idx="4">
                  <c:v>275.98902057744635</c:v>
                </c:pt>
                <c:pt idx="5">
                  <c:v>299.14692234830977</c:v>
                </c:pt>
                <c:pt idx="6">
                  <c:v>240.32263798624894</c:v>
                </c:pt>
                <c:pt idx="7">
                  <c:v>309.72114874946146</c:v>
                </c:pt>
                <c:pt idx="8">
                  <c:v>277.66752570796069</c:v>
                </c:pt>
                <c:pt idx="9">
                  <c:v>316.5791196127276</c:v>
                </c:pt>
                <c:pt idx="10">
                  <c:v>328.99514116251248</c:v>
                </c:pt>
                <c:pt idx="11">
                  <c:v>345.07488574837879</c:v>
                </c:pt>
                <c:pt idx="12">
                  <c:v>364.38995659422335</c:v>
                </c:pt>
                <c:pt idx="13">
                  <c:v>355.3477409440992</c:v>
                </c:pt>
                <c:pt idx="14">
                  <c:v>336.05336332119987</c:v>
                </c:pt>
                <c:pt idx="15">
                  <c:v>297.34317411858967</c:v>
                </c:pt>
                <c:pt idx="16">
                  <c:v>222.00402096629782</c:v>
                </c:pt>
                <c:pt idx="17">
                  <c:v>152.391110358052</c:v>
                </c:pt>
                <c:pt idx="18">
                  <c:v>238.7703024299195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0-F18A-4DA8-927C-1816E585AE61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2-F18A-4DA8-927C-1816E585AE61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4-F18A-4DA8-927C-1816E585AE61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F18A-4DA8-927C-1816E585AE61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F18A-4DA8-927C-1816E585AE61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F18A-4DA8-927C-1816E585AE61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F18A-4DA8-927C-1816E585AE61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F18A-4DA8-927C-1816E585AE61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F18A-4DA8-927C-1816E585AE61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F18A-4DA8-927C-1816E585AE61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F18A-4DA8-927C-1816E585AE61}"/>
              </c:ext>
            </c:extLst>
          </c:dPt>
          <c:dPt>
            <c:idx val="10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F18A-4DA8-927C-1816E585AE61}"/>
              </c:ext>
            </c:extLst>
          </c:dPt>
          <c:dPt>
            <c:idx val="1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F18A-4DA8-927C-1816E585AE61}"/>
              </c:ext>
            </c:extLst>
          </c:dPt>
          <c:dPt>
            <c:idx val="1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F18A-4DA8-927C-1816E585AE61}"/>
              </c:ext>
            </c:extLst>
          </c:dPt>
          <c:dPt>
            <c:idx val="13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F18A-4DA8-927C-1816E585AE61}"/>
              </c:ext>
            </c:extLst>
          </c:dPt>
          <c:dPt>
            <c:idx val="14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F18A-4DA8-927C-1816E585AE61}"/>
              </c:ext>
            </c:extLst>
          </c:dPt>
          <c:dPt>
            <c:idx val="1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F18A-4DA8-927C-1816E585AE61}"/>
              </c:ext>
            </c:extLst>
          </c:dPt>
          <c:dPt>
            <c:idx val="1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F18A-4DA8-927C-1816E585AE61}"/>
              </c:ext>
            </c:extLst>
          </c:dPt>
          <c:dPt>
            <c:idx val="17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F18A-4DA8-927C-1816E585AE61}"/>
              </c:ext>
            </c:extLst>
          </c:dPt>
          <c:dPt>
            <c:idx val="18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F18A-4DA8-927C-1816E585AE61}"/>
              </c:ext>
            </c:extLst>
          </c:dPt>
          <c:dPt>
            <c:idx val="19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F18A-4DA8-927C-1816E585AE61}"/>
              </c:ext>
            </c:extLst>
          </c:dPt>
          <c:dPt>
            <c:idx val="20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F18A-4DA8-927C-1816E585AE61}"/>
              </c:ext>
            </c:extLst>
          </c:dPt>
          <c:dPt>
            <c:idx val="21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F18A-4DA8-927C-1816E585AE61}"/>
              </c:ext>
            </c:extLst>
          </c:dPt>
          <c:dPt>
            <c:idx val="2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F18A-4DA8-927C-1816E585AE61}"/>
              </c:ext>
            </c:extLst>
          </c:dPt>
          <c:dPt>
            <c:idx val="2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F18A-4DA8-927C-1816E585AE61}"/>
              </c:ext>
            </c:extLst>
          </c:dPt>
          <c:dPt>
            <c:idx val="2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F18A-4DA8-927C-1816E585AE61}"/>
              </c:ext>
            </c:extLst>
          </c:dPt>
          <c:dPt>
            <c:idx val="25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F18A-4DA8-927C-1816E585AE61}"/>
              </c:ext>
            </c:extLst>
          </c:dPt>
          <c:dPt>
            <c:idx val="2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F18A-4DA8-927C-1816E585AE61}"/>
              </c:ext>
            </c:extLst>
          </c:dPt>
          <c:dPt>
            <c:idx val="27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F18A-4DA8-927C-1816E585AE61}"/>
              </c:ext>
            </c:extLst>
          </c:dPt>
          <c:dPt>
            <c:idx val="2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F18A-4DA8-927C-1816E585AE61}"/>
              </c:ext>
            </c:extLst>
          </c:dPt>
          <c:dPt>
            <c:idx val="2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F18A-4DA8-927C-1816E585AE61}"/>
              </c:ext>
            </c:extLst>
          </c:dPt>
          <c:dPt>
            <c:idx val="3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F18A-4DA8-927C-1816E585AE61}"/>
              </c:ext>
            </c:extLst>
          </c:dPt>
          <c:dPt>
            <c:idx val="3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F18A-4DA8-927C-1816E585AE61}"/>
              </c:ext>
            </c:extLst>
          </c:dPt>
          <c:dPt>
            <c:idx val="3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F18A-4DA8-927C-1816E585AE61}"/>
              </c:ext>
            </c:extLst>
          </c:dPt>
          <c:dPt>
            <c:idx val="33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F18A-4DA8-927C-1816E585AE61}"/>
              </c:ext>
            </c:extLst>
          </c:dPt>
          <c:dPt>
            <c:idx val="34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F18A-4DA8-927C-1816E585AE61}"/>
              </c:ext>
            </c:extLst>
          </c:dPt>
          <c:dPt>
            <c:idx val="35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F18A-4DA8-927C-1816E585AE61}"/>
              </c:ext>
            </c:extLst>
          </c:dPt>
          <c:dPt>
            <c:idx val="36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F18A-4DA8-927C-1816E585AE61}"/>
              </c:ext>
            </c:extLst>
          </c:dPt>
          <c:dPt>
            <c:idx val="37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F18A-4DA8-927C-1816E585AE61}"/>
              </c:ext>
            </c:extLst>
          </c:dPt>
          <c:dPt>
            <c:idx val="3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F18A-4DA8-927C-1816E585AE61}"/>
              </c:ext>
            </c:extLst>
          </c:dPt>
          <c:dPt>
            <c:idx val="3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F18A-4DA8-927C-1816E585AE61}"/>
              </c:ext>
            </c:extLst>
          </c:dPt>
          <c:dPt>
            <c:idx val="4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F18A-4DA8-927C-1816E585AE61}"/>
              </c:ext>
            </c:extLst>
          </c:dPt>
          <c:dPt>
            <c:idx val="41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F18A-4DA8-927C-1816E585AE61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F18A-4DA8-927C-1816E585AE61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F18A-4DA8-927C-1816E585AE61}"/>
              </c:ext>
            </c:extLst>
          </c:dPt>
          <c:dPt>
            <c:idx val="4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F18A-4DA8-927C-1816E585AE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OpCo'!$D$2:$D$20</c:f>
              <c:numCache>
                <c:formatCode>0</c:formatCode>
                <c:ptCount val="19"/>
                <c:pt idx="0">
                  <c:v>412.98096685984194</c:v>
                </c:pt>
                <c:pt idx="1">
                  <c:v>361.09252913711231</c:v>
                </c:pt>
                <c:pt idx="2">
                  <c:v>413.68397070957172</c:v>
                </c:pt>
                <c:pt idx="3">
                  <c:v>442.15456048538886</c:v>
                </c:pt>
                <c:pt idx="4">
                  <c:v>417.16557428972402</c:v>
                </c:pt>
                <c:pt idx="5">
                  <c:v>379.8004818141182</c:v>
                </c:pt>
                <c:pt idx="6">
                  <c:v>378.8102730308118</c:v>
                </c:pt>
                <c:pt idx="7">
                  <c:v>353.33309340108497</c:v>
                </c:pt>
                <c:pt idx="8">
                  <c:v>311.74847766332078</c:v>
                </c:pt>
                <c:pt idx="9">
                  <c:v>303.01932844653425</c:v>
                </c:pt>
                <c:pt idx="10">
                  <c:v>354.03778232951134</c:v>
                </c:pt>
                <c:pt idx="11">
                  <c:v>473.62662359496198</c:v>
                </c:pt>
                <c:pt idx="12">
                  <c:v>487.54046288216909</c:v>
                </c:pt>
                <c:pt idx="13">
                  <c:v>452.27781682363241</c:v>
                </c:pt>
                <c:pt idx="14">
                  <c:v>153.71503378466852</c:v>
                </c:pt>
                <c:pt idx="15">
                  <c:v>423.85976104640474</c:v>
                </c:pt>
                <c:pt idx="16">
                  <c:v>366.21919073190236</c:v>
                </c:pt>
                <c:pt idx="17">
                  <c:v>268.9734495701469</c:v>
                </c:pt>
                <c:pt idx="18">
                  <c:v>332.3004768855597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B-F18A-4DA8-927C-1816E585A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194122112"/>
        <c:axId val="194123648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OpCo'!$A$2:$B$20</c:f>
              <c:multiLvlStrCache>
                <c:ptCount val="19"/>
                <c:lvl>
                  <c:pt idx="0">
                    <c:v>VODAFONE</c:v>
                  </c:pt>
                  <c:pt idx="1">
                    <c:v>O2</c:v>
                  </c:pt>
                  <c:pt idx="2">
                    <c:v>T-MOBILE</c:v>
                  </c:pt>
                  <c:pt idx="3">
                    <c:v>VODAFONE</c:v>
                  </c:pt>
                  <c:pt idx="4">
                    <c:v>MOVISTAR</c:v>
                  </c:pt>
                  <c:pt idx="5">
                    <c:v>ORANGE</c:v>
                  </c:pt>
                  <c:pt idx="6">
                    <c:v>YOIGO</c:v>
                  </c:pt>
                  <c:pt idx="7">
                    <c:v>VODAFONE</c:v>
                  </c:pt>
                  <c:pt idx="8">
                    <c:v>EE</c:v>
                  </c:pt>
                  <c:pt idx="9">
                    <c:v>O2</c:v>
                  </c:pt>
                  <c:pt idx="10">
                    <c:v>H3G</c:v>
                  </c:pt>
                  <c:pt idx="11">
                    <c:v>VODAFONE</c:v>
                  </c:pt>
                  <c:pt idx="12">
                    <c:v>T-MOBILE</c:v>
                  </c:pt>
                  <c:pt idx="13">
                    <c:v>KPN B.V</c:v>
                  </c:pt>
                  <c:pt idx="14">
                    <c:v>TELE2</c:v>
                  </c:pt>
                  <c:pt idx="15">
                    <c:v>VODAFONE</c:v>
                  </c:pt>
                  <c:pt idx="16">
                    <c:v>TIM</c:v>
                  </c:pt>
                  <c:pt idx="17">
                    <c:v>WIND</c:v>
                  </c:pt>
                  <c:pt idx="18">
                    <c:v>H3G</c:v>
                  </c:pt>
                </c:lvl>
                <c:lvl>
                  <c:pt idx="0">
                    <c:v>DE</c:v>
                  </c:pt>
                  <c:pt idx="3">
                    <c:v>ES</c:v>
                  </c:pt>
                  <c:pt idx="7">
                    <c:v>UK</c:v>
                  </c:pt>
                  <c:pt idx="11">
                    <c:v>NL</c:v>
                  </c:pt>
                  <c:pt idx="15">
                    <c:v>IT</c:v>
                  </c:pt>
                </c:lvl>
              </c:multiLvlStrCache>
            </c:multiLvlStrRef>
          </c:cat>
          <c:val>
            <c:numRef>
              <c:f>'Graphs All OpCo'!$E$2:$E$20</c:f>
              <c:numCache>
                <c:formatCode>0</c:formatCode>
                <c:ptCount val="19"/>
                <c:pt idx="0">
                  <c:v>741.40808170948924</c:v>
                </c:pt>
                <c:pt idx="1">
                  <c:v>469.41805977431937</c:v>
                </c:pt>
                <c:pt idx="2">
                  <c:v>728.4165773220675</c:v>
                </c:pt>
                <c:pt idx="3">
                  <c:v>780.62081783141105</c:v>
                </c:pt>
                <c:pt idx="4">
                  <c:v>693.15459486717032</c:v>
                </c:pt>
                <c:pt idx="5">
                  <c:v>678.94740416242803</c:v>
                </c:pt>
                <c:pt idx="6">
                  <c:v>619.13291101706068</c:v>
                </c:pt>
                <c:pt idx="7">
                  <c:v>663.05424215054643</c:v>
                </c:pt>
                <c:pt idx="8">
                  <c:v>589.41600337128148</c:v>
                </c:pt>
                <c:pt idx="9">
                  <c:v>619.59844805926184</c:v>
                </c:pt>
                <c:pt idx="10">
                  <c:v>683.03292349202388</c:v>
                </c:pt>
                <c:pt idx="11">
                  <c:v>818.70150934334083</c:v>
                </c:pt>
                <c:pt idx="12">
                  <c:v>851.93041947639244</c:v>
                </c:pt>
                <c:pt idx="13">
                  <c:v>807.62555776773161</c:v>
                </c:pt>
                <c:pt idx="14">
                  <c:v>489.76839710586842</c:v>
                </c:pt>
                <c:pt idx="15">
                  <c:v>721.20293516499441</c:v>
                </c:pt>
                <c:pt idx="16">
                  <c:v>588.2232116982002</c:v>
                </c:pt>
                <c:pt idx="17">
                  <c:v>421.3645599281989</c:v>
                </c:pt>
                <c:pt idx="18">
                  <c:v>571.07077931547917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9C-F18A-4DA8-927C-1816E585A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122112"/>
        <c:axId val="194123648"/>
      </c:lineChart>
      <c:catAx>
        <c:axId val="19412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4123648"/>
        <c:crosses val="autoZero"/>
        <c:auto val="1"/>
        <c:lblAlgn val="ctr"/>
        <c:lblOffset val="100"/>
        <c:noMultiLvlLbl val="0"/>
      </c:catAx>
      <c:valAx>
        <c:axId val="194123648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4122112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Total Score Chart - Other OpCo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'Graphs All OpCo'!$C$1</c:f>
              <c:strCache>
                <c:ptCount val="1"/>
                <c:pt idx="0">
                  <c:v>VOICE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7-480E-41B3-A37A-986B1C532E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30D-40A6-8299-E012FEDA206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30D-40A6-8299-E012FEDA2063}"/>
              </c:ext>
            </c:extLst>
          </c:dPt>
          <c:dPt>
            <c:idx val="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330D-40A6-8299-E012FEDA206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330D-40A6-8299-E012FEDA206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330D-40A6-8299-E012FEDA206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30D-40A6-8299-E012FEDA2063}"/>
              </c:ext>
            </c:extLst>
          </c:dPt>
          <c:dPt>
            <c:idx val="7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30D-40A6-8299-E012FEDA2063}"/>
              </c:ext>
            </c:extLst>
          </c:dPt>
          <c:dPt>
            <c:idx val="8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30D-40A6-8299-E012FEDA2063}"/>
              </c:ext>
            </c:extLst>
          </c:dPt>
          <c:dPt>
            <c:idx val="9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E-330D-40A6-8299-E012FEDA2063}"/>
              </c:ext>
            </c:extLst>
          </c:dPt>
          <c:dPt>
            <c:idx val="1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0-330D-40A6-8299-E012FEDA2063}"/>
              </c:ext>
            </c:extLst>
          </c:dPt>
          <c:dPt>
            <c:idx val="11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2-330D-40A6-8299-E012FEDA2063}"/>
              </c:ext>
            </c:extLst>
          </c:dPt>
          <c:dPt>
            <c:idx val="12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B750-40CC-AB78-9D56AA620923}"/>
              </c:ext>
            </c:extLst>
          </c:dPt>
          <c:dPt>
            <c:idx val="1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4-330D-40A6-8299-E012FEDA2063}"/>
              </c:ext>
            </c:extLst>
          </c:dPt>
          <c:dPt>
            <c:idx val="1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6-330D-40A6-8299-E012FEDA2063}"/>
              </c:ext>
            </c:extLst>
          </c:dPt>
          <c:dPt>
            <c:idx val="15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F-B750-40CC-AB78-9D56AA620923}"/>
              </c:ext>
            </c:extLst>
          </c:dPt>
          <c:dPt>
            <c:idx val="16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8-330D-40A6-8299-E012FEDA2063}"/>
              </c:ext>
            </c:extLst>
          </c:dPt>
          <c:dPt>
            <c:idx val="17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A-330D-40A6-8299-E012FEDA2063}"/>
              </c:ext>
            </c:extLst>
          </c:dPt>
          <c:dPt>
            <c:idx val="18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C-330D-40A6-8299-E012FEDA2063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A0-B750-40CC-AB78-9D56AA620923}"/>
              </c:ext>
            </c:extLst>
          </c:dPt>
          <c:dPt>
            <c:idx val="20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E-330D-40A6-8299-E012FEDA2063}"/>
              </c:ext>
            </c:extLst>
          </c:dPt>
          <c:dPt>
            <c:idx val="21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330D-40A6-8299-E012FEDA2063}"/>
              </c:ext>
            </c:extLst>
          </c:dPt>
          <c:dPt>
            <c:idx val="22"/>
            <c:invertIfNegative val="0"/>
            <c:bubble3D val="0"/>
            <c:spPr>
              <a:solidFill>
                <a:srgbClr val="31859C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330D-40A6-8299-E012FEDA2063}"/>
              </c:ext>
            </c:extLst>
          </c:dPt>
          <c:dPt>
            <c:idx val="23"/>
            <c:invertIfNegative val="0"/>
            <c:bubble3D val="0"/>
            <c:spPr>
              <a:solidFill>
                <a:srgbClr val="FF4747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330D-40A6-8299-E012FEDA2063}"/>
              </c:ext>
            </c:extLst>
          </c:dPt>
          <c:dPt>
            <c:idx val="24"/>
            <c:invertIfNegative val="0"/>
            <c:bubble3D val="0"/>
            <c:spPr>
              <a:solidFill>
                <a:srgbClr val="F7964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330D-40A6-8299-E012FEDA2063}"/>
              </c:ext>
            </c:extLst>
          </c:dPt>
          <c:dPt>
            <c:idx val="25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330D-40A6-8299-E012FEDA2063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9-330D-40A6-8299-E012FEDA2063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330D-40A6-8299-E012FEDA2063}"/>
              </c:ext>
            </c:extLst>
          </c:dPt>
          <c:dPt>
            <c:idx val="2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330D-40A6-8299-E012FEDA2063}"/>
              </c:ext>
            </c:extLst>
          </c:dPt>
          <c:dPt>
            <c:idx val="3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330D-40A6-8299-E012FEDA2063}"/>
              </c:ext>
            </c:extLst>
          </c:dPt>
          <c:dPt>
            <c:idx val="32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330D-40A6-8299-E012FEDA2063}"/>
              </c:ext>
            </c:extLst>
          </c:dPt>
          <c:dPt>
            <c:idx val="3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330D-40A6-8299-E012FEDA2063}"/>
              </c:ext>
            </c:extLst>
          </c:dPt>
          <c:dPt>
            <c:idx val="35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330D-40A6-8299-E012FEDA2063}"/>
              </c:ext>
            </c:extLst>
          </c:dPt>
          <c:dPt>
            <c:idx val="36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330D-40A6-8299-E012FEDA2063}"/>
              </c:ext>
            </c:extLst>
          </c:dPt>
          <c:dPt>
            <c:idx val="37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330D-40A6-8299-E012FEDA2063}"/>
              </c:ext>
            </c:extLst>
          </c:dPt>
          <c:dPt>
            <c:idx val="39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B-330D-40A6-8299-E012FEDA2063}"/>
              </c:ext>
            </c:extLst>
          </c:dPt>
          <c:dPt>
            <c:idx val="40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D-330D-40A6-8299-E012FEDA2063}"/>
              </c:ext>
            </c:extLst>
          </c:dPt>
          <c:dPt>
            <c:idx val="41"/>
            <c:invertIfNegative val="0"/>
            <c:bubble3D val="0"/>
            <c:spPr>
              <a:solidFill>
                <a:schemeClr val="accent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F-330D-40A6-8299-E012FEDA2063}"/>
              </c:ext>
            </c:extLst>
          </c:dPt>
          <c:dPt>
            <c:idx val="43"/>
            <c:invertIfNegative val="0"/>
            <c:bubble3D val="0"/>
            <c:spPr>
              <a:solidFill>
                <a:schemeClr val="accent6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1-330D-40A6-8299-E012FEDA2063}"/>
              </c:ext>
            </c:extLst>
          </c:dPt>
          <c:dPt>
            <c:idx val="44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3-330D-40A6-8299-E012FEDA2063}"/>
              </c:ext>
            </c:extLst>
          </c:dPt>
          <c:dLbls>
            <c:dLbl>
              <c:idx val="24"/>
              <c:layout>
                <c:manualLayout>
                  <c:x val="0"/>
                  <c:y val="0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30D-40A6-8299-E012FEDA2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OpCo'!$C$21:$C$46</c:f>
              <c:numCache>
                <c:formatCode>0</c:formatCode>
                <c:ptCount val="26"/>
                <c:pt idx="0">
                  <c:v>293.52928685669349</c:v>
                </c:pt>
                <c:pt idx="1">
                  <c:v>192.74521876805068</c:v>
                </c:pt>
                <c:pt idx="2">
                  <c:v>0</c:v>
                </c:pt>
                <c:pt idx="3">
                  <c:v>306.67801359581301</c:v>
                </c:pt>
                <c:pt idx="4">
                  <c:v>234.37583640225313</c:v>
                </c:pt>
                <c:pt idx="5">
                  <c:v>238.83801400832311</c:v>
                </c:pt>
                <c:pt idx="6">
                  <c:v>161.18524471842187</c:v>
                </c:pt>
                <c:pt idx="7">
                  <c:v>357.9616749383589</c:v>
                </c:pt>
                <c:pt idx="8">
                  <c:v>311.81015878145189</c:v>
                </c:pt>
                <c:pt idx="9">
                  <c:v>178.65159623296665</c:v>
                </c:pt>
                <c:pt idx="10">
                  <c:v>367.02981601793886</c:v>
                </c:pt>
                <c:pt idx="11">
                  <c:v>339.07647437324124</c:v>
                </c:pt>
                <c:pt idx="12">
                  <c:v>326.82482937766315</c:v>
                </c:pt>
                <c:pt idx="13">
                  <c:v>274.31368797928394</c:v>
                </c:pt>
                <c:pt idx="14">
                  <c:v>119.41502984588301</c:v>
                </c:pt>
                <c:pt idx="15">
                  <c:v>230.98236567335408</c:v>
                </c:pt>
                <c:pt idx="16">
                  <c:v>353.86309352713363</c:v>
                </c:pt>
                <c:pt idx="17">
                  <c:v>314.17664977473373</c:v>
                </c:pt>
                <c:pt idx="18">
                  <c:v>312.84984629222646</c:v>
                </c:pt>
                <c:pt idx="19">
                  <c:v>312.22125596870933</c:v>
                </c:pt>
                <c:pt idx="20">
                  <c:v>318.0273474134479</c:v>
                </c:pt>
                <c:pt idx="21">
                  <c:v>180.93222995239225</c:v>
                </c:pt>
                <c:pt idx="22">
                  <c:v>229.62512568433499</c:v>
                </c:pt>
                <c:pt idx="23">
                  <c:v>318.92312495582183</c:v>
                </c:pt>
                <c:pt idx="24">
                  <c:v>221.3156884589618</c:v>
                </c:pt>
                <c:pt idx="25">
                  <c:v>186.1855309434431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4-330D-40A6-8299-E012FEDA2063}"/>
            </c:ext>
          </c:extLst>
        </c:ser>
        <c:ser>
          <c:idx val="0"/>
          <c:order val="1"/>
          <c:tx>
            <c:strRef>
              <c:f>'Graphs All OpCo'!$D$1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6-330D-40A6-8299-E012FEDA2063}"/>
              </c:ext>
            </c:extLst>
          </c:dPt>
          <c:dPt>
            <c:idx val="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8-330D-40A6-8299-E012FEDA2063}"/>
              </c:ext>
            </c:extLst>
          </c:dPt>
          <c:dPt>
            <c:idx val="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A-330D-40A6-8299-E012FEDA2063}"/>
              </c:ext>
            </c:extLst>
          </c:dPt>
          <c:dPt>
            <c:idx val="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C-330D-40A6-8299-E012FEDA2063}"/>
              </c:ext>
            </c:extLst>
          </c:dPt>
          <c:dPt>
            <c:idx val="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4E-330D-40A6-8299-E012FEDA2063}"/>
              </c:ext>
            </c:extLst>
          </c:dPt>
          <c:dPt>
            <c:idx val="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0-330D-40A6-8299-E012FEDA2063}"/>
              </c:ext>
            </c:extLst>
          </c:dPt>
          <c:dPt>
            <c:idx val="6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2-330D-40A6-8299-E012FEDA2063}"/>
              </c:ext>
            </c:extLst>
          </c:dPt>
          <c:dPt>
            <c:idx val="7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4-330D-40A6-8299-E012FEDA2063}"/>
              </c:ext>
            </c:extLst>
          </c:dPt>
          <c:dPt>
            <c:idx val="8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6-330D-40A6-8299-E012FEDA2063}"/>
              </c:ext>
            </c:extLst>
          </c:dPt>
          <c:dPt>
            <c:idx val="9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8-330D-40A6-8299-E012FEDA2063}"/>
              </c:ext>
            </c:extLst>
          </c:dPt>
          <c:dPt>
            <c:idx val="1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A-330D-40A6-8299-E012FEDA2063}"/>
              </c:ext>
            </c:extLst>
          </c:dPt>
          <c:dPt>
            <c:idx val="1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C-330D-40A6-8299-E012FEDA2063}"/>
              </c:ext>
            </c:extLst>
          </c:dPt>
          <c:dPt>
            <c:idx val="1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E-330D-40A6-8299-E012FEDA2063}"/>
              </c:ext>
            </c:extLst>
          </c:dPt>
          <c:dPt>
            <c:idx val="1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0-330D-40A6-8299-E012FEDA2063}"/>
              </c:ext>
            </c:extLst>
          </c:dPt>
          <c:dPt>
            <c:idx val="1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2-330D-40A6-8299-E012FEDA2063}"/>
              </c:ext>
            </c:extLst>
          </c:dPt>
          <c:dPt>
            <c:idx val="1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4-330D-40A6-8299-E012FEDA2063}"/>
              </c:ext>
            </c:extLst>
          </c:dPt>
          <c:dPt>
            <c:idx val="16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6-330D-40A6-8299-E012FEDA2063}"/>
              </c:ext>
            </c:extLst>
          </c:dPt>
          <c:dPt>
            <c:idx val="17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8-330D-40A6-8299-E012FEDA2063}"/>
              </c:ext>
            </c:extLst>
          </c:dPt>
          <c:dPt>
            <c:idx val="18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A-330D-40A6-8299-E012FEDA2063}"/>
              </c:ext>
            </c:extLst>
          </c:dPt>
          <c:dPt>
            <c:idx val="19"/>
            <c:invertIfNegative val="0"/>
            <c:bubble3D val="0"/>
            <c:spPr>
              <a:solidFill>
                <a:srgbClr val="C7D9A3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C-330D-40A6-8299-E012FEDA2063}"/>
              </c:ext>
            </c:extLst>
          </c:dPt>
          <c:dPt>
            <c:idx val="20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6E-330D-40A6-8299-E012FEDA2063}"/>
              </c:ext>
            </c:extLst>
          </c:dPt>
          <c:dPt>
            <c:idx val="21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0-330D-40A6-8299-E012FEDA2063}"/>
              </c:ext>
            </c:extLst>
          </c:dPt>
          <c:dPt>
            <c:idx val="22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2-330D-40A6-8299-E012FEDA2063}"/>
              </c:ext>
            </c:extLst>
          </c:dPt>
          <c:dPt>
            <c:idx val="23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4-330D-40A6-8299-E012FEDA2063}"/>
              </c:ext>
            </c:extLst>
          </c:dPt>
          <c:dPt>
            <c:idx val="24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6-330D-40A6-8299-E012FEDA2063}"/>
              </c:ext>
            </c:extLst>
          </c:dPt>
          <c:dPt>
            <c:idx val="25"/>
            <c:invertIfNegative val="0"/>
            <c:bubble3D val="0"/>
            <c:spPr>
              <a:solidFill>
                <a:srgbClr val="76C0D4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8-330D-40A6-8299-E012FEDA2063}"/>
              </c:ext>
            </c:extLst>
          </c:dPt>
          <c:dPt>
            <c:idx val="26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A-330D-40A6-8299-E012FEDA2063}"/>
              </c:ext>
            </c:extLst>
          </c:dPt>
          <c:dPt>
            <c:idx val="27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C-330D-40A6-8299-E012FEDA2063}"/>
              </c:ext>
            </c:extLst>
          </c:dPt>
          <c:dPt>
            <c:idx val="2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7E-330D-40A6-8299-E012FEDA2063}"/>
              </c:ext>
            </c:extLst>
          </c:dPt>
          <c:dPt>
            <c:idx val="2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0-330D-40A6-8299-E012FEDA2063}"/>
              </c:ext>
            </c:extLst>
          </c:dPt>
          <c:dPt>
            <c:idx val="3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2-330D-40A6-8299-E012FEDA2063}"/>
              </c:ext>
            </c:extLst>
          </c:dPt>
          <c:dPt>
            <c:idx val="31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4-330D-40A6-8299-E012FEDA2063}"/>
              </c:ext>
            </c:extLst>
          </c:dPt>
          <c:dPt>
            <c:idx val="32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6-330D-40A6-8299-E012FEDA2063}"/>
              </c:ext>
            </c:extLst>
          </c:dPt>
          <c:dPt>
            <c:idx val="33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8-330D-40A6-8299-E012FEDA2063}"/>
              </c:ext>
            </c:extLst>
          </c:dPt>
          <c:dPt>
            <c:idx val="34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A-330D-40A6-8299-E012FEDA2063}"/>
              </c:ext>
            </c:extLst>
          </c:dPt>
          <c:dPt>
            <c:idx val="35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C-330D-40A6-8299-E012FEDA2063}"/>
              </c:ext>
            </c:extLst>
          </c:dPt>
          <c:dPt>
            <c:idx val="36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8E-330D-40A6-8299-E012FEDA2063}"/>
              </c:ext>
            </c:extLst>
          </c:dPt>
          <c:dPt>
            <c:idx val="37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0-330D-40A6-8299-E012FEDA2063}"/>
              </c:ext>
            </c:extLst>
          </c:dPt>
          <c:dPt>
            <c:idx val="38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2-330D-40A6-8299-E012FEDA2063}"/>
              </c:ext>
            </c:extLst>
          </c:dPt>
          <c:dPt>
            <c:idx val="39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4-330D-40A6-8299-E012FEDA2063}"/>
              </c:ext>
            </c:extLst>
          </c:dPt>
          <c:dPt>
            <c:idx val="40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6-330D-40A6-8299-E012FEDA2063}"/>
              </c:ext>
            </c:extLst>
          </c:dPt>
          <c:dPt>
            <c:idx val="41"/>
            <c:invertIfNegative val="0"/>
            <c:bubble3D val="0"/>
            <c:spPr>
              <a:solidFill>
                <a:srgbClr val="B7CE88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8-330D-40A6-8299-E012FEDA2063}"/>
              </c:ext>
            </c:extLst>
          </c:dPt>
          <c:dPt>
            <c:idx val="42"/>
            <c:invertIfNegative val="0"/>
            <c:bubble3D val="0"/>
            <c:spPr>
              <a:solidFill>
                <a:srgbClr val="FF6565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A-330D-40A6-8299-E012FEDA2063}"/>
              </c:ext>
            </c:extLst>
          </c:dPt>
          <c:dPt>
            <c:idx val="43"/>
            <c:invertIfNegative val="0"/>
            <c:bubble3D val="0"/>
            <c:spPr>
              <a:solidFill>
                <a:srgbClr val="F9B47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C-330D-40A6-8299-E012FEDA2063}"/>
              </c:ext>
            </c:extLst>
          </c:dPt>
          <c:dPt>
            <c:idx val="44"/>
            <c:invertIfNegative val="0"/>
            <c:bubble3D val="0"/>
            <c:spPr>
              <a:solidFill>
                <a:srgbClr val="59B3CB"/>
              </a:solidFill>
              <a:ln w="25400"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9E-330D-40A6-8299-E012FEDA20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OpCo'!$D$21:$D$46</c:f>
              <c:numCache>
                <c:formatCode>0</c:formatCode>
                <c:ptCount val="26"/>
                <c:pt idx="0">
                  <c:v>449.63508651911206</c:v>
                </c:pt>
                <c:pt idx="1">
                  <c:v>335.25962333653035</c:v>
                </c:pt>
                <c:pt idx="2">
                  <c:v>57.906821748577208</c:v>
                </c:pt>
                <c:pt idx="3">
                  <c:v>439.70176978922518</c:v>
                </c:pt>
                <c:pt idx="4">
                  <c:v>432.06262239767091</c:v>
                </c:pt>
                <c:pt idx="5">
                  <c:v>409.85514965772995</c:v>
                </c:pt>
                <c:pt idx="6">
                  <c:v>184.99297231194703</c:v>
                </c:pt>
                <c:pt idx="7">
                  <c:v>413.09494917728864</c:v>
                </c:pt>
                <c:pt idx="8">
                  <c:v>386.90017738202158</c:v>
                </c:pt>
                <c:pt idx="9">
                  <c:v>309.51565544077079</c:v>
                </c:pt>
                <c:pt idx="10">
                  <c:v>437.73797391271046</c:v>
                </c:pt>
                <c:pt idx="11">
                  <c:v>471.79588919926073</c:v>
                </c:pt>
                <c:pt idx="12">
                  <c:v>399.82768417958721</c:v>
                </c:pt>
                <c:pt idx="13">
                  <c:v>179.43727054504356</c:v>
                </c:pt>
                <c:pt idx="14">
                  <c:v>153.22419613426669</c:v>
                </c:pt>
                <c:pt idx="15">
                  <c:v>284.43775412777455</c:v>
                </c:pt>
                <c:pt idx="16">
                  <c:v>314.58466612308894</c:v>
                </c:pt>
                <c:pt idx="17">
                  <c:v>295.85339832981754</c:v>
                </c:pt>
                <c:pt idx="18">
                  <c:v>279.88931861425181</c:v>
                </c:pt>
                <c:pt idx="19">
                  <c:v>146.11555524569411</c:v>
                </c:pt>
                <c:pt idx="20">
                  <c:v>409.02499530838151</c:v>
                </c:pt>
                <c:pt idx="21">
                  <c:v>277.15334697959929</c:v>
                </c:pt>
                <c:pt idx="22">
                  <c:v>312.6483406913211</c:v>
                </c:pt>
                <c:pt idx="23">
                  <c:v>404.24140764859322</c:v>
                </c:pt>
                <c:pt idx="24">
                  <c:v>325.09992384589225</c:v>
                </c:pt>
                <c:pt idx="25">
                  <c:v>281.48891973860384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9F-330D-40A6-8299-E012FEDA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443591296"/>
        <c:axId val="443597184"/>
      </c:barChart>
      <c:lineChart>
        <c:grouping val="standard"/>
        <c:varyColors val="0"/>
        <c:ser>
          <c:idx val="1"/>
          <c:order val="2"/>
          <c:tx>
            <c:strRef>
              <c:f>'Graphs All OpCo'!$E$1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'Graphs All OpCo'!$A$21:$B$46</c:f>
              <c:multiLvlStrCache>
                <c:ptCount val="26"/>
                <c:lvl>
                  <c:pt idx="0">
                    <c:v>VODAFONE</c:v>
                  </c:pt>
                  <c:pt idx="1">
                    <c:v>GO</c:v>
                  </c:pt>
                  <c:pt idx="2">
                    <c:v>MELITA</c:v>
                  </c:pt>
                  <c:pt idx="3">
                    <c:v>VODAFONE</c:v>
                  </c:pt>
                  <c:pt idx="4">
                    <c:v>ORANGE</c:v>
                  </c:pt>
                  <c:pt idx="5">
                    <c:v>TELEKOM</c:v>
                  </c:pt>
                  <c:pt idx="6">
                    <c:v>DIGI MOBIL</c:v>
                  </c:pt>
                  <c:pt idx="7">
                    <c:v>VODAFONE</c:v>
                  </c:pt>
                  <c:pt idx="8">
                    <c:v>TMN</c:v>
                  </c:pt>
                  <c:pt idx="9">
                    <c:v>OPTIMUS</c:v>
                  </c:pt>
                  <c:pt idx="10">
                    <c:v>VODAFONE</c:v>
                  </c:pt>
                  <c:pt idx="11">
                    <c:v>T-MOBILE</c:v>
                  </c:pt>
                  <c:pt idx="12">
                    <c:v>TELENOR</c:v>
                  </c:pt>
                  <c:pt idx="13">
                    <c:v>VODAFONE</c:v>
                  </c:pt>
                  <c:pt idx="14">
                    <c:v>WIND</c:v>
                  </c:pt>
                  <c:pt idx="15">
                    <c:v>COSMOTE</c:v>
                  </c:pt>
                  <c:pt idx="16">
                    <c:v>VODAFONE</c:v>
                  </c:pt>
                  <c:pt idx="17">
                    <c:v>EAGLE MOBILE</c:v>
                  </c:pt>
                  <c:pt idx="18">
                    <c:v>AMC</c:v>
                  </c:pt>
                  <c:pt idx="19">
                    <c:v>PLUS COM.</c:v>
                  </c:pt>
                  <c:pt idx="20">
                    <c:v>VODAFONE</c:v>
                  </c:pt>
                  <c:pt idx="21">
                    <c:v>METEOR</c:v>
                  </c:pt>
                  <c:pt idx="22">
                    <c:v>H3G</c:v>
                  </c:pt>
                  <c:pt idx="23">
                    <c:v>VODAFONE</c:v>
                  </c:pt>
                  <c:pt idx="24">
                    <c:v>T-MOBILE</c:v>
                  </c:pt>
                  <c:pt idx="25">
                    <c:v>O2</c:v>
                  </c:pt>
                </c:lvl>
                <c:lvl>
                  <c:pt idx="0">
                    <c:v>MT</c:v>
                  </c:pt>
                  <c:pt idx="3">
                    <c:v>RO</c:v>
                  </c:pt>
                  <c:pt idx="7">
                    <c:v>PT</c:v>
                  </c:pt>
                  <c:pt idx="10">
                    <c:v>HU</c:v>
                  </c:pt>
                  <c:pt idx="13">
                    <c:v>GR</c:v>
                  </c:pt>
                  <c:pt idx="16">
                    <c:v>AL</c:v>
                  </c:pt>
                  <c:pt idx="20">
                    <c:v>IE</c:v>
                  </c:pt>
                  <c:pt idx="23">
                    <c:v>CZ</c:v>
                  </c:pt>
                </c:lvl>
              </c:multiLvlStrCache>
            </c:multiLvlStrRef>
          </c:cat>
          <c:val>
            <c:numRef>
              <c:f>'Graphs All OpCo'!$E$21:$E$46</c:f>
              <c:numCache>
                <c:formatCode>0</c:formatCode>
                <c:ptCount val="26"/>
                <c:pt idx="0">
                  <c:v>743.16437337580555</c:v>
                </c:pt>
                <c:pt idx="1">
                  <c:v>528.00484210458103</c:v>
                </c:pt>
                <c:pt idx="2">
                  <c:v>57.906821748577208</c:v>
                </c:pt>
                <c:pt idx="3">
                  <c:v>746.37978338503819</c:v>
                </c:pt>
                <c:pt idx="4">
                  <c:v>666.43845879992409</c:v>
                </c:pt>
                <c:pt idx="5">
                  <c:v>648.69316366605312</c:v>
                </c:pt>
                <c:pt idx="6">
                  <c:v>346.1782170303689</c:v>
                </c:pt>
                <c:pt idx="7">
                  <c:v>771.05662411564754</c:v>
                </c:pt>
                <c:pt idx="8">
                  <c:v>698.71033616347347</c:v>
                </c:pt>
                <c:pt idx="9">
                  <c:v>488.16725167373744</c:v>
                </c:pt>
                <c:pt idx="10">
                  <c:v>804.76778993064931</c:v>
                </c:pt>
                <c:pt idx="11">
                  <c:v>810.87236357250197</c:v>
                </c:pt>
                <c:pt idx="12">
                  <c:v>726.65251355725036</c:v>
                </c:pt>
                <c:pt idx="13">
                  <c:v>453.75095852432753</c:v>
                </c:pt>
                <c:pt idx="14">
                  <c:v>272.63922598014972</c:v>
                </c:pt>
                <c:pt idx="15">
                  <c:v>515.42011980112864</c:v>
                </c:pt>
                <c:pt idx="16">
                  <c:v>668.44775965022257</c:v>
                </c:pt>
                <c:pt idx="17">
                  <c:v>610.03004810455127</c:v>
                </c:pt>
                <c:pt idx="18">
                  <c:v>592.73916490647821</c:v>
                </c:pt>
                <c:pt idx="19">
                  <c:v>458.33681121440344</c:v>
                </c:pt>
                <c:pt idx="20">
                  <c:v>727.0523427218294</c:v>
                </c:pt>
                <c:pt idx="21">
                  <c:v>458.08557693199157</c:v>
                </c:pt>
                <c:pt idx="22">
                  <c:v>542.27346637565608</c:v>
                </c:pt>
                <c:pt idx="23">
                  <c:v>723.16453260441506</c:v>
                </c:pt>
                <c:pt idx="24">
                  <c:v>546.41561230485399</c:v>
                </c:pt>
                <c:pt idx="25">
                  <c:v>467.67445068204694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A0-330D-40A6-8299-E012FEDA2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591296"/>
        <c:axId val="443597184"/>
      </c:lineChart>
      <c:catAx>
        <c:axId val="44359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3597184"/>
        <c:crosses val="autoZero"/>
        <c:auto val="1"/>
        <c:lblAlgn val="ctr"/>
        <c:lblOffset val="100"/>
        <c:noMultiLvlLbl val="0"/>
      </c:catAx>
      <c:valAx>
        <c:axId val="443597184"/>
        <c:scaling>
          <c:orientation val="minMax"/>
          <c:max val="1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Score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3591296"/>
        <c:crosses val="autoZero"/>
        <c:crossBetween val="between"/>
      </c:valAx>
      <c:spPr>
        <a:gradFill>
          <a:gsLst>
            <a:gs pos="0">
              <a:schemeClr val="bg1">
                <a:lumMod val="95000"/>
              </a:schemeClr>
            </a:gs>
            <a:gs pos="100000">
              <a:schemeClr val="bg1">
                <a:lumMod val="85000"/>
              </a:schemeClr>
            </a:gs>
            <a:gs pos="74000">
              <a:schemeClr val="bg1">
                <a:lumMod val="95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>
        <a:alpha val="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E77-4D62-A071-E6C4CD13D57E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E77-4D62-A071-E6C4CD13D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508224"/>
        <c:axId val="445522304"/>
      </c:lineChart>
      <c:catAx>
        <c:axId val="44550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522304"/>
        <c:crosses val="autoZero"/>
        <c:auto val="1"/>
        <c:lblAlgn val="ctr"/>
        <c:lblOffset val="100"/>
        <c:noMultiLvlLbl val="0"/>
      </c:catAx>
      <c:valAx>
        <c:axId val="44552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50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DCE-466D-8954-B291C82EC276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7DCE-466D-8954-B291C82EC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745792"/>
        <c:axId val="445755776"/>
      </c:lineChart>
      <c:catAx>
        <c:axId val="44574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5755776"/>
        <c:crosses val="autoZero"/>
        <c:auto val="1"/>
        <c:lblAlgn val="ctr"/>
        <c:lblOffset val="100"/>
        <c:noMultiLvlLbl val="0"/>
      </c:catAx>
      <c:valAx>
        <c:axId val="44575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5745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6CA-4E53-80FB-F44B036F0936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6CA-4E53-80FB-F44B036F0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232256"/>
        <c:axId val="447238144"/>
      </c:lineChart>
      <c:catAx>
        <c:axId val="44723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238144"/>
        <c:crosses val="autoZero"/>
        <c:auto val="1"/>
        <c:lblAlgn val="ctr"/>
        <c:lblOffset val="100"/>
        <c:noMultiLvlLbl val="0"/>
      </c:catAx>
      <c:valAx>
        <c:axId val="44723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2322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MF_VF!$AA$10</c:f>
              <c:strCache>
                <c:ptCount val="1"/>
                <c:pt idx="0">
                  <c:v>lin</c:v>
                </c:pt>
              </c:strCache>
            </c:strRef>
          </c:tx>
          <c:marker>
            <c:symbol val="none"/>
          </c:marker>
          <c:val>
            <c:numRef>
              <c:f>MF_VF!$AA$11:$AA$22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CB5-4BEF-80E7-1D2A1715D15A}"/>
            </c:ext>
          </c:extLst>
        </c:ser>
        <c:ser>
          <c:idx val="1"/>
          <c:order val="1"/>
          <c:tx>
            <c:strRef>
              <c:f>MF_VF!$AB$10</c:f>
              <c:strCache>
                <c:ptCount val="1"/>
                <c:pt idx="0">
                  <c:v>square</c:v>
                </c:pt>
              </c:strCache>
            </c:strRef>
          </c:tx>
          <c:marker>
            <c:symbol val="none"/>
          </c:marker>
          <c:val>
            <c:numRef>
              <c:f>MF_VF!$AB$11:$AB$22</c:f>
            </c:numRef>
          </c:val>
          <c:smooth val="0"/>
          <c:extLst xmlns:c16r2="http://schemas.microsoft.com/office/drawing/2015/06/chart"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MF_VF!$X$11:$Z$22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CB5-4BEF-80E7-1D2A1715D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321984"/>
        <c:axId val="447323520"/>
      </c:lineChart>
      <c:catAx>
        <c:axId val="44732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7323520"/>
        <c:crosses val="autoZero"/>
        <c:auto val="1"/>
        <c:lblAlgn val="ctr"/>
        <c:lblOffset val="100"/>
        <c:noMultiLvlLbl val="0"/>
      </c:catAx>
      <c:valAx>
        <c:axId val="44732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732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CONFIG!$C$3" fmlaRange="CONFIG!$H$20:$H$32" noThreeD="1" sel="2" val="0"/>
</file>

<file path=xl/ctrlProps/ctrlProp2.xml><?xml version="1.0" encoding="utf-8"?>
<formControlPr xmlns="http://schemas.microsoft.com/office/spreadsheetml/2009/9/main" objectType="Drop" dropStyle="combo" dx="16" fmlaLink="CONFIG!$C$4" fmlaRange="CONFIG!$I$20:$I$25" noThreeD="1" sel="2" val="0"/>
</file>

<file path=xl/ctrlProps/ctrlProp3.xml><?xml version="1.0" encoding="utf-8"?>
<formControlPr xmlns="http://schemas.microsoft.com/office/spreadsheetml/2009/9/main" objectType="Drop" dropStyle="combo" dx="16" fmlaLink="CONFIG!$C$5" fmlaRange="CONFIG!$I$20:$I$22" noThreeD="1" sel="2" val="0"/>
</file>

<file path=xl/ctrlProps/ctrlProp4.xml><?xml version="1.0" encoding="utf-8"?>
<formControlPr xmlns="http://schemas.microsoft.com/office/spreadsheetml/2009/9/main" objectType="Drop" dropStyle="combo" dx="16" fmlaLink="CONFIG!$C$10" fmlaRange="CONFIG!$J$20:$J$21" noThreeD="1" val="0"/>
</file>

<file path=xl/ctrlProps/ctrlProp5.xml><?xml version="1.0" encoding="utf-8"?>
<formControlPr xmlns="http://schemas.microsoft.com/office/spreadsheetml/2009/9/main" objectType="Drop" dropStyle="combo" dx="16" fmlaLink="CONFIG!$C$11" fmlaRange="CONFIG!$K$20:$K$22" noThreeD="1" sel="2" val="0"/>
</file>

<file path=xl/ctrlProps/ctrlProp6.xml><?xml version="1.0" encoding="utf-8"?>
<formControlPr xmlns="http://schemas.microsoft.com/office/spreadsheetml/2009/9/main" objectType="Drop" dropStyle="combo" dx="16" fmlaLink="CONFIG!$C$6" fmlaRange="CONFIG!$I$20:$I$25" noThreeD="1" sel="2" val="0"/>
</file>

<file path=xl/ctrlProps/ctrlProp7.xml><?xml version="1.0" encoding="utf-8"?>
<formControlPr xmlns="http://schemas.microsoft.com/office/spreadsheetml/2009/9/main" objectType="Drop" dropStyle="combo" dx="16" fmlaLink="CONFIG!$C$7" fmlaRange="CONFIG!$I$20:$I$22" noThreeD="1" sel="2" val="0"/>
</file>

<file path=xl/ctrlProps/ctrlProp8.xml><?xml version="1.0" encoding="utf-8"?>
<formControlPr xmlns="http://schemas.microsoft.com/office/spreadsheetml/2009/9/main" objectType="Drop" dropStyle="combo" dx="16" fmlaLink="CONFIG!$C$8" fmlaRange="CONFIG!$I$20:$I$25" noThreeD="1" sel="2" val="0"/>
</file>

<file path=xl/ctrlProps/ctrlProp9.xml><?xml version="1.0" encoding="utf-8"?>
<formControlPr xmlns="http://schemas.microsoft.com/office/spreadsheetml/2009/9/main" objectType="Drop" dropStyle="combo" dx="16" fmlaLink="CONFIG!$C$9" fmlaRange="CONFIG!$I$20:$I$22" noThreeD="1" sel="2" val="0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163285</xdr:colOff>
      <xdr:row>0</xdr:row>
      <xdr:rowOff>0</xdr:rowOff>
    </xdr:from>
    <xdr:to>
      <xdr:col>15</xdr:col>
      <xdr:colOff>427264</xdr:colOff>
      <xdr:row>13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40821</xdr:colOff>
      <xdr:row>0</xdr:row>
      <xdr:rowOff>0</xdr:rowOff>
    </xdr:from>
    <xdr:to>
      <xdr:col>23</xdr:col>
      <xdr:colOff>348342</xdr:colOff>
      <xdr:row>13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742347</xdr:colOff>
      <xdr:row>32</xdr:row>
      <xdr:rowOff>174095</xdr:rowOff>
    </xdr:from>
    <xdr:to>
      <xdr:col>4</xdr:col>
      <xdr:colOff>21166</xdr:colOff>
      <xdr:row>47</xdr:row>
      <xdr:rowOff>57074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1513</xdr:colOff>
      <xdr:row>48</xdr:row>
      <xdr:rowOff>8389</xdr:rowOff>
    </xdr:from>
    <xdr:to>
      <xdr:col>4</xdr:col>
      <xdr:colOff>21166</xdr:colOff>
      <xdr:row>62</xdr:row>
      <xdr:rowOff>72343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285749</xdr:colOff>
      <xdr:row>33</xdr:row>
      <xdr:rowOff>10584</xdr:rowOff>
    </xdr:from>
    <xdr:to>
      <xdr:col>12</xdr:col>
      <xdr:colOff>285749</xdr:colOff>
      <xdr:row>47</xdr:row>
      <xdr:rowOff>84063</xdr:rowOff>
    </xdr:to>
    <xdr:graphicFrame macro="">
      <xdr:nvGraphicFramePr>
        <xdr:cNvPr id="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278189</xdr:colOff>
      <xdr:row>48</xdr:row>
      <xdr:rowOff>7559</xdr:rowOff>
    </xdr:from>
    <xdr:to>
      <xdr:col>12</xdr:col>
      <xdr:colOff>249465</xdr:colOff>
      <xdr:row>62</xdr:row>
      <xdr:rowOff>71513</xdr:rowOff>
    </xdr:to>
    <xdr:graphicFrame macro="">
      <xdr:nvGraphicFramePr>
        <xdr:cNvPr id="7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254000</xdr:colOff>
      <xdr:row>33</xdr:row>
      <xdr:rowOff>0</xdr:rowOff>
    </xdr:from>
    <xdr:to>
      <xdr:col>19</xdr:col>
      <xdr:colOff>362856</xdr:colOff>
      <xdr:row>47</xdr:row>
      <xdr:rowOff>73479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260049</xdr:colOff>
      <xdr:row>47</xdr:row>
      <xdr:rowOff>175381</xdr:rowOff>
    </xdr:from>
    <xdr:to>
      <xdr:col>19</xdr:col>
      <xdr:colOff>343204</xdr:colOff>
      <xdr:row>62</xdr:row>
      <xdr:rowOff>48835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299357</xdr:colOff>
      <xdr:row>33</xdr:row>
      <xdr:rowOff>1</xdr:rowOff>
    </xdr:from>
    <xdr:to>
      <xdr:col>26</xdr:col>
      <xdr:colOff>408215</xdr:colOff>
      <xdr:row>47</xdr:row>
      <xdr:rowOff>73480</xdr:rowOff>
    </xdr:to>
    <xdr:graphicFrame macro="">
      <xdr:nvGraphicFramePr>
        <xdr:cNvPr id="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296333</xdr:colOff>
      <xdr:row>47</xdr:row>
      <xdr:rowOff>164798</xdr:rowOff>
    </xdr:from>
    <xdr:to>
      <xdr:col>26</xdr:col>
      <xdr:colOff>377978</xdr:colOff>
      <xdr:row>62</xdr:row>
      <xdr:rowOff>38252</xdr:rowOff>
    </xdr:to>
    <xdr:graphicFrame macro="">
      <xdr:nvGraphicFramePr>
        <xdr:cNvPr id="1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19050</xdr:rowOff>
        </xdr:from>
        <xdr:to>
          <xdr:col>9</xdr:col>
          <xdr:colOff>152400</xdr:colOff>
          <xdr:row>19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28575</xdr:rowOff>
        </xdr:from>
        <xdr:to>
          <xdr:col>13</xdr:col>
          <xdr:colOff>361950</xdr:colOff>
          <xdr:row>21</xdr:row>
          <xdr:rowOff>38100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180975</xdr:rowOff>
        </xdr:from>
        <xdr:to>
          <xdr:col>13</xdr:col>
          <xdr:colOff>361950</xdr:colOff>
          <xdr:row>22</xdr:row>
          <xdr:rowOff>190500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19</xdr:row>
          <xdr:rowOff>180975</xdr:rowOff>
        </xdr:from>
        <xdr:to>
          <xdr:col>9</xdr:col>
          <xdr:colOff>638175</xdr:colOff>
          <xdr:row>21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171450</xdr:rowOff>
        </xdr:from>
        <xdr:to>
          <xdr:col>9</xdr:col>
          <xdr:colOff>647700</xdr:colOff>
          <xdr:row>22</xdr:row>
          <xdr:rowOff>161925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20</xdr:row>
          <xdr:rowOff>28575</xdr:rowOff>
        </xdr:from>
        <xdr:to>
          <xdr:col>15</xdr:col>
          <xdr:colOff>361950</xdr:colOff>
          <xdr:row>21</xdr:row>
          <xdr:rowOff>38100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21</xdr:row>
          <xdr:rowOff>180975</xdr:rowOff>
        </xdr:from>
        <xdr:to>
          <xdr:col>15</xdr:col>
          <xdr:colOff>361950</xdr:colOff>
          <xdr:row>22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20</xdr:row>
          <xdr:rowOff>28575</xdr:rowOff>
        </xdr:from>
        <xdr:to>
          <xdr:col>17</xdr:col>
          <xdr:colOff>190500</xdr:colOff>
          <xdr:row>21</xdr:row>
          <xdr:rowOff>38100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21</xdr:row>
          <xdr:rowOff>180975</xdr:rowOff>
        </xdr:from>
        <xdr:to>
          <xdr:col>17</xdr:col>
          <xdr:colOff>190500</xdr:colOff>
          <xdr:row>22</xdr:row>
          <xdr:rowOff>190500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529167</xdr:colOff>
      <xdr:row>13</xdr:row>
      <xdr:rowOff>63500</xdr:rowOff>
    </xdr:from>
    <xdr:to>
      <xdr:col>20</xdr:col>
      <xdr:colOff>412750</xdr:colOff>
      <xdr:row>16</xdr:row>
      <xdr:rowOff>148167</xdr:rowOff>
    </xdr:to>
    <xdr:sp macro="" textlink="">
      <xdr:nvSpPr>
        <xdr:cNvPr id="5" name="CasellaDiTesto 4"/>
        <xdr:cNvSpPr txBox="1"/>
      </xdr:nvSpPr>
      <xdr:spPr>
        <a:xfrm>
          <a:off x="9207500" y="2095500"/>
          <a:ext cx="1111250" cy="560917"/>
        </a:xfrm>
        <a:prstGeom prst="rect">
          <a:avLst/>
        </a:prstGeom>
        <a:solidFill>
          <a:schemeClr val="lt1"/>
        </a:solidFill>
        <a:ln w="9525" cmpd="sng"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       Data Score</a:t>
          </a:r>
        </a:p>
        <a:p>
          <a:endParaRPr lang="it-IT" sz="800"/>
        </a:p>
        <a:p>
          <a:r>
            <a:rPr lang="it-IT" sz="1100"/>
            <a:t>       Voice Score</a:t>
          </a: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21</xdr:col>
      <xdr:colOff>0</xdr:colOff>
      <xdr:row>59</xdr:row>
      <xdr:rowOff>152400</xdr:rowOff>
    </xdr:to>
    <xdr:graphicFrame macro="">
      <xdr:nvGraphicFramePr>
        <xdr:cNvPr id="2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26</xdr:row>
      <xdr:rowOff>0</xdr:rowOff>
    </xdr:from>
    <xdr:to>
      <xdr:col>21</xdr:col>
      <xdr:colOff>0</xdr:colOff>
      <xdr:row>42</xdr:row>
      <xdr:rowOff>152400</xdr:rowOff>
    </xdr:to>
    <xdr:graphicFrame macro="">
      <xdr:nvGraphicFramePr>
        <xdr:cNvPr id="3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</xdr:row>
      <xdr:rowOff>127000</xdr:rowOff>
    </xdr:from>
    <xdr:to>
      <xdr:col>18</xdr:col>
      <xdr:colOff>370417</xdr:colOff>
      <xdr:row>19</xdr:row>
      <xdr:rowOff>120650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65</xdr:row>
      <xdr:rowOff>0</xdr:rowOff>
    </xdr:from>
    <xdr:to>
      <xdr:col>21</xdr:col>
      <xdr:colOff>0</xdr:colOff>
      <xdr:row>83</xdr:row>
      <xdr:rowOff>152400</xdr:rowOff>
    </xdr:to>
    <xdr:graphicFrame macro="">
      <xdr:nvGraphicFramePr>
        <xdr:cNvPr id="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84</xdr:row>
      <xdr:rowOff>0</xdr:rowOff>
    </xdr:from>
    <xdr:to>
      <xdr:col>21</xdr:col>
      <xdr:colOff>0</xdr:colOff>
      <xdr:row>100</xdr:row>
      <xdr:rowOff>152400</xdr:rowOff>
    </xdr:to>
    <xdr:graphicFrame macro="">
      <xdr:nvGraphicFramePr>
        <xdr:cNvPr id="8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106</xdr:row>
      <xdr:rowOff>0</xdr:rowOff>
    </xdr:from>
    <xdr:to>
      <xdr:col>21</xdr:col>
      <xdr:colOff>0</xdr:colOff>
      <xdr:row>124</xdr:row>
      <xdr:rowOff>152400</xdr:rowOff>
    </xdr:to>
    <xdr:graphicFrame macro="">
      <xdr:nvGraphicFramePr>
        <xdr:cNvPr id="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125</xdr:row>
      <xdr:rowOff>0</xdr:rowOff>
    </xdr:from>
    <xdr:to>
      <xdr:col>21</xdr:col>
      <xdr:colOff>0</xdr:colOff>
      <xdr:row>141</xdr:row>
      <xdr:rowOff>152400</xdr:rowOff>
    </xdr:to>
    <xdr:graphicFrame macro="">
      <xdr:nvGraphicFramePr>
        <xdr:cNvPr id="10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142</xdr:row>
      <xdr:rowOff>0</xdr:rowOff>
    </xdr:from>
    <xdr:to>
      <xdr:col>21</xdr:col>
      <xdr:colOff>0</xdr:colOff>
      <xdr:row>158</xdr:row>
      <xdr:rowOff>152400</xdr:rowOff>
    </xdr:to>
    <xdr:graphicFrame macro="">
      <xdr:nvGraphicFramePr>
        <xdr:cNvPr id="11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0</xdr:colOff>
      <xdr:row>159</xdr:row>
      <xdr:rowOff>0</xdr:rowOff>
    </xdr:from>
    <xdr:to>
      <xdr:col>21</xdr:col>
      <xdr:colOff>0</xdr:colOff>
      <xdr:row>175</xdr:row>
      <xdr:rowOff>152400</xdr:rowOff>
    </xdr:to>
    <xdr:graphicFrame macro="">
      <xdr:nvGraphicFramePr>
        <xdr:cNvPr id="12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176</xdr:row>
      <xdr:rowOff>0</xdr:rowOff>
    </xdr:from>
    <xdr:to>
      <xdr:col>21</xdr:col>
      <xdr:colOff>0</xdr:colOff>
      <xdr:row>192</xdr:row>
      <xdr:rowOff>152400</xdr:rowOff>
    </xdr:to>
    <xdr:graphicFrame macro="">
      <xdr:nvGraphicFramePr>
        <xdr:cNvPr id="13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243416</xdr:colOff>
      <xdr:row>28</xdr:row>
      <xdr:rowOff>153458</xdr:rowOff>
    </xdr:from>
    <xdr:to>
      <xdr:col>16</xdr:col>
      <xdr:colOff>248709</xdr:colOff>
      <xdr:row>41</xdr:row>
      <xdr:rowOff>42333</xdr:rowOff>
    </xdr:to>
    <xdr:cxnSp macro="">
      <xdr:nvCxnSpPr>
        <xdr:cNvPr id="14" name="Straight Connector 2"/>
        <xdr:cNvCxnSpPr/>
      </xdr:nvCxnSpPr>
      <xdr:spPr>
        <a:xfrm flipV="1">
          <a:off x="7694083" y="4439708"/>
          <a:ext cx="5293" cy="1952625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243417</xdr:colOff>
      <xdr:row>45</xdr:row>
      <xdr:rowOff>47626</xdr:rowOff>
    </xdr:from>
    <xdr:to>
      <xdr:col>16</xdr:col>
      <xdr:colOff>248710</xdr:colOff>
      <xdr:row>58</xdr:row>
      <xdr:rowOff>52917</xdr:rowOff>
    </xdr:to>
    <xdr:cxnSp macro="">
      <xdr:nvCxnSpPr>
        <xdr:cNvPr id="15" name="Straight Connector 29"/>
        <xdr:cNvCxnSpPr/>
      </xdr:nvCxnSpPr>
      <xdr:spPr>
        <a:xfrm flipV="1">
          <a:off x="7694084" y="7117293"/>
          <a:ext cx="5293" cy="206904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566210</xdr:colOff>
      <xdr:row>67</xdr:row>
      <xdr:rowOff>74083</xdr:rowOff>
    </xdr:from>
    <xdr:to>
      <xdr:col>14</xdr:col>
      <xdr:colOff>571500</xdr:colOff>
      <xdr:row>83</xdr:row>
      <xdr:rowOff>85727</xdr:rowOff>
    </xdr:to>
    <xdr:cxnSp macro="">
      <xdr:nvCxnSpPr>
        <xdr:cNvPr id="16" name="Straight Connector 30"/>
        <xdr:cNvCxnSpPr/>
      </xdr:nvCxnSpPr>
      <xdr:spPr>
        <a:xfrm flipV="1">
          <a:off x="6789210" y="10572750"/>
          <a:ext cx="5290" cy="2541060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571500</xdr:colOff>
      <xdr:row>86</xdr:row>
      <xdr:rowOff>133350</xdr:rowOff>
    </xdr:from>
    <xdr:to>
      <xdr:col>14</xdr:col>
      <xdr:colOff>571501</xdr:colOff>
      <xdr:row>100</xdr:row>
      <xdr:rowOff>76202</xdr:rowOff>
    </xdr:to>
    <xdr:cxnSp macro="">
      <xdr:nvCxnSpPr>
        <xdr:cNvPr id="17" name="Straight Connector 31"/>
        <xdr:cNvCxnSpPr/>
      </xdr:nvCxnSpPr>
      <xdr:spPr>
        <a:xfrm flipH="1" flipV="1">
          <a:off x="6629400" y="19354800"/>
          <a:ext cx="1" cy="2209802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514350</xdr:colOff>
      <xdr:row>86</xdr:row>
      <xdr:rowOff>133350</xdr:rowOff>
    </xdr:from>
    <xdr:to>
      <xdr:col>17</xdr:col>
      <xdr:colOff>514351</xdr:colOff>
      <xdr:row>100</xdr:row>
      <xdr:rowOff>76202</xdr:rowOff>
    </xdr:to>
    <xdr:cxnSp macro="">
      <xdr:nvCxnSpPr>
        <xdr:cNvPr id="18" name="Straight Connector 32"/>
        <xdr:cNvCxnSpPr/>
      </xdr:nvCxnSpPr>
      <xdr:spPr>
        <a:xfrm flipH="1" flipV="1">
          <a:off x="8401050" y="19354800"/>
          <a:ext cx="1" cy="2209802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566211</xdr:colOff>
      <xdr:row>108</xdr:row>
      <xdr:rowOff>148166</xdr:rowOff>
    </xdr:from>
    <xdr:to>
      <xdr:col>14</xdr:col>
      <xdr:colOff>582083</xdr:colOff>
      <xdr:row>124</xdr:row>
      <xdr:rowOff>22227</xdr:rowOff>
    </xdr:to>
    <xdr:cxnSp macro="">
      <xdr:nvCxnSpPr>
        <xdr:cNvPr id="19" name="Straight Connector 33"/>
        <xdr:cNvCxnSpPr/>
      </xdr:nvCxnSpPr>
      <xdr:spPr>
        <a:xfrm flipV="1">
          <a:off x="6789211" y="16996833"/>
          <a:ext cx="15872" cy="241406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569383</xdr:colOff>
      <xdr:row>127</xdr:row>
      <xdr:rowOff>132292</xdr:rowOff>
    </xdr:from>
    <xdr:to>
      <xdr:col>14</xdr:col>
      <xdr:colOff>569384</xdr:colOff>
      <xdr:row>141</xdr:row>
      <xdr:rowOff>75144</xdr:rowOff>
    </xdr:to>
    <xdr:cxnSp macro="">
      <xdr:nvCxnSpPr>
        <xdr:cNvPr id="20" name="Straight Connector 34"/>
        <xdr:cNvCxnSpPr/>
      </xdr:nvCxnSpPr>
      <xdr:spPr>
        <a:xfrm flipH="1" flipV="1">
          <a:off x="6792383" y="19679709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520700</xdr:colOff>
      <xdr:row>127</xdr:row>
      <xdr:rowOff>132291</xdr:rowOff>
    </xdr:from>
    <xdr:to>
      <xdr:col>17</xdr:col>
      <xdr:colOff>520701</xdr:colOff>
      <xdr:row>141</xdr:row>
      <xdr:rowOff>75143</xdr:rowOff>
    </xdr:to>
    <xdr:cxnSp macro="">
      <xdr:nvCxnSpPr>
        <xdr:cNvPr id="21" name="Straight Connector 35"/>
        <xdr:cNvCxnSpPr/>
      </xdr:nvCxnSpPr>
      <xdr:spPr>
        <a:xfrm flipH="1" flipV="1">
          <a:off x="8585200" y="19997208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537633</xdr:colOff>
      <xdr:row>144</xdr:row>
      <xdr:rowOff>152400</xdr:rowOff>
    </xdr:from>
    <xdr:to>
      <xdr:col>14</xdr:col>
      <xdr:colOff>537634</xdr:colOff>
      <xdr:row>158</xdr:row>
      <xdr:rowOff>95252</xdr:rowOff>
    </xdr:to>
    <xdr:cxnSp macro="">
      <xdr:nvCxnSpPr>
        <xdr:cNvPr id="22" name="Straight Connector 36"/>
        <xdr:cNvCxnSpPr/>
      </xdr:nvCxnSpPr>
      <xdr:spPr>
        <a:xfrm flipH="1" flipV="1">
          <a:off x="6760633" y="22705483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144</xdr:row>
      <xdr:rowOff>132292</xdr:rowOff>
    </xdr:from>
    <xdr:to>
      <xdr:col>17</xdr:col>
      <xdr:colOff>492126</xdr:colOff>
      <xdr:row>158</xdr:row>
      <xdr:rowOff>75144</xdr:rowOff>
    </xdr:to>
    <xdr:cxnSp macro="">
      <xdr:nvCxnSpPr>
        <xdr:cNvPr id="23" name="Straight Connector 37"/>
        <xdr:cNvCxnSpPr/>
      </xdr:nvCxnSpPr>
      <xdr:spPr>
        <a:xfrm flipH="1" flipV="1">
          <a:off x="8556625" y="22685375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537633</xdr:colOff>
      <xdr:row>161</xdr:row>
      <xdr:rowOff>142875</xdr:rowOff>
    </xdr:from>
    <xdr:to>
      <xdr:col>14</xdr:col>
      <xdr:colOff>537634</xdr:colOff>
      <xdr:row>175</xdr:row>
      <xdr:rowOff>85727</xdr:rowOff>
    </xdr:to>
    <xdr:cxnSp macro="">
      <xdr:nvCxnSpPr>
        <xdr:cNvPr id="24" name="Straight Connector 38"/>
        <xdr:cNvCxnSpPr/>
      </xdr:nvCxnSpPr>
      <xdr:spPr>
        <a:xfrm flipH="1" flipV="1">
          <a:off x="6760633" y="25384125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492125</xdr:colOff>
      <xdr:row>161</xdr:row>
      <xdr:rowOff>153458</xdr:rowOff>
    </xdr:from>
    <xdr:to>
      <xdr:col>17</xdr:col>
      <xdr:colOff>492126</xdr:colOff>
      <xdr:row>175</xdr:row>
      <xdr:rowOff>96310</xdr:rowOff>
    </xdr:to>
    <xdr:cxnSp macro="">
      <xdr:nvCxnSpPr>
        <xdr:cNvPr id="25" name="Straight Connector 39"/>
        <xdr:cNvCxnSpPr/>
      </xdr:nvCxnSpPr>
      <xdr:spPr>
        <a:xfrm flipH="1" flipV="1">
          <a:off x="8556625" y="25394708"/>
          <a:ext cx="1" cy="2154769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569383</xdr:colOff>
      <xdr:row>178</xdr:row>
      <xdr:rowOff>142875</xdr:rowOff>
    </xdr:from>
    <xdr:to>
      <xdr:col>14</xdr:col>
      <xdr:colOff>569384</xdr:colOff>
      <xdr:row>192</xdr:row>
      <xdr:rowOff>85727</xdr:rowOff>
    </xdr:to>
    <xdr:cxnSp macro="">
      <xdr:nvCxnSpPr>
        <xdr:cNvPr id="26" name="Straight Connector 40"/>
        <xdr:cNvCxnSpPr/>
      </xdr:nvCxnSpPr>
      <xdr:spPr>
        <a:xfrm flipH="1" flipV="1">
          <a:off x="6792383" y="28072292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520700</xdr:colOff>
      <xdr:row>178</xdr:row>
      <xdr:rowOff>142875</xdr:rowOff>
    </xdr:from>
    <xdr:to>
      <xdr:col>17</xdr:col>
      <xdr:colOff>520701</xdr:colOff>
      <xdr:row>192</xdr:row>
      <xdr:rowOff>85727</xdr:rowOff>
    </xdr:to>
    <xdr:cxnSp macro="">
      <xdr:nvCxnSpPr>
        <xdr:cNvPr id="27" name="Straight Connector 41"/>
        <xdr:cNvCxnSpPr/>
      </xdr:nvCxnSpPr>
      <xdr:spPr>
        <a:xfrm flipH="1" flipV="1">
          <a:off x="8585200" y="28072292"/>
          <a:ext cx="1" cy="2154768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3</xdr:row>
      <xdr:rowOff>0</xdr:rowOff>
    </xdr:from>
    <xdr:to>
      <xdr:col>10</xdr:col>
      <xdr:colOff>0</xdr:colOff>
      <xdr:row>7</xdr:row>
      <xdr:rowOff>28575</xdr:rowOff>
    </xdr:to>
    <xdr:sp macro="" textlink="">
      <xdr:nvSpPr>
        <xdr:cNvPr id="28" name="Rounded Rectangle 28"/>
        <xdr:cNvSpPr/>
      </xdr:nvSpPr>
      <xdr:spPr>
        <a:xfrm>
          <a:off x="638175" y="409575"/>
          <a:ext cx="3209925" cy="676275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TOTAL SCORE</a:t>
          </a:r>
        </a:p>
      </xdr:txBody>
    </xdr:sp>
    <xdr:clientData/>
  </xdr:twoCellAnchor>
  <xdr:twoCellAnchor>
    <xdr:from>
      <xdr:col>4</xdr:col>
      <xdr:colOff>0</xdr:colOff>
      <xdr:row>25</xdr:row>
      <xdr:rowOff>161924</xdr:rowOff>
    </xdr:from>
    <xdr:to>
      <xdr:col>10</xdr:col>
      <xdr:colOff>9525</xdr:colOff>
      <xdr:row>32</xdr:row>
      <xdr:rowOff>133350</xdr:rowOff>
    </xdr:to>
    <xdr:sp macro="" textlink="">
      <xdr:nvSpPr>
        <xdr:cNvPr id="30" name="Rounded Rectangle 43"/>
        <xdr:cNvSpPr/>
      </xdr:nvSpPr>
      <xdr:spPr>
        <a:xfrm>
          <a:off x="638175" y="9982199"/>
          <a:ext cx="3219450" cy="1104901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Score</a:t>
          </a:r>
          <a:r>
            <a:rPr lang="en-US" sz="1800" b="1" baseline="0">
              <a:solidFill>
                <a:sysClr val="windowText" lastClr="000000"/>
              </a:solidFill>
            </a:rPr>
            <a:t> breakdown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Voice / Data &amp; 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Qualifier / Differentiator</a:t>
          </a:r>
          <a:endParaRPr 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10</xdr:col>
      <xdr:colOff>9525</xdr:colOff>
      <xdr:row>71</xdr:row>
      <xdr:rowOff>133351</xdr:rowOff>
    </xdr:to>
    <xdr:sp macro="" textlink="">
      <xdr:nvSpPr>
        <xdr:cNvPr id="31" name="Rounded Rectangle 49"/>
        <xdr:cNvSpPr/>
      </xdr:nvSpPr>
      <xdr:spPr>
        <a:xfrm>
          <a:off x="638175" y="16144875"/>
          <a:ext cx="3219450" cy="1104901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Score</a:t>
          </a:r>
          <a:r>
            <a:rPr lang="en-US" sz="1800" b="1" baseline="0">
              <a:solidFill>
                <a:sysClr val="windowText" lastClr="000000"/>
              </a:solidFill>
            </a:rPr>
            <a:t> breakdown</a:t>
          </a:r>
        </a:p>
        <a:p>
          <a:pPr algn="ctr"/>
          <a:r>
            <a:rPr lang="en-US" sz="1800" b="1" baseline="0">
              <a:solidFill>
                <a:sysClr val="windowText" lastClr="000000"/>
              </a:solidFill>
            </a:rPr>
            <a:t>per aggregation category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10</xdr:col>
      <xdr:colOff>9525</xdr:colOff>
      <xdr:row>111</xdr:row>
      <xdr:rowOff>42333</xdr:rowOff>
    </xdr:to>
    <xdr:sp macro="" textlink="">
      <xdr:nvSpPr>
        <xdr:cNvPr id="32" name="Rounded Rectangle 50"/>
        <xdr:cNvSpPr/>
      </xdr:nvSpPr>
      <xdr:spPr>
        <a:xfrm>
          <a:off x="635000" y="16531167"/>
          <a:ext cx="3375025" cy="836083"/>
        </a:xfrm>
        <a:prstGeom prst="roundRect">
          <a:avLst/>
        </a:prstGeom>
        <a:solidFill>
          <a:schemeClr val="accent5">
            <a:alpha val="2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bIns="36000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Opportunity dashboard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baseline="0">
              <a:solidFill>
                <a:sysClr val="windowText" lastClr="000000"/>
              </a:solidFill>
            </a:rPr>
            <a:t>Bars denote actual score</a:t>
          </a:r>
          <a:endParaRPr lang="en-US" sz="1400">
            <a:effectLst/>
          </a:endParaRPr>
        </a:p>
      </xdr:txBody>
    </xdr:sp>
    <xdr:clientData/>
  </xdr:twoCellAnchor>
  <xdr:twoCellAnchor>
    <xdr:from>
      <xdr:col>17</xdr:col>
      <xdr:colOff>517527</xdr:colOff>
      <xdr:row>67</xdr:row>
      <xdr:rowOff>52916</xdr:rowOff>
    </xdr:from>
    <xdr:to>
      <xdr:col>17</xdr:col>
      <xdr:colOff>518583</xdr:colOff>
      <xdr:row>83</xdr:row>
      <xdr:rowOff>100544</xdr:rowOff>
    </xdr:to>
    <xdr:cxnSp macro="">
      <xdr:nvCxnSpPr>
        <xdr:cNvPr id="34" name="Straight Connector 30"/>
        <xdr:cNvCxnSpPr/>
      </xdr:nvCxnSpPr>
      <xdr:spPr>
        <a:xfrm flipV="1">
          <a:off x="8582027" y="10551583"/>
          <a:ext cx="1056" cy="2577044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506944</xdr:colOff>
      <xdr:row>109</xdr:row>
      <xdr:rowOff>14816</xdr:rowOff>
    </xdr:from>
    <xdr:to>
      <xdr:col>17</xdr:col>
      <xdr:colOff>522816</xdr:colOff>
      <xdr:row>124</xdr:row>
      <xdr:rowOff>47627</xdr:rowOff>
    </xdr:to>
    <xdr:cxnSp macro="">
      <xdr:nvCxnSpPr>
        <xdr:cNvPr id="40" name="Straight Connector 33"/>
        <xdr:cNvCxnSpPr/>
      </xdr:nvCxnSpPr>
      <xdr:spPr>
        <a:xfrm flipV="1">
          <a:off x="8571444" y="17022233"/>
          <a:ext cx="15872" cy="2414061"/>
        </a:xfrm>
        <a:prstGeom prst="line">
          <a:avLst/>
        </a:prstGeom>
        <a:ln w="12700">
          <a:solidFill>
            <a:schemeClr val="bg1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592667</xdr:colOff>
      <xdr:row>13</xdr:row>
      <xdr:rowOff>137584</xdr:rowOff>
    </xdr:from>
    <xdr:to>
      <xdr:col>19</xdr:col>
      <xdr:colOff>137583</xdr:colOff>
      <xdr:row>14</xdr:row>
      <xdr:rowOff>137584</xdr:rowOff>
    </xdr:to>
    <xdr:sp macro="" textlink="">
      <xdr:nvSpPr>
        <xdr:cNvPr id="4" name="Rettangolo 3"/>
        <xdr:cNvSpPr/>
      </xdr:nvSpPr>
      <xdr:spPr>
        <a:xfrm>
          <a:off x="9271000" y="2169584"/>
          <a:ext cx="158750" cy="1587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18</xdr:col>
      <xdr:colOff>596900</xdr:colOff>
      <xdr:row>15</xdr:row>
      <xdr:rowOff>88901</xdr:rowOff>
    </xdr:from>
    <xdr:to>
      <xdr:col>19</xdr:col>
      <xdr:colOff>141816</xdr:colOff>
      <xdr:row>16</xdr:row>
      <xdr:rowOff>88901</xdr:rowOff>
    </xdr:to>
    <xdr:sp macro="" textlink="">
      <xdr:nvSpPr>
        <xdr:cNvPr id="33" name="Rettangolo 32"/>
        <xdr:cNvSpPr/>
      </xdr:nvSpPr>
      <xdr:spPr>
        <a:xfrm>
          <a:off x="9275233" y="2438401"/>
          <a:ext cx="158750" cy="158750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2</xdr:row>
      <xdr:rowOff>57150</xdr:rowOff>
    </xdr:from>
    <xdr:to>
      <xdr:col>32</xdr:col>
      <xdr:colOff>247649</xdr:colOff>
      <xdr:row>41</xdr:row>
      <xdr:rowOff>85725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104775</xdr:colOff>
      <xdr:row>47</xdr:row>
      <xdr:rowOff>38100</xdr:rowOff>
    </xdr:from>
    <xdr:to>
      <xdr:col>15</xdr:col>
      <xdr:colOff>508000</xdr:colOff>
      <xdr:row>79</xdr:row>
      <xdr:rowOff>66675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47</xdr:row>
          <xdr:rowOff>85725</xdr:rowOff>
        </xdr:from>
        <xdr:to>
          <xdr:col>5</xdr:col>
          <xdr:colOff>0</xdr:colOff>
          <xdr:row>56</xdr:row>
          <xdr:rowOff>57150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Graphs All OpCo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84667</xdr:colOff>
      <xdr:row>47</xdr:row>
      <xdr:rowOff>10584</xdr:rowOff>
    </xdr:from>
    <xdr:to>
      <xdr:col>32</xdr:col>
      <xdr:colOff>264583</xdr:colOff>
      <xdr:row>79</xdr:row>
      <xdr:rowOff>74084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400582</xdr:colOff>
      <xdr:row>7</xdr:row>
      <xdr:rowOff>32808</xdr:rowOff>
    </xdr:from>
    <xdr:to>
      <xdr:col>9</xdr:col>
      <xdr:colOff>411164</xdr:colOff>
      <xdr:row>42</xdr:row>
      <xdr:rowOff>1058</xdr:rowOff>
    </xdr:to>
    <xdr:cxnSp macro="">
      <xdr:nvCxnSpPr>
        <xdr:cNvPr id="3" name="Connettore 1 2"/>
        <xdr:cNvCxnSpPr/>
      </xdr:nvCxnSpPr>
      <xdr:spPr>
        <a:xfrm flipH="1" flipV="1">
          <a:off x="457253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250828</xdr:colOff>
      <xdr:row>7</xdr:row>
      <xdr:rowOff>32808</xdr:rowOff>
    </xdr:from>
    <xdr:to>
      <xdr:col>11</xdr:col>
      <xdr:colOff>261410</xdr:colOff>
      <xdr:row>42</xdr:row>
      <xdr:rowOff>1058</xdr:rowOff>
    </xdr:to>
    <xdr:cxnSp macro="">
      <xdr:nvCxnSpPr>
        <xdr:cNvPr id="11" name="Connettore 1 10"/>
        <xdr:cNvCxnSpPr/>
      </xdr:nvCxnSpPr>
      <xdr:spPr>
        <a:xfrm flipH="1" flipV="1">
          <a:off x="5641978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83613</xdr:colOff>
      <xdr:row>7</xdr:row>
      <xdr:rowOff>23283</xdr:rowOff>
    </xdr:from>
    <xdr:to>
      <xdr:col>13</xdr:col>
      <xdr:colOff>94195</xdr:colOff>
      <xdr:row>41</xdr:row>
      <xdr:rowOff>86783</xdr:rowOff>
    </xdr:to>
    <xdr:cxnSp macro="">
      <xdr:nvCxnSpPr>
        <xdr:cNvPr id="12" name="Connettore 1 11"/>
        <xdr:cNvCxnSpPr/>
      </xdr:nvCxnSpPr>
      <xdr:spPr>
        <a:xfrm flipH="1" flipV="1">
          <a:off x="6693963" y="78528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556690</xdr:colOff>
      <xdr:row>7</xdr:row>
      <xdr:rowOff>32808</xdr:rowOff>
    </xdr:from>
    <xdr:to>
      <xdr:col>14</xdr:col>
      <xdr:colOff>567272</xdr:colOff>
      <xdr:row>42</xdr:row>
      <xdr:rowOff>1058</xdr:rowOff>
    </xdr:to>
    <xdr:cxnSp macro="">
      <xdr:nvCxnSpPr>
        <xdr:cNvPr id="13" name="Connettore 1 12"/>
        <xdr:cNvCxnSpPr/>
      </xdr:nvCxnSpPr>
      <xdr:spPr>
        <a:xfrm flipH="1" flipV="1">
          <a:off x="7776640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69486</xdr:colOff>
      <xdr:row>7</xdr:row>
      <xdr:rowOff>32808</xdr:rowOff>
    </xdr:from>
    <xdr:to>
      <xdr:col>18</xdr:col>
      <xdr:colOff>80068</xdr:colOff>
      <xdr:row>42</xdr:row>
      <xdr:rowOff>1058</xdr:rowOff>
    </xdr:to>
    <xdr:cxnSp macro="">
      <xdr:nvCxnSpPr>
        <xdr:cNvPr id="14" name="Connettore 1 13"/>
        <xdr:cNvCxnSpPr/>
      </xdr:nvCxnSpPr>
      <xdr:spPr>
        <a:xfrm flipH="1" flipV="1">
          <a:off x="8822961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152226</xdr:colOff>
      <xdr:row>7</xdr:row>
      <xdr:rowOff>32808</xdr:rowOff>
    </xdr:from>
    <xdr:to>
      <xdr:col>20</xdr:col>
      <xdr:colOff>162808</xdr:colOff>
      <xdr:row>42</xdr:row>
      <xdr:rowOff>1058</xdr:rowOff>
    </xdr:to>
    <xdr:cxnSp macro="">
      <xdr:nvCxnSpPr>
        <xdr:cNvPr id="15" name="Connettore 1 14"/>
        <xdr:cNvCxnSpPr/>
      </xdr:nvCxnSpPr>
      <xdr:spPr>
        <a:xfrm flipH="1" flipV="1">
          <a:off x="9610551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606425</xdr:colOff>
      <xdr:row>7</xdr:row>
      <xdr:rowOff>32808</xdr:rowOff>
    </xdr:from>
    <xdr:to>
      <xdr:col>22</xdr:col>
      <xdr:colOff>7407</xdr:colOff>
      <xdr:row>42</xdr:row>
      <xdr:rowOff>1058</xdr:rowOff>
    </xdr:to>
    <xdr:cxnSp macro="">
      <xdr:nvCxnSpPr>
        <xdr:cNvPr id="16" name="Connettore 1 15"/>
        <xdr:cNvCxnSpPr/>
      </xdr:nvCxnSpPr>
      <xdr:spPr>
        <a:xfrm flipH="1" flipV="1">
          <a:off x="10674350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179927</xdr:colOff>
      <xdr:row>7</xdr:row>
      <xdr:rowOff>32808</xdr:rowOff>
    </xdr:from>
    <xdr:to>
      <xdr:col>23</xdr:col>
      <xdr:colOff>190509</xdr:colOff>
      <xdr:row>42</xdr:row>
      <xdr:rowOff>1058</xdr:rowOff>
    </xdr:to>
    <xdr:cxnSp macro="">
      <xdr:nvCxnSpPr>
        <xdr:cNvPr id="17" name="Connettore 1 16"/>
        <xdr:cNvCxnSpPr/>
      </xdr:nvCxnSpPr>
      <xdr:spPr>
        <a:xfrm flipH="1" flipV="1">
          <a:off x="1146705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366917</xdr:colOff>
      <xdr:row>7</xdr:row>
      <xdr:rowOff>42333</xdr:rowOff>
    </xdr:from>
    <xdr:to>
      <xdr:col>24</xdr:col>
      <xdr:colOff>377499</xdr:colOff>
      <xdr:row>42</xdr:row>
      <xdr:rowOff>10583</xdr:rowOff>
    </xdr:to>
    <xdr:cxnSp macro="">
      <xdr:nvCxnSpPr>
        <xdr:cNvPr id="18" name="Connettore 1 17"/>
        <xdr:cNvCxnSpPr/>
      </xdr:nvCxnSpPr>
      <xdr:spPr>
        <a:xfrm flipH="1" flipV="1">
          <a:off x="12263642" y="80433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461443</xdr:colOff>
      <xdr:row>7</xdr:row>
      <xdr:rowOff>32808</xdr:rowOff>
    </xdr:from>
    <xdr:to>
      <xdr:col>26</xdr:col>
      <xdr:colOff>472025</xdr:colOff>
      <xdr:row>42</xdr:row>
      <xdr:rowOff>1058</xdr:rowOff>
    </xdr:to>
    <xdr:cxnSp macro="">
      <xdr:nvCxnSpPr>
        <xdr:cNvPr id="19" name="Connettore 1 18"/>
        <xdr:cNvCxnSpPr/>
      </xdr:nvCxnSpPr>
      <xdr:spPr>
        <a:xfrm flipH="1" flipV="1">
          <a:off x="13063018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333914</xdr:colOff>
      <xdr:row>7</xdr:row>
      <xdr:rowOff>32808</xdr:rowOff>
    </xdr:from>
    <xdr:to>
      <xdr:col>29</xdr:col>
      <xdr:colOff>344496</xdr:colOff>
      <xdr:row>42</xdr:row>
      <xdr:rowOff>1058</xdr:rowOff>
    </xdr:to>
    <xdr:cxnSp macro="">
      <xdr:nvCxnSpPr>
        <xdr:cNvPr id="20" name="Connettore 1 19"/>
        <xdr:cNvCxnSpPr/>
      </xdr:nvCxnSpPr>
      <xdr:spPr>
        <a:xfrm flipH="1" flipV="1">
          <a:off x="14126114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519112</xdr:colOff>
      <xdr:row>7</xdr:row>
      <xdr:rowOff>32808</xdr:rowOff>
    </xdr:from>
    <xdr:to>
      <xdr:col>30</xdr:col>
      <xdr:colOff>529694</xdr:colOff>
      <xdr:row>42</xdr:row>
      <xdr:rowOff>1058</xdr:rowOff>
    </xdr:to>
    <xdr:cxnSp macro="">
      <xdr:nvCxnSpPr>
        <xdr:cNvPr id="21" name="Connettore 1 20"/>
        <xdr:cNvCxnSpPr/>
      </xdr:nvCxnSpPr>
      <xdr:spPr>
        <a:xfrm flipH="1" flipV="1">
          <a:off x="14920912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104775</xdr:colOff>
      <xdr:row>7</xdr:row>
      <xdr:rowOff>32808</xdr:rowOff>
    </xdr:from>
    <xdr:to>
      <xdr:col>32</xdr:col>
      <xdr:colOff>115357</xdr:colOff>
      <xdr:row>42</xdr:row>
      <xdr:rowOff>1058</xdr:rowOff>
    </xdr:to>
    <xdr:cxnSp macro="">
      <xdr:nvCxnSpPr>
        <xdr:cNvPr id="22" name="Connettore 1 21"/>
        <xdr:cNvCxnSpPr/>
      </xdr:nvCxnSpPr>
      <xdr:spPr>
        <a:xfrm flipH="1" flipV="1">
          <a:off x="15725775" y="794808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225424</xdr:colOff>
      <xdr:row>7</xdr:row>
      <xdr:rowOff>23283</xdr:rowOff>
    </xdr:from>
    <xdr:to>
      <xdr:col>8</xdr:col>
      <xdr:colOff>236006</xdr:colOff>
      <xdr:row>41</xdr:row>
      <xdr:rowOff>86783</xdr:rowOff>
    </xdr:to>
    <xdr:cxnSp macro="">
      <xdr:nvCxnSpPr>
        <xdr:cNvPr id="23" name="Connettore 1 22"/>
        <xdr:cNvCxnSpPr/>
      </xdr:nvCxnSpPr>
      <xdr:spPr>
        <a:xfrm flipH="1" flipV="1">
          <a:off x="3787774" y="785283"/>
          <a:ext cx="10582" cy="3302000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212480</xdr:colOff>
      <xdr:row>52</xdr:row>
      <xdr:rowOff>31750</xdr:rowOff>
    </xdr:from>
    <xdr:to>
      <xdr:col>8</xdr:col>
      <xdr:colOff>221190</xdr:colOff>
      <xdr:row>79</xdr:row>
      <xdr:rowOff>21166</xdr:rowOff>
    </xdr:to>
    <xdr:cxnSp macro="">
      <xdr:nvCxnSpPr>
        <xdr:cNvPr id="24" name="Connettore 1 23"/>
        <xdr:cNvCxnSpPr/>
      </xdr:nvCxnSpPr>
      <xdr:spPr>
        <a:xfrm flipH="1" flipV="1">
          <a:off x="3774830" y="517525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300899</xdr:colOff>
      <xdr:row>52</xdr:row>
      <xdr:rowOff>31750</xdr:rowOff>
    </xdr:from>
    <xdr:to>
      <xdr:col>9</xdr:col>
      <xdr:colOff>309609</xdr:colOff>
      <xdr:row>79</xdr:row>
      <xdr:rowOff>21166</xdr:rowOff>
    </xdr:to>
    <xdr:cxnSp macro="">
      <xdr:nvCxnSpPr>
        <xdr:cNvPr id="26" name="Connettore 1 25"/>
        <xdr:cNvCxnSpPr/>
      </xdr:nvCxnSpPr>
      <xdr:spPr>
        <a:xfrm flipH="1" flipV="1">
          <a:off x="4472849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13513</xdr:colOff>
      <xdr:row>52</xdr:row>
      <xdr:rowOff>31750</xdr:rowOff>
    </xdr:from>
    <xdr:to>
      <xdr:col>11</xdr:col>
      <xdr:colOff>22223</xdr:colOff>
      <xdr:row>79</xdr:row>
      <xdr:rowOff>21166</xdr:rowOff>
    </xdr:to>
    <xdr:cxnSp macro="">
      <xdr:nvCxnSpPr>
        <xdr:cNvPr id="27" name="Connettore 1 26"/>
        <xdr:cNvCxnSpPr/>
      </xdr:nvCxnSpPr>
      <xdr:spPr>
        <a:xfrm flipH="1" flipV="1">
          <a:off x="5404663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336305</xdr:colOff>
      <xdr:row>52</xdr:row>
      <xdr:rowOff>31750</xdr:rowOff>
    </xdr:from>
    <xdr:to>
      <xdr:col>12</xdr:col>
      <xdr:colOff>345015</xdr:colOff>
      <xdr:row>79</xdr:row>
      <xdr:rowOff>21166</xdr:rowOff>
    </xdr:to>
    <xdr:cxnSp macro="">
      <xdr:nvCxnSpPr>
        <xdr:cNvPr id="28" name="Connettore 1 27"/>
        <xdr:cNvCxnSpPr/>
      </xdr:nvCxnSpPr>
      <xdr:spPr>
        <a:xfrm flipH="1" flipV="1">
          <a:off x="6337055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36989</xdr:colOff>
      <xdr:row>52</xdr:row>
      <xdr:rowOff>31750</xdr:rowOff>
    </xdr:from>
    <xdr:to>
      <xdr:col>14</xdr:col>
      <xdr:colOff>45699</xdr:colOff>
      <xdr:row>79</xdr:row>
      <xdr:rowOff>21166</xdr:rowOff>
    </xdr:to>
    <xdr:cxnSp macro="">
      <xdr:nvCxnSpPr>
        <xdr:cNvPr id="29" name="Connettore 1 28"/>
        <xdr:cNvCxnSpPr/>
      </xdr:nvCxnSpPr>
      <xdr:spPr>
        <a:xfrm flipH="1" flipV="1">
          <a:off x="7256939" y="508000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351122</xdr:colOff>
      <xdr:row>52</xdr:row>
      <xdr:rowOff>31750</xdr:rowOff>
    </xdr:from>
    <xdr:to>
      <xdr:col>15</xdr:col>
      <xdr:colOff>359832</xdr:colOff>
      <xdr:row>79</xdr:row>
      <xdr:rowOff>21166</xdr:rowOff>
    </xdr:to>
    <xdr:cxnSp macro="">
      <xdr:nvCxnSpPr>
        <xdr:cNvPr id="30" name="Connettore 1 29"/>
        <xdr:cNvCxnSpPr/>
      </xdr:nvCxnSpPr>
      <xdr:spPr>
        <a:xfrm flipH="1" flipV="1">
          <a:off x="8180672" y="5175250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194559</xdr:colOff>
      <xdr:row>52</xdr:row>
      <xdr:rowOff>8659</xdr:rowOff>
    </xdr:from>
    <xdr:to>
      <xdr:col>20</xdr:col>
      <xdr:colOff>203269</xdr:colOff>
      <xdr:row>78</xdr:row>
      <xdr:rowOff>93325</xdr:rowOff>
    </xdr:to>
    <xdr:cxnSp macro="">
      <xdr:nvCxnSpPr>
        <xdr:cNvPr id="31" name="Connettore 1 30"/>
        <xdr:cNvCxnSpPr/>
      </xdr:nvCxnSpPr>
      <xdr:spPr>
        <a:xfrm flipH="1" flipV="1">
          <a:off x="9694711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281251</xdr:colOff>
      <xdr:row>52</xdr:row>
      <xdr:rowOff>8659</xdr:rowOff>
    </xdr:from>
    <xdr:to>
      <xdr:col>21</xdr:col>
      <xdr:colOff>289961</xdr:colOff>
      <xdr:row>78</xdr:row>
      <xdr:rowOff>93325</xdr:rowOff>
    </xdr:to>
    <xdr:cxnSp macro="">
      <xdr:nvCxnSpPr>
        <xdr:cNvPr id="32" name="Connettore 1 31"/>
        <xdr:cNvCxnSpPr/>
      </xdr:nvCxnSpPr>
      <xdr:spPr>
        <a:xfrm flipH="1" flipV="1">
          <a:off x="10394316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612571</xdr:colOff>
      <xdr:row>52</xdr:row>
      <xdr:rowOff>8659</xdr:rowOff>
    </xdr:from>
    <xdr:to>
      <xdr:col>23</xdr:col>
      <xdr:colOff>8368</xdr:colOff>
      <xdr:row>78</xdr:row>
      <xdr:rowOff>93325</xdr:rowOff>
    </xdr:to>
    <xdr:cxnSp macro="">
      <xdr:nvCxnSpPr>
        <xdr:cNvPr id="33" name="Connettore 1 32"/>
        <xdr:cNvCxnSpPr/>
      </xdr:nvCxnSpPr>
      <xdr:spPr>
        <a:xfrm flipH="1" flipV="1">
          <a:off x="11338549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90761</xdr:colOff>
      <xdr:row>52</xdr:row>
      <xdr:rowOff>8659</xdr:rowOff>
    </xdr:from>
    <xdr:to>
      <xdr:col>24</xdr:col>
      <xdr:colOff>99471</xdr:colOff>
      <xdr:row>78</xdr:row>
      <xdr:rowOff>93325</xdr:rowOff>
    </xdr:to>
    <xdr:cxnSp macro="">
      <xdr:nvCxnSpPr>
        <xdr:cNvPr id="34" name="Connettore 1 33"/>
        <xdr:cNvCxnSpPr/>
      </xdr:nvCxnSpPr>
      <xdr:spPr>
        <a:xfrm flipH="1" flipV="1">
          <a:off x="11987486" y="5152159"/>
          <a:ext cx="8710" cy="2561166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91441</xdr:colOff>
      <xdr:row>52</xdr:row>
      <xdr:rowOff>8659</xdr:rowOff>
    </xdr:from>
    <xdr:to>
      <xdr:col>26</xdr:col>
      <xdr:colOff>100151</xdr:colOff>
      <xdr:row>78</xdr:row>
      <xdr:rowOff>93325</xdr:rowOff>
    </xdr:to>
    <xdr:cxnSp macro="">
      <xdr:nvCxnSpPr>
        <xdr:cNvPr id="35" name="Connettore 1 34"/>
        <xdr:cNvCxnSpPr/>
      </xdr:nvCxnSpPr>
      <xdr:spPr>
        <a:xfrm flipH="1" flipV="1">
          <a:off x="12755550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185270</xdr:colOff>
      <xdr:row>52</xdr:row>
      <xdr:rowOff>8659</xdr:rowOff>
    </xdr:from>
    <xdr:to>
      <xdr:col>27</xdr:col>
      <xdr:colOff>193980</xdr:colOff>
      <xdr:row>78</xdr:row>
      <xdr:rowOff>93325</xdr:rowOff>
    </xdr:to>
    <xdr:cxnSp macro="">
      <xdr:nvCxnSpPr>
        <xdr:cNvPr id="36" name="Connettore 1 35"/>
        <xdr:cNvCxnSpPr/>
      </xdr:nvCxnSpPr>
      <xdr:spPr>
        <a:xfrm flipH="1" flipV="1">
          <a:off x="13462292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540157</xdr:colOff>
      <xdr:row>52</xdr:row>
      <xdr:rowOff>8659</xdr:rowOff>
    </xdr:from>
    <xdr:to>
      <xdr:col>29</xdr:col>
      <xdr:colOff>548867</xdr:colOff>
      <xdr:row>78</xdr:row>
      <xdr:rowOff>93325</xdr:rowOff>
    </xdr:to>
    <xdr:cxnSp macro="">
      <xdr:nvCxnSpPr>
        <xdr:cNvPr id="37" name="Connettore 1 36"/>
        <xdr:cNvCxnSpPr/>
      </xdr:nvCxnSpPr>
      <xdr:spPr>
        <a:xfrm flipH="1" flipV="1">
          <a:off x="14405244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19740</xdr:colOff>
      <xdr:row>52</xdr:row>
      <xdr:rowOff>8659</xdr:rowOff>
    </xdr:from>
    <xdr:to>
      <xdr:col>31</xdr:col>
      <xdr:colOff>28450</xdr:colOff>
      <xdr:row>78</xdr:row>
      <xdr:rowOff>93325</xdr:rowOff>
    </xdr:to>
    <xdr:cxnSp macro="">
      <xdr:nvCxnSpPr>
        <xdr:cNvPr id="38" name="Connettore 1 37"/>
        <xdr:cNvCxnSpPr/>
      </xdr:nvCxnSpPr>
      <xdr:spPr>
        <a:xfrm flipH="1" flipV="1">
          <a:off x="15110653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127027</xdr:colOff>
      <xdr:row>52</xdr:row>
      <xdr:rowOff>8659</xdr:rowOff>
    </xdr:from>
    <xdr:to>
      <xdr:col>32</xdr:col>
      <xdr:colOff>135737</xdr:colOff>
      <xdr:row>78</xdr:row>
      <xdr:rowOff>93325</xdr:rowOff>
    </xdr:to>
    <xdr:cxnSp macro="">
      <xdr:nvCxnSpPr>
        <xdr:cNvPr id="39" name="Connettore 1 38"/>
        <xdr:cNvCxnSpPr/>
      </xdr:nvCxnSpPr>
      <xdr:spPr>
        <a:xfrm flipH="1" flipV="1">
          <a:off x="15830853" y="5268116"/>
          <a:ext cx="8710" cy="2668839"/>
        </a:xfrm>
        <a:prstGeom prst="line">
          <a:avLst/>
        </a:prstGeom>
        <a:ln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526677</xdr:colOff>
      <xdr:row>8</xdr:row>
      <xdr:rowOff>12325</xdr:rowOff>
    </xdr:from>
    <xdr:to>
      <xdr:col>36</xdr:col>
      <xdr:colOff>593911</xdr:colOff>
      <xdr:row>22</xdr:row>
      <xdr:rowOff>78441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876300</xdr:colOff>
      <xdr:row>4</xdr:row>
      <xdr:rowOff>161925</xdr:rowOff>
    </xdr:from>
    <xdr:to>
      <xdr:col>0</xdr:col>
      <xdr:colOff>5788188</xdr:colOff>
      <xdr:row>18</xdr:row>
      <xdr:rowOff>85301</xdr:rowOff>
    </xdr:to>
    <xdr:pic>
      <xdr:nvPicPr>
        <xdr:cNvPr id="5" name="Immagin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1209675"/>
          <a:ext cx="4911888" cy="2590376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609599</xdr:colOff>
      <xdr:row>20</xdr:row>
      <xdr:rowOff>32137</xdr:rowOff>
    </xdr:from>
    <xdr:to>
      <xdr:col>0</xdr:col>
      <xdr:colOff>6834963</xdr:colOff>
      <xdr:row>26</xdr:row>
      <xdr:rowOff>123825</xdr:rowOff>
    </xdr:to>
    <xdr:pic>
      <xdr:nvPicPr>
        <xdr:cNvPr id="2" name="Immagin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599" y="4127887"/>
          <a:ext cx="6225364" cy="12346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Relationship Id="rId6" Type="http://schemas.openxmlformats.org/officeDocument/2006/relationships/customProperty" Target="../customProperty9.bin"/><Relationship Id="rId5" Type="http://schemas.openxmlformats.org/officeDocument/2006/relationships/customProperty" Target="../customProperty8.bin"/><Relationship Id="rId4" Type="http://schemas.openxmlformats.org/officeDocument/2006/relationships/customProperty" Target="../customProperty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customProperty" Target="../customProperty11.bin"/><Relationship Id="rId1" Type="http://schemas.openxmlformats.org/officeDocument/2006/relationships/customProperty" Target="../customProperty10.bin"/><Relationship Id="rId4" Type="http://schemas.openxmlformats.org/officeDocument/2006/relationships/customProperty" Target="../customProperty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tabColor rgb="FF92D050"/>
  </sheetPr>
  <dimension ref="A1:Z32"/>
  <sheetViews>
    <sheetView tabSelected="1" zoomScale="80" zoomScaleNormal="80" workbookViewId="0">
      <selection activeCell="J22" sqref="J22"/>
    </sheetView>
  </sheetViews>
  <sheetFormatPr baseColWidth="10" defaultColWidth="9.140625" defaultRowHeight="15" x14ac:dyDescent="0.25"/>
  <cols>
    <col min="1" max="1" width="11.42578125" customWidth="1"/>
    <col min="2" max="2" width="24.28515625" customWidth="1"/>
    <col min="3" max="3" width="14.140625" bestFit="1" customWidth="1"/>
    <col min="4" max="4" width="12.42578125" bestFit="1" customWidth="1"/>
    <col min="6" max="6" width="11.28515625" bestFit="1" customWidth="1"/>
    <col min="7" max="7" width="11.85546875" bestFit="1" customWidth="1"/>
    <col min="8" max="8" width="17.140625" customWidth="1"/>
    <col min="9" max="9" width="11.28515625" customWidth="1"/>
    <col min="10" max="10" width="13.42578125" bestFit="1" customWidth="1"/>
    <col min="11" max="11" width="12.42578125" bestFit="1" customWidth="1"/>
    <col min="12" max="12" width="10.5703125" customWidth="1"/>
    <col min="17" max="17" width="11.85546875" customWidth="1"/>
    <col min="18" max="18" width="12.42578125" bestFit="1" customWidth="1"/>
    <col min="24" max="24" width="13.42578125" bestFit="1" customWidth="1"/>
    <col min="25" max="25" width="12.42578125" bestFit="1" customWidth="1"/>
  </cols>
  <sheetData>
    <row r="1" spans="1:7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t="s">
        <v>7</v>
      </c>
      <c r="B2" t="s">
        <v>10</v>
      </c>
      <c r="C2" s="1">
        <v>1</v>
      </c>
      <c r="D2">
        <f>C2*C23</f>
        <v>400</v>
      </c>
      <c r="E2">
        <f>C2*C20</f>
        <v>240</v>
      </c>
      <c r="F2">
        <f>C2*C21</f>
        <v>80</v>
      </c>
      <c r="G2">
        <f>C2*C22</f>
        <v>80</v>
      </c>
    </row>
    <row r="3" spans="1:7" x14ac:dyDescent="0.25">
      <c r="C3" s="1"/>
      <c r="E3" s="47"/>
      <c r="F3" s="47"/>
      <c r="G3" s="47"/>
    </row>
    <row r="4" spans="1:7" x14ac:dyDescent="0.25">
      <c r="A4" t="s">
        <v>8</v>
      </c>
      <c r="C4" s="1">
        <f>C2</f>
        <v>1</v>
      </c>
    </row>
    <row r="5" spans="1:7" x14ac:dyDescent="0.25">
      <c r="C5" s="1"/>
    </row>
    <row r="6" spans="1:7" x14ac:dyDescent="0.25">
      <c r="A6" t="s">
        <v>9</v>
      </c>
      <c r="B6" t="s">
        <v>38</v>
      </c>
      <c r="C6" s="1">
        <v>0.1</v>
      </c>
      <c r="D6">
        <f t="shared" ref="D6:D12" si="0">C6*$D$23</f>
        <v>60</v>
      </c>
      <c r="E6">
        <f t="shared" ref="E6:E12" si="1">C6*$D$20</f>
        <v>36</v>
      </c>
      <c r="F6">
        <f t="shared" ref="F6:F12" si="2">C6*$D$21</f>
        <v>12</v>
      </c>
      <c r="G6">
        <f t="shared" ref="G6:G12" si="3">C6*$D$22</f>
        <v>12</v>
      </c>
    </row>
    <row r="7" spans="1:7" x14ac:dyDescent="0.25">
      <c r="A7" t="s">
        <v>9</v>
      </c>
      <c r="B7" t="s">
        <v>11</v>
      </c>
      <c r="C7" s="1">
        <v>0.25</v>
      </c>
      <c r="D7">
        <f t="shared" si="0"/>
        <v>150</v>
      </c>
      <c r="E7">
        <f t="shared" si="1"/>
        <v>90</v>
      </c>
      <c r="F7">
        <f t="shared" si="2"/>
        <v>30</v>
      </c>
      <c r="G7">
        <f t="shared" si="3"/>
        <v>30</v>
      </c>
    </row>
    <row r="8" spans="1:7" x14ac:dyDescent="0.25">
      <c r="A8" t="s">
        <v>9</v>
      </c>
      <c r="B8" t="s">
        <v>12</v>
      </c>
      <c r="C8" s="1">
        <v>0.1</v>
      </c>
      <c r="D8">
        <f t="shared" si="0"/>
        <v>60</v>
      </c>
      <c r="E8">
        <f t="shared" si="1"/>
        <v>36</v>
      </c>
      <c r="F8">
        <f t="shared" si="2"/>
        <v>12</v>
      </c>
      <c r="G8">
        <f t="shared" si="3"/>
        <v>12</v>
      </c>
    </row>
    <row r="9" spans="1:7" x14ac:dyDescent="0.25">
      <c r="A9" t="s">
        <v>9</v>
      </c>
      <c r="B9" t="s">
        <v>13</v>
      </c>
      <c r="C9" s="1">
        <v>0.1</v>
      </c>
      <c r="D9">
        <f t="shared" si="0"/>
        <v>60</v>
      </c>
      <c r="E9">
        <f t="shared" si="1"/>
        <v>36</v>
      </c>
      <c r="F9">
        <f t="shared" si="2"/>
        <v>12</v>
      </c>
      <c r="G9">
        <f t="shared" si="3"/>
        <v>12</v>
      </c>
    </row>
    <row r="10" spans="1:7" x14ac:dyDescent="0.25">
      <c r="A10" t="s">
        <v>9</v>
      </c>
      <c r="B10" t="s">
        <v>14</v>
      </c>
      <c r="C10" s="1">
        <v>0.1</v>
      </c>
      <c r="D10">
        <f t="shared" si="0"/>
        <v>60</v>
      </c>
      <c r="E10">
        <f t="shared" si="1"/>
        <v>36</v>
      </c>
      <c r="F10">
        <f t="shared" si="2"/>
        <v>12</v>
      </c>
      <c r="G10">
        <f t="shared" si="3"/>
        <v>12</v>
      </c>
    </row>
    <row r="11" spans="1:7" x14ac:dyDescent="0.25">
      <c r="A11" t="s">
        <v>9</v>
      </c>
      <c r="B11" t="s">
        <v>15</v>
      </c>
      <c r="C11" s="1">
        <v>0.1</v>
      </c>
      <c r="D11">
        <f t="shared" si="0"/>
        <v>60</v>
      </c>
      <c r="E11">
        <f t="shared" si="1"/>
        <v>36</v>
      </c>
      <c r="F11">
        <f t="shared" si="2"/>
        <v>12</v>
      </c>
      <c r="G11">
        <f t="shared" si="3"/>
        <v>12</v>
      </c>
    </row>
    <row r="12" spans="1:7" x14ac:dyDescent="0.25">
      <c r="A12" t="s">
        <v>9</v>
      </c>
      <c r="B12" t="s">
        <v>16</v>
      </c>
      <c r="C12" s="1">
        <v>0.25</v>
      </c>
      <c r="D12">
        <f t="shared" si="0"/>
        <v>150</v>
      </c>
      <c r="E12">
        <f t="shared" si="1"/>
        <v>90</v>
      </c>
      <c r="F12">
        <f t="shared" si="2"/>
        <v>30</v>
      </c>
      <c r="G12">
        <f t="shared" si="3"/>
        <v>30</v>
      </c>
    </row>
    <row r="13" spans="1:7" x14ac:dyDescent="0.25">
      <c r="C13" s="1"/>
    </row>
    <row r="14" spans="1:7" x14ac:dyDescent="0.25">
      <c r="A14" t="s">
        <v>8</v>
      </c>
      <c r="C14" s="1">
        <f>SUM(C6:C12)</f>
        <v>0.99999999999999989</v>
      </c>
      <c r="D14">
        <f>SUM(D6:D12)</f>
        <v>600</v>
      </c>
      <c r="E14">
        <f>SUM(E6:E12)</f>
        <v>360</v>
      </c>
      <c r="F14">
        <f>SUM(F6:F12)</f>
        <v>120</v>
      </c>
      <c r="G14">
        <f>SUM(G6:G12)</f>
        <v>120</v>
      </c>
    </row>
    <row r="16" spans="1:7" ht="15.75" thickBot="1" x14ac:dyDescent="0.3"/>
    <row r="17" spans="2:26" x14ac:dyDescent="0.25">
      <c r="B17" s="297" t="s">
        <v>276</v>
      </c>
      <c r="C17" s="298"/>
      <c r="D17" s="298"/>
      <c r="E17" s="299"/>
      <c r="H17" s="303" t="s">
        <v>346</v>
      </c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2:26" ht="15.75" thickBot="1" x14ac:dyDescent="0.3">
      <c r="B18" s="300"/>
      <c r="C18" s="301"/>
      <c r="D18" s="301"/>
      <c r="E18" s="302"/>
      <c r="H18" s="306"/>
      <c r="I18" s="307"/>
      <c r="J18" s="307"/>
      <c r="K18" s="307"/>
      <c r="L18" s="307"/>
      <c r="M18" s="307"/>
      <c r="N18" s="307"/>
      <c r="O18" s="307"/>
      <c r="P18" s="307"/>
      <c r="Q18" s="307"/>
      <c r="R18" s="308"/>
    </row>
    <row r="19" spans="2:26" x14ac:dyDescent="0.25">
      <c r="B19" s="11"/>
      <c r="C19" s="10" t="s">
        <v>43</v>
      </c>
      <c r="D19" s="10" t="s">
        <v>44</v>
      </c>
      <c r="E19" s="9" t="s">
        <v>42</v>
      </c>
      <c r="H19" s="121" t="s">
        <v>465</v>
      </c>
      <c r="I19" s="114"/>
      <c r="J19" s="114"/>
      <c r="K19" s="114"/>
      <c r="L19" s="114"/>
      <c r="M19" s="114"/>
      <c r="N19" s="114"/>
      <c r="O19" s="114"/>
      <c r="P19" s="114"/>
      <c r="Q19" s="114"/>
      <c r="R19" s="115"/>
    </row>
    <row r="20" spans="2:26" x14ac:dyDescent="0.25">
      <c r="B20" s="12" t="s">
        <v>39</v>
      </c>
      <c r="C20" s="10">
        <v>240</v>
      </c>
      <c r="D20" s="10">
        <v>360</v>
      </c>
      <c r="E20" s="14">
        <f>SUM(C20:D20)</f>
        <v>600</v>
      </c>
      <c r="H20" s="116"/>
      <c r="I20" s="117"/>
      <c r="J20" s="117"/>
      <c r="K20" s="117"/>
      <c r="L20" s="117"/>
      <c r="M20" s="122" t="s">
        <v>456</v>
      </c>
      <c r="N20" s="117"/>
      <c r="O20" s="122" t="s">
        <v>457</v>
      </c>
      <c r="P20" s="117"/>
      <c r="Q20" s="122" t="s">
        <v>458</v>
      </c>
      <c r="R20" s="118"/>
    </row>
    <row r="21" spans="2:26" x14ac:dyDescent="0.25">
      <c r="B21" s="12" t="s">
        <v>40</v>
      </c>
      <c r="C21" s="10">
        <v>80</v>
      </c>
      <c r="D21" s="10">
        <v>120</v>
      </c>
      <c r="E21" s="14">
        <f>SUM(C21:D21)</f>
        <v>200</v>
      </c>
      <c r="H21" s="123" t="s">
        <v>469</v>
      </c>
      <c r="I21" s="117"/>
      <c r="J21" s="117"/>
      <c r="K21" s="125" t="s">
        <v>466</v>
      </c>
      <c r="L21" s="117"/>
      <c r="M21" s="117"/>
      <c r="N21" s="117"/>
      <c r="O21" s="117"/>
      <c r="P21" s="117"/>
      <c r="Q21" s="117"/>
      <c r="R21" s="118"/>
    </row>
    <row r="22" spans="2:26" x14ac:dyDescent="0.25">
      <c r="B22" s="12" t="s">
        <v>41</v>
      </c>
      <c r="C22" s="10">
        <v>80</v>
      </c>
      <c r="D22" s="10">
        <v>120</v>
      </c>
      <c r="E22" s="14">
        <f>SUM(C22:D22)</f>
        <v>200</v>
      </c>
      <c r="H22" s="116"/>
      <c r="I22" s="117"/>
      <c r="J22" s="117"/>
      <c r="K22" s="126"/>
      <c r="L22" s="117"/>
      <c r="M22" s="117"/>
      <c r="N22" s="117"/>
      <c r="O22" s="117"/>
      <c r="P22" s="117"/>
      <c r="Q22" s="117"/>
      <c r="R22" s="118"/>
    </row>
    <row r="23" spans="2:26" ht="15.75" thickBot="1" x14ac:dyDescent="0.3">
      <c r="B23" s="13" t="s">
        <v>42</v>
      </c>
      <c r="C23" s="16">
        <f>SUM(C20:C22)</f>
        <v>400</v>
      </c>
      <c r="D23" s="16">
        <f>SUM(D20:D22)</f>
        <v>600</v>
      </c>
      <c r="E23" s="15">
        <f>SUM(C23:D23)</f>
        <v>1000</v>
      </c>
      <c r="H23" s="123" t="s">
        <v>470</v>
      </c>
      <c r="I23" s="117"/>
      <c r="J23" s="117"/>
      <c r="K23" s="125" t="s">
        <v>467</v>
      </c>
      <c r="L23" s="117"/>
      <c r="M23" s="117"/>
      <c r="N23" s="117"/>
      <c r="O23" s="117"/>
      <c r="P23" s="117"/>
      <c r="Q23" s="117"/>
      <c r="R23" s="118"/>
    </row>
    <row r="24" spans="2:26" ht="15.75" thickBot="1" x14ac:dyDescent="0.3">
      <c r="H24" s="124"/>
      <c r="I24" s="119"/>
      <c r="J24" s="119"/>
      <c r="K24" s="119"/>
      <c r="L24" s="119"/>
      <c r="M24" s="119"/>
      <c r="N24" s="119"/>
      <c r="O24" s="119"/>
      <c r="P24" s="119"/>
      <c r="Q24" s="119"/>
      <c r="R24" s="120"/>
    </row>
    <row r="25" spans="2:26" ht="15.75" thickBot="1" x14ac:dyDescent="0.3"/>
    <row r="26" spans="2:26" x14ac:dyDescent="0.25">
      <c r="B26" s="291" t="str">
        <f>CONCATENATE("Breakdown per categories ",CONFIG!B16)</f>
        <v>Breakdown per categories VODAFONE</v>
      </c>
      <c r="C26" s="292"/>
      <c r="D26" s="292"/>
      <c r="E26" s="293"/>
      <c r="I26" s="291" t="str">
        <f>CONCATENATE("Breakdown per categories ",CONFIG!C16)</f>
        <v>Breakdown per categories MOVISTAR</v>
      </c>
      <c r="J26" s="292"/>
      <c r="K26" s="292"/>
      <c r="L26" s="293"/>
      <c r="P26" s="291" t="str">
        <f>CONCATENATE("Breakdown per categories ",CONFIG!D16)</f>
        <v>Breakdown per categories ORANGE</v>
      </c>
      <c r="Q26" s="292"/>
      <c r="R26" s="292"/>
      <c r="S26" s="293"/>
      <c r="W26" s="291" t="str">
        <f>IF(CONFIG!E16 &lt;&gt; 0,CONCATENATE("Breakdown per categories ",CONFIG!E16),"N/A")</f>
        <v>Breakdown per categories YOIGO</v>
      </c>
      <c r="X26" s="292"/>
      <c r="Y26" s="292"/>
      <c r="Z26" s="293"/>
    </row>
    <row r="27" spans="2:26" ht="15.75" thickBot="1" x14ac:dyDescent="0.3">
      <c r="B27" s="294"/>
      <c r="C27" s="295"/>
      <c r="D27" s="295"/>
      <c r="E27" s="296"/>
      <c r="I27" s="294"/>
      <c r="J27" s="295"/>
      <c r="K27" s="295"/>
      <c r="L27" s="296"/>
      <c r="P27" s="294"/>
      <c r="Q27" s="295"/>
      <c r="R27" s="295"/>
      <c r="S27" s="296"/>
      <c r="W27" s="294"/>
      <c r="X27" s="295"/>
      <c r="Y27" s="295"/>
      <c r="Z27" s="296"/>
    </row>
    <row r="28" spans="2:26" x14ac:dyDescent="0.25">
      <c r="B28" s="55"/>
      <c r="C28" s="49" t="s">
        <v>43</v>
      </c>
      <c r="D28" s="55" t="s">
        <v>44</v>
      </c>
      <c r="E28" s="49" t="s">
        <v>42</v>
      </c>
      <c r="I28" s="55"/>
      <c r="J28" s="49" t="s">
        <v>43</v>
      </c>
      <c r="K28" s="55" t="s">
        <v>44</v>
      </c>
      <c r="L28" s="49" t="s">
        <v>42</v>
      </c>
      <c r="P28" s="55"/>
      <c r="Q28" s="49" t="s">
        <v>43</v>
      </c>
      <c r="R28" s="55" t="s">
        <v>44</v>
      </c>
      <c r="S28" s="49" t="s">
        <v>42</v>
      </c>
      <c r="W28" s="55"/>
      <c r="X28" s="49" t="s">
        <v>43</v>
      </c>
      <c r="Y28" s="55" t="s">
        <v>44</v>
      </c>
      <c r="Z28" s="49" t="s">
        <v>42</v>
      </c>
    </row>
    <row r="29" spans="2:26" x14ac:dyDescent="0.25">
      <c r="B29" s="50" t="s">
        <v>39</v>
      </c>
      <c r="C29" s="58">
        <f>$E$2*MF_VF!$S$10</f>
        <v>219.00801231433869</v>
      </c>
      <c r="D29" s="51">
        <f>(E6*MF_VF!S26)+(E7*MF_VF!S19)+(E8*MF_VF!S34)+(E9*MF_VF!S42)+(E10*MF_VF!S50)+(E11*MF_VF!S58)+(E12*MF_VF!S66)</f>
        <v>327.22503220471754</v>
      </c>
      <c r="E29" s="58">
        <f>C29+D29</f>
        <v>546.23304451905619</v>
      </c>
      <c r="I29" s="50" t="s">
        <v>39</v>
      </c>
      <c r="J29" s="58">
        <f>$E$2*MF_OP1!$S$10</f>
        <v>170.54532263690089</v>
      </c>
      <c r="K29" s="51">
        <f>(E6*MF_OP1!S26)+(E7*MF_OP1!S19)+(E8*MF_OP1!S34)+(E9*MF_OP1!S42)+(E10*MF_OP1!S50)+(E11*MF_OP1!S58)+(E12*MF_OP1!S66)</f>
        <v>323.09755697258987</v>
      </c>
      <c r="L29" s="58">
        <f>J29+K29</f>
        <v>493.64287960949076</v>
      </c>
      <c r="P29" s="50" t="s">
        <v>39</v>
      </c>
      <c r="Q29" s="58">
        <f>$E$2*MF_OP2!$S$10</f>
        <v>201.2300736491797</v>
      </c>
      <c r="R29" s="51">
        <f>(E6*MF_OP2!S26)+(E7*MF_OP2!S19)+(E8*MF_OP2!S34)+(E9*MF_OP2!S42)+(E10*MF_OP2!S50)+(E11*MF_OP2!S58)+(E12*MF_OP2!S66)</f>
        <v>311.46169045140817</v>
      </c>
      <c r="S29" s="58">
        <f>Q29+R29</f>
        <v>512.69176410058787</v>
      </c>
      <c r="W29" s="50" t="s">
        <v>39</v>
      </c>
      <c r="X29" s="58">
        <f>$E$2*MF_OP3!$S$10</f>
        <v>155.96978751296058</v>
      </c>
      <c r="Y29" s="51">
        <f>(E6*MF_OP3!S26)+(E7*MF_OP3!S19)+(E8*MF_OP3!S34)+(E9*MF_OP3!S42)+(E10*MF_OP3!S50)+(E11*MF_OP3!S58)+(E12*MF_OP3!S66)</f>
        <v>278.22681426854848</v>
      </c>
      <c r="Z29" s="58">
        <f>X29+Y29</f>
        <v>434.19660178150906</v>
      </c>
    </row>
    <row r="30" spans="2:26" x14ac:dyDescent="0.25">
      <c r="B30" s="57" t="s">
        <v>40</v>
      </c>
      <c r="C30" s="58">
        <f>$F$2*MF_VF!$T$10</f>
        <v>71.005205312768211</v>
      </c>
      <c r="D30" s="58">
        <f>(F6*MF_VF!T26)+(F7*MF_VF!T19)+(F8*MF_VF!T34)+(F9*MF_VF!T42)+(F10*MF_VF!T50)+(F11*MF_VF!T58)+(F12*MF_VF!T66)</f>
        <v>110.15775291644781</v>
      </c>
      <c r="E30" s="58">
        <f t="shared" ref="E30:E31" si="4">C30+D30</f>
        <v>181.16295822921603</v>
      </c>
      <c r="I30" s="57" t="s">
        <v>40</v>
      </c>
      <c r="J30" s="58">
        <f>$F$2*MF_OP1!$T$10</f>
        <v>53.62437742978355</v>
      </c>
      <c r="K30" s="58">
        <f>(F6*MF_OP1!T26)+(F7*MF_OP1!T19)+(F8*MF_OP1!T34)+(F9*MF_OP1!T42)+(F10*MF_OP1!T50)+(F11*MF_OP1!T58)+(F12*MF_OP1!T66)</f>
        <v>109.05093795361026</v>
      </c>
      <c r="L30" s="58">
        <f t="shared" ref="L30:L31" si="5">J30+K30</f>
        <v>162.67531538339381</v>
      </c>
      <c r="P30" s="57" t="s">
        <v>40</v>
      </c>
      <c r="Q30" s="58">
        <f>$F$2*MF_OP2!$T$10</f>
        <v>68.045165528011736</v>
      </c>
      <c r="R30" s="58">
        <f>(F6*MF_OP2!T26)+(F7*MF_OP2!T19)+(F8*MF_OP2!T34)+(F9*MF_OP2!T42)+(F10*MF_OP2!T50)+(F11*MF_OP2!T58)+(F12*MF_OP2!T66)</f>
        <v>102.34656282278993</v>
      </c>
      <c r="S30" s="58">
        <f t="shared" ref="S30:S31" si="6">Q30+R30</f>
        <v>170.39172835080166</v>
      </c>
      <c r="W30" s="57" t="s">
        <v>40</v>
      </c>
      <c r="X30" s="58">
        <f>$F$2*MF_OP3!$T$10</f>
        <v>57.332883745820347</v>
      </c>
      <c r="Y30" s="58">
        <f>(F6*MF_OP3!T26)+(F7*MF_OP3!T19)+(F8*MF_OP3!T34)+(F9*MF_OP3!T42)+(F10*MF_OP3!T50)+(F11*MF_OP3!T58)+(F12*MF_OP3!T66)</f>
        <v>94.166084222669852</v>
      </c>
      <c r="Z30" s="58">
        <f t="shared" ref="Z30:Z31" si="7">X30+Y30</f>
        <v>151.49896796849021</v>
      </c>
    </row>
    <row r="31" spans="2:26" x14ac:dyDescent="0.25">
      <c r="B31" s="50" t="s">
        <v>41</v>
      </c>
      <c r="C31" s="58">
        <f>$G$2*MF_VF!$U$10</f>
        <v>59.717250342144297</v>
      </c>
      <c r="D31" s="58">
        <f>(G6*MF_VF!U26)+(G7*MF_VF!U19)+(G8*MF_VF!U34)+(G9*MF_VF!U42)+(G10*MF_VF!U50)+(G11*MF_VF!U58)+(G12*MF_VF!U66)</f>
        <v>98.470201044842355</v>
      </c>
      <c r="E31" s="51">
        <f t="shared" si="4"/>
        <v>158.18745138698665</v>
      </c>
      <c r="I31" s="50" t="s">
        <v>41</v>
      </c>
      <c r="J31" s="58">
        <f>$G$2*MF_OP1!$U$10</f>
        <v>59.717250342144297</v>
      </c>
      <c r="K31" s="58">
        <f>(G6*MF_OP1!U26)+(G7*MF_OP1!U19)+(G8*MF_OP1!U34)+(G9*MF_OP1!U42)+(G10*MF_OP1!U50)+(G11*MF_OP1!U58)+(G12*MF_OP1!U66)</f>
        <v>94.808538493680999</v>
      </c>
      <c r="L31" s="51">
        <f t="shared" si="5"/>
        <v>154.5257888358253</v>
      </c>
      <c r="P31" s="50" t="s">
        <v>41</v>
      </c>
      <c r="Q31" s="58">
        <f>$G$2*MF_OP2!$U$10</f>
        <v>49.322661383544855</v>
      </c>
      <c r="R31" s="58">
        <f>(G6*MF_OP2!U26)+(G7*MF_OP2!U19)+(G8*MF_OP2!U34)+(G9*MF_OP2!U42)+(G10*MF_OP2!U50)+(G11*MF_OP2!U58)+(G12*MF_OP2!U66)</f>
        <v>89.023230873917726</v>
      </c>
      <c r="S31" s="51">
        <f t="shared" si="6"/>
        <v>138.34589225746259</v>
      </c>
      <c r="W31" s="50" t="s">
        <v>41</v>
      </c>
      <c r="X31" s="58">
        <f>$G$2*MF_OP3!$U$10</f>
        <v>16.819595034634567</v>
      </c>
      <c r="Y31" s="58">
        <f>(G6*MF_OP3!U26)+(G7*MF_OP3!U19)+(G8*MF_OP3!U34)+(G9*MF_OP3!U42)+(G10*MF_OP3!U50)+(G11*MF_OP3!U58)+(G12*MF_OP3!U66)</f>
        <v>78.023760380893393</v>
      </c>
      <c r="Z31" s="51">
        <f t="shared" si="7"/>
        <v>94.843355415527952</v>
      </c>
    </row>
    <row r="32" spans="2:26" ht="15.75" thickBot="1" x14ac:dyDescent="0.3">
      <c r="B32" s="56" t="s">
        <v>42</v>
      </c>
      <c r="C32" s="60">
        <f>SUM(C29:C31)</f>
        <v>349.73046796925121</v>
      </c>
      <c r="D32" s="60">
        <f>SUM(D29:D31)</f>
        <v>535.85298616600767</v>
      </c>
      <c r="E32" s="59">
        <f>C32+D32</f>
        <v>885.58345413525888</v>
      </c>
      <c r="I32" s="56" t="s">
        <v>42</v>
      </c>
      <c r="J32" s="60">
        <f>SUM(J29:J31)</f>
        <v>283.88695040882874</v>
      </c>
      <c r="K32" s="60">
        <f>SUM(K29:K31)</f>
        <v>526.9570334198811</v>
      </c>
      <c r="L32" s="59">
        <f>J32+K32</f>
        <v>810.84398382870984</v>
      </c>
      <c r="P32" s="56" t="s">
        <v>42</v>
      </c>
      <c r="Q32" s="60">
        <f>SUM(Q29:Q31)</f>
        <v>318.59790056073632</v>
      </c>
      <c r="R32" s="60">
        <f>SUM(R29:R31)</f>
        <v>502.83148414811586</v>
      </c>
      <c r="S32" s="59">
        <f>Q32+R32</f>
        <v>821.42938470885224</v>
      </c>
      <c r="W32" s="56" t="s">
        <v>42</v>
      </c>
      <c r="X32" s="60">
        <f>SUM(X29:X31)</f>
        <v>230.12226629341549</v>
      </c>
      <c r="Y32" s="60">
        <f>SUM(Y29:Y31)</f>
        <v>450.41665887211173</v>
      </c>
      <c r="Z32" s="59">
        <f>X32+Y32</f>
        <v>680.53892516552719</v>
      </c>
    </row>
  </sheetData>
  <mergeCells count="6">
    <mergeCell ref="W26:Z27"/>
    <mergeCell ref="B17:E18"/>
    <mergeCell ref="B26:E27"/>
    <mergeCell ref="I26:L27"/>
    <mergeCell ref="P26:S27"/>
    <mergeCell ref="H17:R18"/>
  </mergeCells>
  <conditionalFormatting sqref="W28:Z32">
    <cfRule type="expression" dxfId="1" priority="2">
      <formula>IF($W$26 = "N/A", TRUE, FALSE)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Opco">
                <anchor moveWithCells="1">
                  <from>
                    <xdr:col>8</xdr:col>
                    <xdr:colOff>19050</xdr:colOff>
                    <xdr:row>18</xdr:row>
                    <xdr:rowOff>19050</xdr:rowOff>
                  </from>
                  <to>
                    <xdr:col>9</xdr:col>
                    <xdr:colOff>152400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Drop Down 3">
              <controlPr defaultSize="0" autoLine="0" autoPict="0" altText="Opco">
                <anchor moveWithCells="1">
                  <from>
                    <xdr:col>12</xdr:col>
                    <xdr:colOff>38100</xdr:colOff>
                    <xdr:row>20</xdr:row>
                    <xdr:rowOff>28575</xdr:rowOff>
                  </from>
                  <to>
                    <xdr:col>13</xdr:col>
                    <xdr:colOff>361950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 altText="Opco">
                <anchor moveWithCells="1">
                  <from>
                    <xdr:col>12</xdr:col>
                    <xdr:colOff>38100</xdr:colOff>
                    <xdr:row>21</xdr:row>
                    <xdr:rowOff>180975</xdr:rowOff>
                  </from>
                  <to>
                    <xdr:col>13</xdr:col>
                    <xdr:colOff>361950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 altText="Opco">
                <anchor moveWithCells="1">
                  <from>
                    <xdr:col>8</xdr:col>
                    <xdr:colOff>9525</xdr:colOff>
                    <xdr:row>19</xdr:row>
                    <xdr:rowOff>180975</xdr:rowOff>
                  </from>
                  <to>
                    <xdr:col>9</xdr:col>
                    <xdr:colOff>638175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8</xdr:col>
                    <xdr:colOff>19050</xdr:colOff>
                    <xdr:row>21</xdr:row>
                    <xdr:rowOff>171450</xdr:rowOff>
                  </from>
                  <to>
                    <xdr:col>9</xdr:col>
                    <xdr:colOff>647700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Drop Down 7">
              <controlPr defaultSize="0" autoLine="0" autoPict="0" altText="Opco">
                <anchor moveWithCells="1">
                  <from>
                    <xdr:col>14</xdr:col>
                    <xdr:colOff>28575</xdr:colOff>
                    <xdr:row>20</xdr:row>
                    <xdr:rowOff>28575</xdr:rowOff>
                  </from>
                  <to>
                    <xdr:col>15</xdr:col>
                    <xdr:colOff>361950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Drop Down 8">
              <controlPr defaultSize="0" autoLine="0" autoPict="0" altText="Opco">
                <anchor moveWithCells="1">
                  <from>
                    <xdr:col>14</xdr:col>
                    <xdr:colOff>28575</xdr:colOff>
                    <xdr:row>21</xdr:row>
                    <xdr:rowOff>180975</xdr:rowOff>
                  </from>
                  <to>
                    <xdr:col>15</xdr:col>
                    <xdr:colOff>361950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Drop Down 9">
              <controlPr defaultSize="0" autoLine="0" autoPict="0" altText="Opco">
                <anchor moveWithCells="1">
                  <from>
                    <xdr:col>16</xdr:col>
                    <xdr:colOff>47625</xdr:colOff>
                    <xdr:row>20</xdr:row>
                    <xdr:rowOff>28575</xdr:rowOff>
                  </from>
                  <to>
                    <xdr:col>17</xdr:col>
                    <xdr:colOff>190500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Drop Down 10">
              <controlPr defaultSize="0" autoLine="0" autoPict="0" altText="Opco">
                <anchor moveWithCells="1">
                  <from>
                    <xdr:col>16</xdr:col>
                    <xdr:colOff>47625</xdr:colOff>
                    <xdr:row>21</xdr:row>
                    <xdr:rowOff>180975</xdr:rowOff>
                  </from>
                  <to>
                    <xdr:col>17</xdr:col>
                    <xdr:colOff>190500</xdr:colOff>
                    <xdr:row>22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>
    <tabColor rgb="FF92D050"/>
  </sheetPr>
  <dimension ref="B2:X195"/>
  <sheetViews>
    <sheetView zoomScale="90" zoomScaleNormal="90" workbookViewId="0">
      <selection activeCell="H13" sqref="H13"/>
    </sheetView>
  </sheetViews>
  <sheetFormatPr baseColWidth="10" defaultColWidth="9.140625" defaultRowHeight="12.75" x14ac:dyDescent="0.2"/>
  <cols>
    <col min="1" max="1" width="2.7109375" style="142" customWidth="1"/>
    <col min="2" max="2" width="1.7109375" style="142" customWidth="1"/>
    <col min="3" max="3" width="2.7109375" style="142" customWidth="1"/>
    <col min="4" max="4" width="2.42578125" style="142" customWidth="1"/>
    <col min="5" max="5" width="5.5703125" style="142" customWidth="1"/>
    <col min="6" max="6" width="4.28515625" style="142" customWidth="1"/>
    <col min="7" max="7" width="12" style="142" customWidth="1"/>
    <col min="8" max="9" width="11.42578125" style="142" customWidth="1"/>
    <col min="10" max="11" width="5.7109375" style="142" customWidth="1"/>
    <col min="12" max="20" width="9.140625" style="142"/>
    <col min="21" max="21" width="9.140625" style="142" customWidth="1"/>
    <col min="22" max="22" width="2.7109375" style="142" customWidth="1"/>
    <col min="23" max="23" width="1.7109375" style="142" customWidth="1"/>
    <col min="24" max="24" width="11" style="142" customWidth="1"/>
    <col min="25" max="16384" width="9.140625" style="142"/>
  </cols>
  <sheetData>
    <row r="2" spans="2:23" ht="6.95" customHeight="1" x14ac:dyDescent="0.2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</row>
    <row r="3" spans="2:23" x14ac:dyDescent="0.2">
      <c r="B3" s="141"/>
      <c r="C3" s="164"/>
      <c r="W3" s="141"/>
    </row>
    <row r="4" spans="2:23" ht="6.75" customHeight="1" x14ac:dyDescent="0.2">
      <c r="B4" s="141"/>
      <c r="U4" s="143"/>
      <c r="W4" s="141"/>
    </row>
    <row r="5" spans="2:23" ht="18.75" x14ac:dyDescent="0.2">
      <c r="B5" s="141"/>
      <c r="M5" s="312" t="str">
        <f>"Total Score Chart - " &amp; CONFIG!D3</f>
        <v>Total Score Chart - ES</v>
      </c>
      <c r="N5" s="312"/>
      <c r="O5" s="312"/>
      <c r="P5" s="312"/>
      <c r="Q5" s="312"/>
      <c r="R5" s="312"/>
      <c r="S5" s="312"/>
      <c r="T5" s="143"/>
      <c r="W5" s="141"/>
    </row>
    <row r="6" spans="2:23" x14ac:dyDescent="0.2">
      <c r="B6" s="141"/>
      <c r="W6" s="141"/>
    </row>
    <row r="7" spans="2:23" x14ac:dyDescent="0.2">
      <c r="B7" s="141"/>
      <c r="W7" s="141"/>
    </row>
    <row r="8" spans="2:23" x14ac:dyDescent="0.2">
      <c r="B8" s="141"/>
      <c r="W8" s="141"/>
    </row>
    <row r="9" spans="2:23" x14ac:dyDescent="0.2">
      <c r="B9" s="141"/>
      <c r="W9" s="141"/>
    </row>
    <row r="10" spans="2:23" x14ac:dyDescent="0.2">
      <c r="B10" s="141"/>
      <c r="W10" s="141"/>
    </row>
    <row r="11" spans="2:23" ht="15" customHeight="1" x14ac:dyDescent="0.2">
      <c r="B11" s="141"/>
      <c r="G11" s="226"/>
      <c r="H11" s="309" t="s">
        <v>587</v>
      </c>
      <c r="I11" s="310"/>
      <c r="J11" s="311"/>
      <c r="W11" s="141"/>
    </row>
    <row r="12" spans="2:23" x14ac:dyDescent="0.2">
      <c r="B12" s="141"/>
      <c r="G12" s="227" t="s">
        <v>586</v>
      </c>
      <c r="H12" s="227" t="s">
        <v>7</v>
      </c>
      <c r="I12" s="166" t="s">
        <v>9</v>
      </c>
      <c r="J12" s="167" t="s">
        <v>624</v>
      </c>
      <c r="W12" s="141"/>
    </row>
    <row r="13" spans="2:23" x14ac:dyDescent="0.2">
      <c r="B13" s="141"/>
      <c r="G13" s="168" t="str">
        <f>CONFIG!$B$16</f>
        <v>VODAFONE</v>
      </c>
      <c r="H13" s="170">
        <f>Service_Weights!C32</f>
        <v>349.73046796925121</v>
      </c>
      <c r="I13" s="170">
        <f>Service_Weights!D32</f>
        <v>535.85298616600767</v>
      </c>
      <c r="J13" s="228">
        <f>H13+I13</f>
        <v>885.58345413525888</v>
      </c>
      <c r="W13" s="141"/>
    </row>
    <row r="14" spans="2:23" x14ac:dyDescent="0.2">
      <c r="B14" s="141"/>
      <c r="G14" s="168" t="str">
        <f>IF(CONFIG!$C$16=0,"",CONFIG!$C$16)</f>
        <v>MOVISTAR</v>
      </c>
      <c r="H14" s="170">
        <f>IF(CONFIG!$C$16=0,"",Service_Weights!J32)</f>
        <v>283.88695040882874</v>
      </c>
      <c r="I14" s="170">
        <f>IF(CONFIG!$C$16=0,"",Service_Weights!K32)</f>
        <v>526.9570334198811</v>
      </c>
      <c r="J14" s="228">
        <f t="shared" ref="J14:J15" si="0">H14+I14</f>
        <v>810.84398382870984</v>
      </c>
      <c r="T14" s="143"/>
      <c r="U14" s="143"/>
      <c r="W14" s="141"/>
    </row>
    <row r="15" spans="2:23" x14ac:dyDescent="0.2">
      <c r="B15" s="141"/>
      <c r="G15" s="168" t="str">
        <f>IF(CONFIG!$D$16=0,"",CONFIG!$D$16)</f>
        <v>ORANGE</v>
      </c>
      <c r="H15" s="170">
        <f>IF(CONFIG!$D$16=0,"",Service_Weights!Q32)</f>
        <v>318.59790056073632</v>
      </c>
      <c r="I15" s="170">
        <f>IF(CONFIG!$D$16=0,"",Service_Weights!R32)</f>
        <v>502.83148414811586</v>
      </c>
      <c r="J15" s="228">
        <f t="shared" si="0"/>
        <v>821.42938470885224</v>
      </c>
      <c r="T15" s="143"/>
      <c r="U15" s="143"/>
      <c r="W15" s="141"/>
    </row>
    <row r="16" spans="2:23" x14ac:dyDescent="0.2">
      <c r="B16" s="141"/>
      <c r="G16" s="169" t="str">
        <f>IF(CONFIG!$E$16=0,"",CONFIG!$E$16)</f>
        <v>YOIGO</v>
      </c>
      <c r="H16" s="171">
        <f>IF(CONFIG!$E$16=0,"",Service_Weights!X32)</f>
        <v>230.12226629341549</v>
      </c>
      <c r="I16" s="171">
        <f>IF(CONFIG!$E$16=0,"",Service_Weights!Y32)</f>
        <v>450.41665887211173</v>
      </c>
      <c r="J16" s="229">
        <f>IF(CONFIG!$E$16=0,"",H16+I16)</f>
        <v>680.53892516552719</v>
      </c>
      <c r="T16" s="143"/>
      <c r="U16" s="143"/>
      <c r="W16" s="141"/>
    </row>
    <row r="17" spans="2:23" x14ac:dyDescent="0.2">
      <c r="B17" s="141"/>
      <c r="T17" s="143"/>
      <c r="U17" s="143"/>
      <c r="W17" s="141"/>
    </row>
    <row r="18" spans="2:23" x14ac:dyDescent="0.2">
      <c r="B18" s="141"/>
      <c r="T18" s="143"/>
      <c r="U18" s="143"/>
      <c r="W18" s="141"/>
    </row>
    <row r="19" spans="2:23" x14ac:dyDescent="0.2">
      <c r="B19" s="141"/>
      <c r="C19" s="148"/>
      <c r="D19" s="148"/>
      <c r="E19" s="148"/>
      <c r="F19" s="148"/>
      <c r="G19" s="148"/>
      <c r="H19" s="148"/>
      <c r="I19" s="148"/>
      <c r="J19" s="148"/>
      <c r="K19" s="148"/>
      <c r="W19" s="141"/>
    </row>
    <row r="20" spans="2:23" x14ac:dyDescent="0.2">
      <c r="B20" s="141"/>
      <c r="W20" s="141"/>
    </row>
    <row r="21" spans="2:23" x14ac:dyDescent="0.2">
      <c r="B21" s="141"/>
      <c r="C21" s="321"/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321"/>
      <c r="O21" s="321"/>
      <c r="P21" s="321"/>
      <c r="Q21" s="321"/>
      <c r="R21" s="321"/>
      <c r="S21" s="321"/>
      <c r="T21" s="321"/>
      <c r="U21" s="321"/>
      <c r="V21" s="321"/>
      <c r="W21" s="141"/>
    </row>
    <row r="22" spans="2:23" ht="6.95" customHeight="1" x14ac:dyDescent="0.2"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</row>
    <row r="25" spans="2:23" ht="6.95" customHeight="1" x14ac:dyDescent="0.2"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</row>
    <row r="26" spans="2:23" x14ac:dyDescent="0.2">
      <c r="B26" s="141"/>
      <c r="W26" s="141"/>
    </row>
    <row r="27" spans="2:23" ht="7.5" customHeight="1" x14ac:dyDescent="0.2">
      <c r="B27" s="141"/>
      <c r="W27" s="141"/>
    </row>
    <row r="28" spans="2:23" ht="18.75" x14ac:dyDescent="0.2">
      <c r="B28" s="141"/>
      <c r="O28" s="316" t="str">
        <f>"Qualifier Score Chart - " &amp; CONFIG!D3</f>
        <v>Qualifier Score Chart - ES</v>
      </c>
      <c r="P28" s="316"/>
      <c r="Q28" s="316"/>
      <c r="R28" s="316"/>
      <c r="S28" s="316"/>
      <c r="W28" s="141"/>
    </row>
    <row r="29" spans="2:23" x14ac:dyDescent="0.2">
      <c r="B29" s="141"/>
      <c r="W29" s="141"/>
    </row>
    <row r="30" spans="2:23" x14ac:dyDescent="0.2">
      <c r="B30" s="141"/>
      <c r="W30" s="141"/>
    </row>
    <row r="31" spans="2:23" x14ac:dyDescent="0.2">
      <c r="B31" s="141"/>
      <c r="W31" s="141"/>
    </row>
    <row r="32" spans="2:23" x14ac:dyDescent="0.2">
      <c r="B32" s="141"/>
      <c r="W32" s="141"/>
    </row>
    <row r="33" spans="2:23" x14ac:dyDescent="0.2">
      <c r="B33" s="141"/>
      <c r="W33" s="141"/>
    </row>
    <row r="34" spans="2:23" x14ac:dyDescent="0.2">
      <c r="B34" s="141"/>
      <c r="W34" s="141"/>
    </row>
    <row r="35" spans="2:23" x14ac:dyDescent="0.2">
      <c r="B35" s="141"/>
      <c r="E35" s="151"/>
      <c r="F35" s="151"/>
      <c r="G35" s="151"/>
      <c r="H35" s="151"/>
      <c r="I35" s="151"/>
      <c r="J35" s="151"/>
      <c r="W35" s="141"/>
    </row>
    <row r="36" spans="2:23" x14ac:dyDescent="0.2">
      <c r="B36" s="141"/>
      <c r="F36" s="152"/>
      <c r="G36" s="173" t="s">
        <v>1</v>
      </c>
      <c r="H36" s="174" t="s">
        <v>586</v>
      </c>
      <c r="I36" s="175" t="s">
        <v>587</v>
      </c>
      <c r="J36" s="154"/>
      <c r="W36" s="141"/>
    </row>
    <row r="37" spans="2:23" ht="12.75" customHeight="1" x14ac:dyDescent="0.2">
      <c r="B37" s="141"/>
      <c r="F37" s="313" t="s">
        <v>590</v>
      </c>
      <c r="G37" s="155" t="s">
        <v>7</v>
      </c>
      <c r="H37" s="149" t="str">
        <f>CONFIG!$B$16</f>
        <v>VODAFONE</v>
      </c>
      <c r="I37" s="176">
        <f>MF_VF!V6</f>
        <v>255.75498104433086</v>
      </c>
      <c r="J37" s="172"/>
      <c r="W37" s="141"/>
    </row>
    <row r="38" spans="2:23" x14ac:dyDescent="0.2">
      <c r="B38" s="141"/>
      <c r="F38" s="314"/>
      <c r="G38" s="157"/>
      <c r="H38" s="143" t="str">
        <f>IF(CONFIG!$C$16=0,"",CONFIG!$C$16)</f>
        <v>MOVISTAR</v>
      </c>
      <c r="I38" s="177">
        <f>IF(CONFIG!$C$16=0,"",MF_OP1!V6)</f>
        <v>213.52088575032292</v>
      </c>
      <c r="J38" s="172"/>
      <c r="W38" s="141"/>
    </row>
    <row r="39" spans="2:23" x14ac:dyDescent="0.2">
      <c r="B39" s="141"/>
      <c r="F39" s="314"/>
      <c r="G39" s="157"/>
      <c r="H39" s="143" t="str">
        <f>IF(CONFIG!$D$16=0,"",CONFIG!$D$16)</f>
        <v>ORANGE</v>
      </c>
      <c r="I39" s="177">
        <f>IF(CONFIG!$D$16=0,"",MF_OP2!V6)</f>
        <v>238.95885718982012</v>
      </c>
      <c r="J39" s="172"/>
      <c r="W39" s="141"/>
    </row>
    <row r="40" spans="2:23" x14ac:dyDescent="0.2">
      <c r="B40" s="141"/>
      <c r="F40" s="314"/>
      <c r="G40" s="159"/>
      <c r="H40" s="150" t="str">
        <f>IF(CONFIG!$E$16=0,"",CONFIG!$E$16)</f>
        <v>YOIGO</v>
      </c>
      <c r="I40" s="178">
        <f>IF(CONFIG!$E$16=0,"",MF_OP3!V6)</f>
        <v>177.09336450361113</v>
      </c>
      <c r="J40" s="172"/>
      <c r="W40" s="141"/>
    </row>
    <row r="41" spans="2:23" x14ac:dyDescent="0.2">
      <c r="B41" s="141"/>
      <c r="F41" s="314"/>
      <c r="G41" s="155" t="s">
        <v>9</v>
      </c>
      <c r="H41" s="149" t="str">
        <f>CONFIG!$B$16</f>
        <v>VODAFONE</v>
      </c>
      <c r="I41" s="179">
        <f>MF_VF!V17+MF_VF!V24+MF_VF!V30+MF_VF!V38+MF_VF!V46+MF_VF!V54+MF_VF!V62</f>
        <v>339.37101001824499</v>
      </c>
      <c r="J41" s="172"/>
      <c r="W41" s="141"/>
    </row>
    <row r="42" spans="2:23" x14ac:dyDescent="0.2">
      <c r="B42" s="141"/>
      <c r="F42" s="314"/>
      <c r="G42" s="146"/>
      <c r="H42" s="143" t="str">
        <f>IF(CONFIG!$C$16=0,"",CONFIG!$C$16)</f>
        <v>MOVISTAR</v>
      </c>
      <c r="I42" s="180">
        <f>IF(CONFIG!$C$16=0,"",MF_OP1!V17+MF_OP1!V24+MF_OP1!V30+MF_OP1!V38+MF_OP1!V46+MF_OP1!V54+MF_OP1!V62)</f>
        <v>335.69503093894025</v>
      </c>
      <c r="J42" s="172"/>
      <c r="K42" s="143"/>
      <c r="W42" s="141"/>
    </row>
    <row r="43" spans="2:23" x14ac:dyDescent="0.2">
      <c r="B43" s="141"/>
      <c r="F43" s="314"/>
      <c r="G43" s="146"/>
      <c r="H43" s="143" t="str">
        <f>IF(CONFIG!$D$16=0,"",CONFIG!$D$16)</f>
        <v>ORANGE</v>
      </c>
      <c r="I43" s="180">
        <f>IF(CONFIG!$D$16=0,"",MF_OP2!V17+MF_OP2!V24+MF_OP2!V30+MF_OP2!V38+MF_OP2!V46+MF_OP2!V54+MF_OP2!V62)</f>
        <v>327.24332763373661</v>
      </c>
      <c r="W43" s="141"/>
    </row>
    <row r="44" spans="2:23" ht="12.75" customHeight="1" x14ac:dyDescent="0.2">
      <c r="B44" s="141"/>
      <c r="F44" s="315"/>
      <c r="G44" s="147"/>
      <c r="H44" s="150" t="str">
        <f>IF(CONFIG!$E$16=0,"",CONFIG!$E$16)</f>
        <v>YOIGO</v>
      </c>
      <c r="I44" s="181">
        <f>IF(CONFIG!$E$16=0,"",MF_OP3!V17+MF_OP3!V24+MF_OP3!V30+MF_OP3!V38+MF_OP3!V46+MF_OP3!V54+MF_OP3!V62)</f>
        <v>298.05410282620278</v>
      </c>
      <c r="U44" s="143"/>
      <c r="W44" s="141"/>
    </row>
    <row r="45" spans="2:23" ht="18.75" x14ac:dyDescent="0.2">
      <c r="B45" s="141"/>
      <c r="O45" s="316" t="str">
        <f>"Differentiator Score Chart - " &amp; CONFIG!$D$3</f>
        <v>Differentiator Score Chart - ES</v>
      </c>
      <c r="P45" s="316"/>
      <c r="Q45" s="316"/>
      <c r="R45" s="316"/>
      <c r="S45" s="316"/>
      <c r="U45" s="143"/>
      <c r="W45" s="141"/>
    </row>
    <row r="46" spans="2:23" x14ac:dyDescent="0.2">
      <c r="B46" s="141"/>
      <c r="U46" s="143"/>
      <c r="W46" s="141"/>
    </row>
    <row r="47" spans="2:23" x14ac:dyDescent="0.2">
      <c r="B47" s="141"/>
      <c r="U47" s="143"/>
      <c r="W47" s="141"/>
    </row>
    <row r="48" spans="2:23" x14ac:dyDescent="0.2">
      <c r="B48" s="141"/>
      <c r="F48" s="151"/>
      <c r="G48" s="144" t="s">
        <v>1</v>
      </c>
      <c r="H48" s="153" t="s">
        <v>586</v>
      </c>
      <c r="I48" s="145" t="s">
        <v>587</v>
      </c>
      <c r="U48" s="143"/>
      <c r="W48" s="141"/>
    </row>
    <row r="49" spans="2:23" ht="12.75" customHeight="1" x14ac:dyDescent="0.2">
      <c r="B49" s="141"/>
      <c r="F49" s="313" t="s">
        <v>591</v>
      </c>
      <c r="G49" s="155" t="s">
        <v>7</v>
      </c>
      <c r="H49" s="149" t="str">
        <f>CONFIG!$B$16</f>
        <v>VODAFONE</v>
      </c>
      <c r="I49" s="176">
        <f>H13-I37</f>
        <v>93.975486924920347</v>
      </c>
      <c r="U49" s="143"/>
      <c r="W49" s="141"/>
    </row>
    <row r="50" spans="2:23" x14ac:dyDescent="0.2">
      <c r="B50" s="141"/>
      <c r="F50" s="314"/>
      <c r="G50" s="157"/>
      <c r="H50" s="143" t="str">
        <f>IF(CONFIG!$C$16=0,"",CONFIG!$C$16)</f>
        <v>MOVISTAR</v>
      </c>
      <c r="I50" s="177">
        <f>IF(CONFIG!$C$16=0,"",H14-I38)</f>
        <v>70.36606465850582</v>
      </c>
      <c r="W50" s="141"/>
    </row>
    <row r="51" spans="2:23" x14ac:dyDescent="0.2">
      <c r="B51" s="141"/>
      <c r="F51" s="314"/>
      <c r="G51" s="157"/>
      <c r="H51" s="143" t="str">
        <f>IF(CONFIG!$D$16=0,"",CONFIG!$D$16)</f>
        <v>ORANGE</v>
      </c>
      <c r="I51" s="177">
        <f>IF(CONFIG!$D$16=0,"",H15-I39)</f>
        <v>79.639043370916198</v>
      </c>
      <c r="W51" s="141"/>
    </row>
    <row r="52" spans="2:23" x14ac:dyDescent="0.2">
      <c r="B52" s="141"/>
      <c r="F52" s="314"/>
      <c r="G52" s="159"/>
      <c r="H52" s="150" t="str">
        <f>IF(CONFIG!$E$16=0,"",CONFIG!$E$16)</f>
        <v>YOIGO</v>
      </c>
      <c r="I52" s="178">
        <f>IF(CONFIG!$E$16=0,"",H16-I40)</f>
        <v>53.028901789804365</v>
      </c>
      <c r="J52" s="151"/>
      <c r="W52" s="141"/>
    </row>
    <row r="53" spans="2:23" ht="12.75" customHeight="1" x14ac:dyDescent="0.2">
      <c r="B53" s="141"/>
      <c r="F53" s="314"/>
      <c r="G53" s="155" t="s">
        <v>9</v>
      </c>
      <c r="H53" s="149" t="str">
        <f>CONFIG!$B$16</f>
        <v>VODAFONE</v>
      </c>
      <c r="I53" s="179">
        <f>I13-I41</f>
        <v>196.48197614776268</v>
      </c>
      <c r="W53" s="141"/>
    </row>
    <row r="54" spans="2:23" ht="12.75" customHeight="1" x14ac:dyDescent="0.2">
      <c r="B54" s="141"/>
      <c r="F54" s="314"/>
      <c r="G54" s="146"/>
      <c r="H54" s="143" t="str">
        <f>IF(CONFIG!$C$16=0,"",CONFIG!$C$16)</f>
        <v>MOVISTAR</v>
      </c>
      <c r="I54" s="180">
        <f>IF(CONFIG!$C$16=0,"",I14-I42)</f>
        <v>191.26200248094085</v>
      </c>
      <c r="W54" s="141"/>
    </row>
    <row r="55" spans="2:23" x14ac:dyDescent="0.2">
      <c r="B55" s="141"/>
      <c r="F55" s="314"/>
      <c r="G55" s="146"/>
      <c r="H55" s="143" t="str">
        <f>IF(CONFIG!$D$16=0,"",CONFIG!$D$16)</f>
        <v>ORANGE</v>
      </c>
      <c r="I55" s="180">
        <f>IF(CONFIG!$D$16=0,"",I15-I43)</f>
        <v>175.58815651437925</v>
      </c>
      <c r="W55" s="141"/>
    </row>
    <row r="56" spans="2:23" x14ac:dyDescent="0.2">
      <c r="B56" s="141"/>
      <c r="F56" s="315"/>
      <c r="G56" s="147"/>
      <c r="H56" s="150" t="str">
        <f>IF(CONFIG!$E$16=0,"",CONFIG!$E$16)</f>
        <v>YOIGO</v>
      </c>
      <c r="I56" s="181">
        <f>IF(CONFIG!$E$16=0,"",I16-I44)</f>
        <v>152.36255604590895</v>
      </c>
      <c r="W56" s="141"/>
    </row>
    <row r="57" spans="2:23" x14ac:dyDescent="0.2">
      <c r="B57" s="141"/>
      <c r="W57" s="141"/>
    </row>
    <row r="58" spans="2:23" x14ac:dyDescent="0.2">
      <c r="B58" s="141"/>
      <c r="W58" s="141"/>
    </row>
    <row r="59" spans="2:23" x14ac:dyDescent="0.2">
      <c r="B59" s="141"/>
      <c r="W59" s="141"/>
    </row>
    <row r="60" spans="2:23" x14ac:dyDescent="0.2">
      <c r="B60" s="141"/>
      <c r="W60" s="141"/>
    </row>
    <row r="61" spans="2:23" x14ac:dyDescent="0.2">
      <c r="B61" s="141"/>
      <c r="W61" s="141"/>
    </row>
    <row r="62" spans="2:23" ht="6.95" customHeight="1" x14ac:dyDescent="0.2"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</row>
    <row r="64" spans="2:23" ht="6.95" customHeight="1" x14ac:dyDescent="0.2"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</row>
    <row r="65" spans="2:23" x14ac:dyDescent="0.2">
      <c r="B65" s="141"/>
      <c r="W65" s="141"/>
    </row>
    <row r="66" spans="2:23" x14ac:dyDescent="0.2">
      <c r="B66" s="141"/>
      <c r="W66" s="141"/>
    </row>
    <row r="67" spans="2:23" ht="18.75" x14ac:dyDescent="0.2">
      <c r="B67" s="141"/>
      <c r="O67" s="316" t="str">
        <f>"Voice Score Chart Breakdown - " &amp; CONFIG!$D$3</f>
        <v>Voice Score Chart Breakdown - ES</v>
      </c>
      <c r="P67" s="316"/>
      <c r="Q67" s="316"/>
      <c r="R67" s="316"/>
      <c r="S67" s="316"/>
      <c r="W67" s="141"/>
    </row>
    <row r="68" spans="2:23" x14ac:dyDescent="0.2">
      <c r="B68" s="141"/>
      <c r="W68" s="141"/>
    </row>
    <row r="69" spans="2:23" x14ac:dyDescent="0.2">
      <c r="B69" s="141"/>
      <c r="W69" s="141"/>
    </row>
    <row r="70" spans="2:23" x14ac:dyDescent="0.2">
      <c r="B70" s="141"/>
      <c r="W70" s="141"/>
    </row>
    <row r="71" spans="2:23" x14ac:dyDescent="0.2">
      <c r="B71" s="141"/>
      <c r="W71" s="141"/>
    </row>
    <row r="72" spans="2:23" x14ac:dyDescent="0.2">
      <c r="B72" s="141"/>
      <c r="W72" s="141"/>
    </row>
    <row r="73" spans="2:23" x14ac:dyDescent="0.2">
      <c r="B73" s="141"/>
      <c r="W73" s="141"/>
    </row>
    <row r="74" spans="2:23" x14ac:dyDescent="0.2">
      <c r="B74" s="141"/>
      <c r="G74" s="173" t="s">
        <v>592</v>
      </c>
      <c r="H74" s="174" t="s">
        <v>586</v>
      </c>
      <c r="I74" s="184" t="s">
        <v>587</v>
      </c>
      <c r="W74" s="141"/>
    </row>
    <row r="75" spans="2:23" ht="12.75" customHeight="1" x14ac:dyDescent="0.2">
      <c r="B75" s="141"/>
      <c r="F75" s="318" t="s">
        <v>588</v>
      </c>
      <c r="G75" s="161" t="s">
        <v>4</v>
      </c>
      <c r="H75" s="156" t="str">
        <f>CONFIG!$B$16</f>
        <v>VODAFONE</v>
      </c>
      <c r="I75" s="179">
        <f>Service_Weights!C29</f>
        <v>219.00801231433869</v>
      </c>
      <c r="J75" s="151"/>
      <c r="W75" s="141"/>
    </row>
    <row r="76" spans="2:23" x14ac:dyDescent="0.2">
      <c r="B76" s="141"/>
      <c r="F76" s="319"/>
      <c r="G76" s="157"/>
      <c r="H76" s="158" t="str">
        <f>IF(CONFIG!$C$16=0,"",CONFIG!$C$16)</f>
        <v>MOVISTAR</v>
      </c>
      <c r="I76" s="180">
        <f>IF(CONFIG!$C$16=0,"",Service_Weights!J29)</f>
        <v>170.54532263690089</v>
      </c>
      <c r="W76" s="141"/>
    </row>
    <row r="77" spans="2:23" ht="12.75" customHeight="1" x14ac:dyDescent="0.2">
      <c r="B77" s="141"/>
      <c r="F77" s="319"/>
      <c r="G77" s="157"/>
      <c r="H77" s="158" t="str">
        <f>IF(CONFIG!$D$16=0,"",CONFIG!$D$16)</f>
        <v>ORANGE</v>
      </c>
      <c r="I77" s="180">
        <f>IF(CONFIG!$D$16=0,"",Service_Weights!Q29)</f>
        <v>201.2300736491797</v>
      </c>
      <c r="W77" s="141"/>
    </row>
    <row r="78" spans="2:23" x14ac:dyDescent="0.2">
      <c r="B78" s="141"/>
      <c r="F78" s="319"/>
      <c r="G78" s="185"/>
      <c r="H78" s="160" t="str">
        <f>IF(CONFIG!$E$16=0,"",CONFIG!$E$16)</f>
        <v>YOIGO</v>
      </c>
      <c r="I78" s="187">
        <f>IF(CONFIG!$E$16=0,"",Service_Weights!X29)</f>
        <v>155.96978751296058</v>
      </c>
      <c r="W78" s="141"/>
    </row>
    <row r="79" spans="2:23" x14ac:dyDescent="0.2">
      <c r="B79" s="141"/>
      <c r="F79" s="319"/>
      <c r="G79" s="162" t="s">
        <v>5</v>
      </c>
      <c r="H79" s="156" t="str">
        <f>CONFIG!$B$16</f>
        <v>VODAFONE</v>
      </c>
      <c r="I79" s="179">
        <f>Service_Weights!C30</f>
        <v>71.005205312768211</v>
      </c>
      <c r="W79" s="141"/>
    </row>
    <row r="80" spans="2:23" ht="12.75" customHeight="1" x14ac:dyDescent="0.2">
      <c r="B80" s="141"/>
      <c r="F80" s="319"/>
      <c r="G80" s="163"/>
      <c r="H80" s="158" t="str">
        <f>IF(CONFIG!$C$16=0,"",CONFIG!$C$16)</f>
        <v>MOVISTAR</v>
      </c>
      <c r="I80" s="180">
        <f>IF(CONFIG!$C$16=0,"",Service_Weights!J30)</f>
        <v>53.62437742978355</v>
      </c>
      <c r="W80" s="141"/>
    </row>
    <row r="81" spans="2:23" ht="12.75" customHeight="1" x14ac:dyDescent="0.2">
      <c r="B81" s="141"/>
      <c r="F81" s="319"/>
      <c r="G81" s="157"/>
      <c r="H81" s="158" t="str">
        <f>IF(CONFIG!$D$16=0,"",CONFIG!$D$16)</f>
        <v>ORANGE</v>
      </c>
      <c r="I81" s="180">
        <f>IF(CONFIG!$D$16=0,"",Service_Weights!Q30)</f>
        <v>68.045165528011736</v>
      </c>
      <c r="W81" s="141"/>
    </row>
    <row r="82" spans="2:23" ht="12.75" customHeight="1" x14ac:dyDescent="0.2">
      <c r="B82" s="141"/>
      <c r="F82" s="319"/>
      <c r="G82" s="186"/>
      <c r="H82" s="160" t="str">
        <f>IF(CONFIG!$E$16=0,"",CONFIG!$E$16)</f>
        <v>YOIGO</v>
      </c>
      <c r="I82" s="187">
        <f>IF(CONFIG!$E$16=0,"",Service_Weights!X30)</f>
        <v>57.332883745820347</v>
      </c>
      <c r="W82" s="141"/>
    </row>
    <row r="83" spans="2:23" ht="12" customHeight="1" x14ac:dyDescent="0.2">
      <c r="B83" s="141"/>
      <c r="F83" s="319"/>
      <c r="G83" s="182" t="s">
        <v>593</v>
      </c>
      <c r="H83" s="156" t="str">
        <f>CONFIG!$B$16</f>
        <v>VODAFONE</v>
      </c>
      <c r="I83" s="179">
        <f>Service_Weights!C31</f>
        <v>59.717250342144297</v>
      </c>
      <c r="W83" s="141"/>
    </row>
    <row r="84" spans="2:23" x14ac:dyDescent="0.2">
      <c r="B84" s="141"/>
      <c r="F84" s="319"/>
      <c r="G84" s="183"/>
      <c r="H84" s="158" t="str">
        <f>IF(CONFIG!$C$16=0,"",CONFIG!$C$16)</f>
        <v>MOVISTAR</v>
      </c>
      <c r="I84" s="180">
        <f>IF(CONFIG!$C$16=0,"",Service_Weights!J31)</f>
        <v>59.717250342144297</v>
      </c>
      <c r="W84" s="141"/>
    </row>
    <row r="85" spans="2:23" x14ac:dyDescent="0.2">
      <c r="B85" s="141"/>
      <c r="F85" s="319"/>
      <c r="G85" s="157"/>
      <c r="H85" s="158" t="str">
        <f>IF(CONFIG!$D$16=0,"",CONFIG!$D$16)</f>
        <v>ORANGE</v>
      </c>
      <c r="I85" s="180">
        <f>IF(CONFIG!$D$16=0,"",Service_Weights!Q31)</f>
        <v>49.322661383544855</v>
      </c>
      <c r="U85" s="143"/>
      <c r="W85" s="141"/>
    </row>
    <row r="86" spans="2:23" ht="13.5" customHeight="1" x14ac:dyDescent="0.2">
      <c r="B86" s="141"/>
      <c r="F86" s="320"/>
      <c r="G86" s="147"/>
      <c r="H86" s="150" t="str">
        <f>IF(CONFIG!$E$16=0,"",CONFIG!$E$16)</f>
        <v>YOIGO</v>
      </c>
      <c r="I86" s="181">
        <f>IF(CONFIG!$E$16=0,"",Service_Weights!X31)</f>
        <v>16.819595034634567</v>
      </c>
      <c r="O86" s="316" t="str">
        <f>"Data Score Chart Breakdown - " &amp; CONFIG!$D$3</f>
        <v>Data Score Chart Breakdown - ES</v>
      </c>
      <c r="P86" s="316"/>
      <c r="Q86" s="316"/>
      <c r="R86" s="316"/>
      <c r="S86" s="316"/>
      <c r="W86" s="141"/>
    </row>
    <row r="87" spans="2:23" x14ac:dyDescent="0.2">
      <c r="B87" s="141"/>
      <c r="W87" s="141"/>
    </row>
    <row r="88" spans="2:23" x14ac:dyDescent="0.2">
      <c r="B88" s="141"/>
      <c r="F88" s="151"/>
      <c r="G88" s="151"/>
      <c r="H88" s="151"/>
      <c r="I88" s="151"/>
      <c r="J88" s="151"/>
      <c r="W88" s="141"/>
    </row>
    <row r="89" spans="2:23" x14ac:dyDescent="0.2">
      <c r="B89" s="141"/>
      <c r="G89" s="173" t="s">
        <v>592</v>
      </c>
      <c r="H89" s="174" t="s">
        <v>586</v>
      </c>
      <c r="I89" s="184" t="s">
        <v>587</v>
      </c>
      <c r="W89" s="141"/>
    </row>
    <row r="90" spans="2:23" ht="12.75" customHeight="1" x14ac:dyDescent="0.2">
      <c r="B90" s="141"/>
      <c r="F90" s="318" t="s">
        <v>589</v>
      </c>
      <c r="G90" s="161" t="s">
        <v>4</v>
      </c>
      <c r="H90" s="156" t="str">
        <f>CONFIG!$B$16</f>
        <v>VODAFONE</v>
      </c>
      <c r="I90" s="176">
        <f>Service_Weights!$D$29</f>
        <v>327.22503220471754</v>
      </c>
      <c r="W90" s="141"/>
    </row>
    <row r="91" spans="2:23" x14ac:dyDescent="0.2">
      <c r="B91" s="141"/>
      <c r="F91" s="319"/>
      <c r="G91" s="157"/>
      <c r="H91" s="158" t="str">
        <f>IF(CONFIG!$C$16=0,"",CONFIG!$C$16)</f>
        <v>MOVISTAR</v>
      </c>
      <c r="I91" s="177">
        <f>IF(CONFIG!$C$16=0,"",Service_Weights!$K$29)</f>
        <v>323.09755697258987</v>
      </c>
      <c r="W91" s="141"/>
    </row>
    <row r="92" spans="2:23" x14ac:dyDescent="0.2">
      <c r="B92" s="141"/>
      <c r="F92" s="319"/>
      <c r="G92" s="157"/>
      <c r="H92" s="158" t="str">
        <f>IF(CONFIG!$D$16=0,"",CONFIG!$D$16)</f>
        <v>ORANGE</v>
      </c>
      <c r="I92" s="177">
        <f>IF(CONFIG!$D$16=0,"",Service_Weights!$R$29)</f>
        <v>311.46169045140817</v>
      </c>
      <c r="W92" s="141"/>
    </row>
    <row r="93" spans="2:23" x14ac:dyDescent="0.2">
      <c r="B93" s="141"/>
      <c r="F93" s="319"/>
      <c r="G93" s="185"/>
      <c r="H93" s="160" t="str">
        <f>IF(CONFIG!$E$16=0,"",CONFIG!$E$16)</f>
        <v>YOIGO</v>
      </c>
      <c r="I93" s="178">
        <f>IF(CONFIG!$E$16=0,"",Service_Weights!$Y$29)</f>
        <v>278.22681426854848</v>
      </c>
      <c r="W93" s="141"/>
    </row>
    <row r="94" spans="2:23" x14ac:dyDescent="0.2">
      <c r="B94" s="141"/>
      <c r="F94" s="319"/>
      <c r="G94" s="162" t="s">
        <v>5</v>
      </c>
      <c r="H94" s="156" t="str">
        <f>CONFIG!$B$16</f>
        <v>VODAFONE</v>
      </c>
      <c r="I94" s="176">
        <f>Service_Weights!$D$30</f>
        <v>110.15775291644781</v>
      </c>
      <c r="W94" s="141"/>
    </row>
    <row r="95" spans="2:23" x14ac:dyDescent="0.2">
      <c r="B95" s="141"/>
      <c r="F95" s="319"/>
      <c r="G95" s="163"/>
      <c r="H95" s="158" t="str">
        <f>IF(CONFIG!$C$16=0,"",CONFIG!$C$16)</f>
        <v>MOVISTAR</v>
      </c>
      <c r="I95" s="177">
        <f>IF(CONFIG!$C$16=0,"",Service_Weights!$K$30)</f>
        <v>109.05093795361026</v>
      </c>
      <c r="W95" s="141"/>
    </row>
    <row r="96" spans="2:23" ht="12.75" customHeight="1" x14ac:dyDescent="0.2">
      <c r="B96" s="141"/>
      <c r="F96" s="319"/>
      <c r="G96" s="157"/>
      <c r="H96" s="158" t="str">
        <f>IF(CONFIG!$D$16=0,"",CONFIG!$D$16)</f>
        <v>ORANGE</v>
      </c>
      <c r="I96" s="177">
        <f>IF(CONFIG!$D$16=0,"",Service_Weights!$R$30)</f>
        <v>102.34656282278993</v>
      </c>
      <c r="W96" s="141"/>
    </row>
    <row r="97" spans="2:23" x14ac:dyDescent="0.2">
      <c r="B97" s="141"/>
      <c r="F97" s="319"/>
      <c r="G97" s="186"/>
      <c r="H97" s="160" t="str">
        <f>IF(CONFIG!$E$16=0,"",CONFIG!$E$16)</f>
        <v>YOIGO</v>
      </c>
      <c r="I97" s="178">
        <f>IF(CONFIG!$E$16=0,"",Service_Weights!$Y$30)</f>
        <v>94.166084222669852</v>
      </c>
      <c r="W97" s="141"/>
    </row>
    <row r="98" spans="2:23" ht="12" customHeight="1" x14ac:dyDescent="0.2">
      <c r="B98" s="141"/>
      <c r="F98" s="319"/>
      <c r="G98" s="182" t="s">
        <v>593</v>
      </c>
      <c r="H98" s="156" t="str">
        <f>CONFIG!$B$16</f>
        <v>VODAFONE</v>
      </c>
      <c r="I98" s="176">
        <f>Service_Weights!$D$31</f>
        <v>98.470201044842355</v>
      </c>
      <c r="W98" s="141"/>
    </row>
    <row r="99" spans="2:23" x14ac:dyDescent="0.2">
      <c r="B99" s="141"/>
      <c r="F99" s="319"/>
      <c r="G99" s="183"/>
      <c r="H99" s="158" t="str">
        <f>IF(CONFIG!$C$16=0,"",CONFIG!$C$16)</f>
        <v>MOVISTAR</v>
      </c>
      <c r="I99" s="177">
        <f>IF(CONFIG!$C$16=0,"",Service_Weights!$K$31)</f>
        <v>94.808538493680999</v>
      </c>
      <c r="W99" s="141"/>
    </row>
    <row r="100" spans="2:23" x14ac:dyDescent="0.2">
      <c r="B100" s="141"/>
      <c r="F100" s="319"/>
      <c r="G100" s="157"/>
      <c r="H100" s="158" t="str">
        <f>IF(CONFIG!$D$16=0,"",CONFIG!$D$16)</f>
        <v>ORANGE</v>
      </c>
      <c r="I100" s="177">
        <f>IF(CONFIG!$D$16=0,"",Service_Weights!$R$31)</f>
        <v>89.023230873917726</v>
      </c>
      <c r="W100" s="141"/>
    </row>
    <row r="101" spans="2:23" x14ac:dyDescent="0.2">
      <c r="B101" s="141"/>
      <c r="F101" s="320"/>
      <c r="G101" s="147"/>
      <c r="H101" s="150" t="str">
        <f>IF(CONFIG!$E$16=0,"",CONFIG!$E$16)</f>
        <v>YOIGO</v>
      </c>
      <c r="I101" s="178">
        <f>IF(CONFIG!$E$16=0,"",Service_Weights!$Y$31)</f>
        <v>78.023760380893393</v>
      </c>
      <c r="W101" s="141"/>
    </row>
    <row r="102" spans="2:23" x14ac:dyDescent="0.2">
      <c r="B102" s="141"/>
      <c r="W102" s="141"/>
    </row>
    <row r="103" spans="2:23" ht="6.95" customHeight="1" x14ac:dyDescent="0.2"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</row>
    <row r="105" spans="2:23" ht="6.95" customHeight="1" x14ac:dyDescent="0.2"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</row>
    <row r="106" spans="2:23" x14ac:dyDescent="0.2">
      <c r="B106" s="141"/>
      <c r="W106" s="141"/>
    </row>
    <row r="107" spans="2:23" x14ac:dyDescent="0.2">
      <c r="B107" s="141"/>
      <c r="W107" s="141"/>
    </row>
    <row r="108" spans="2:23" x14ac:dyDescent="0.2">
      <c r="B108" s="141"/>
      <c r="W108" s="141"/>
    </row>
    <row r="109" spans="2:23" x14ac:dyDescent="0.2">
      <c r="B109" s="141"/>
      <c r="W109" s="141"/>
    </row>
    <row r="110" spans="2:23" x14ac:dyDescent="0.2">
      <c r="B110" s="141"/>
      <c r="W110" s="141"/>
    </row>
    <row r="111" spans="2:23" x14ac:dyDescent="0.2">
      <c r="B111" s="141"/>
      <c r="W111" s="141"/>
    </row>
    <row r="112" spans="2:23" x14ac:dyDescent="0.2">
      <c r="B112" s="141"/>
      <c r="W112" s="141"/>
    </row>
    <row r="113" spans="2:24" x14ac:dyDescent="0.2">
      <c r="B113" s="141"/>
      <c r="G113" s="144" t="s">
        <v>592</v>
      </c>
      <c r="H113" s="153" t="s">
        <v>586</v>
      </c>
      <c r="I113" s="145" t="s">
        <v>587</v>
      </c>
      <c r="W113" s="141"/>
    </row>
    <row r="114" spans="2:24" x14ac:dyDescent="0.2">
      <c r="B114" s="141"/>
      <c r="F114" s="318" t="s">
        <v>594</v>
      </c>
      <c r="G114" s="161" t="s">
        <v>4</v>
      </c>
      <c r="H114" s="156" t="str">
        <f>CONFIG!$B$16</f>
        <v>VODAFONE</v>
      </c>
      <c r="I114" s="176">
        <f>MF_VF!$S$11</f>
        <v>219.00801231433869</v>
      </c>
      <c r="J114" s="190"/>
      <c r="K114" s="189">
        <f>Service_Weights!$E$2</f>
        <v>240</v>
      </c>
      <c r="W114" s="141"/>
    </row>
    <row r="115" spans="2:24" ht="12.75" customHeight="1" x14ac:dyDescent="0.2">
      <c r="B115" s="141"/>
      <c r="F115" s="319"/>
      <c r="G115" s="157"/>
      <c r="H115" s="158" t="str">
        <f>IF(CONFIG!$C$16=0,"",CONFIG!$C$16)</f>
        <v>MOVISTAR</v>
      </c>
      <c r="I115" s="177">
        <f>IF(CONFIG!$C$16=0,"",MF_OP1!$S$11)</f>
        <v>170.54532263690089</v>
      </c>
      <c r="J115" s="190"/>
      <c r="K115" s="189">
        <f>Service_Weights!$E$2</f>
        <v>240</v>
      </c>
      <c r="W115" s="141"/>
    </row>
    <row r="116" spans="2:24" ht="12.75" customHeight="1" x14ac:dyDescent="0.2">
      <c r="B116" s="141"/>
      <c r="F116" s="319"/>
      <c r="G116" s="157"/>
      <c r="H116" s="158" t="str">
        <f>IF(CONFIG!$D$16=0,"",CONFIG!$D$16)</f>
        <v>ORANGE</v>
      </c>
      <c r="I116" s="177">
        <f>IF(CONFIG!$D$16=0,"",MF_OP2!$S$11)</f>
        <v>201.2300736491797</v>
      </c>
      <c r="J116" s="190"/>
      <c r="K116" s="189">
        <f>Service_Weights!$E$2</f>
        <v>240</v>
      </c>
      <c r="W116" s="141"/>
    </row>
    <row r="117" spans="2:24" ht="12.75" customHeight="1" x14ac:dyDescent="0.2">
      <c r="B117" s="141"/>
      <c r="E117" s="143"/>
      <c r="F117" s="319"/>
      <c r="G117" s="185"/>
      <c r="H117" s="160" t="str">
        <f>IF(CONFIG!$E$16=0,"",CONFIG!$E$16)</f>
        <v>YOIGO</v>
      </c>
      <c r="I117" s="178">
        <f>IF(CONFIG!$E$16=0,"",MF_OP3!$S$11)</f>
        <v>155.96978751296058</v>
      </c>
      <c r="J117" s="191"/>
      <c r="K117" s="189">
        <f>Service_Weights!$E$2</f>
        <v>240</v>
      </c>
      <c r="W117" s="141"/>
    </row>
    <row r="118" spans="2:24" x14ac:dyDescent="0.2">
      <c r="B118" s="141"/>
      <c r="E118" s="143"/>
      <c r="F118" s="319"/>
      <c r="G118" s="162" t="s">
        <v>5</v>
      </c>
      <c r="H118" s="156" t="str">
        <f>CONFIG!$B$16</f>
        <v>VODAFONE</v>
      </c>
      <c r="I118" s="176">
        <f>MF_VF!$T$11</f>
        <v>71.005205312768211</v>
      </c>
      <c r="J118" s="192"/>
      <c r="K118" s="189">
        <f>Service_Weights!$F$2</f>
        <v>80</v>
      </c>
      <c r="W118" s="141"/>
    </row>
    <row r="119" spans="2:24" ht="12.75" customHeight="1" x14ac:dyDescent="0.2">
      <c r="B119" s="141"/>
      <c r="F119" s="319"/>
      <c r="G119" s="163"/>
      <c r="H119" s="158" t="str">
        <f>IF(CONFIG!$C$16=0,"",CONFIG!$C$16)</f>
        <v>MOVISTAR</v>
      </c>
      <c r="I119" s="177">
        <f>IF(CONFIG!$C$16=0,"",MF_OP1!$T$11)</f>
        <v>53.62437742978355</v>
      </c>
      <c r="J119" s="190"/>
      <c r="K119" s="189">
        <f>Service_Weights!$F$2</f>
        <v>80</v>
      </c>
      <c r="W119" s="141"/>
    </row>
    <row r="120" spans="2:24" x14ac:dyDescent="0.2">
      <c r="B120" s="141"/>
      <c r="F120" s="319"/>
      <c r="G120" s="157"/>
      <c r="H120" s="158" t="str">
        <f>IF(CONFIG!$D$16=0,"",CONFIG!$D$16)</f>
        <v>ORANGE</v>
      </c>
      <c r="I120" s="177">
        <f>IF(CONFIG!$D$16=0,"",MF_OP2!$T$11)</f>
        <v>68.045165528011736</v>
      </c>
      <c r="J120" s="190"/>
      <c r="K120" s="189">
        <f>Service_Weights!$F$2</f>
        <v>80</v>
      </c>
      <c r="W120" s="141"/>
    </row>
    <row r="121" spans="2:24" x14ac:dyDescent="0.2">
      <c r="B121" s="141"/>
      <c r="F121" s="319"/>
      <c r="G121" s="186"/>
      <c r="H121" s="160" t="str">
        <f>IF(CONFIG!$E$16=0,"",CONFIG!$E$16)</f>
        <v>YOIGO</v>
      </c>
      <c r="I121" s="178">
        <f>IF(CONFIG!$E$16=0,"",MF_OP3!$T$11)</f>
        <v>57.332883745820347</v>
      </c>
      <c r="J121" s="190"/>
      <c r="K121" s="189">
        <f>Service_Weights!$F$2</f>
        <v>80</v>
      </c>
      <c r="W121" s="141"/>
    </row>
    <row r="122" spans="2:24" ht="12.75" customHeight="1" x14ac:dyDescent="0.2">
      <c r="B122" s="141"/>
      <c r="F122" s="319"/>
      <c r="G122" s="182" t="s">
        <v>593</v>
      </c>
      <c r="H122" s="156" t="str">
        <f>CONFIG!$B$16</f>
        <v>VODAFONE</v>
      </c>
      <c r="I122" s="176">
        <f>MF_VF!$U$11</f>
        <v>59.717250342144297</v>
      </c>
      <c r="J122" s="190"/>
      <c r="K122" s="189">
        <f>Service_Weights!$G$2</f>
        <v>80</v>
      </c>
      <c r="W122" s="141"/>
    </row>
    <row r="123" spans="2:24" ht="12.75" customHeight="1" x14ac:dyDescent="0.2">
      <c r="B123" s="141"/>
      <c r="F123" s="319"/>
      <c r="G123" s="183"/>
      <c r="H123" s="158" t="str">
        <f>IF(CONFIG!$C$16=0,"",CONFIG!$C$16)</f>
        <v>MOVISTAR</v>
      </c>
      <c r="I123" s="177">
        <f>IF(CONFIG!$C$16=0,"",MF_OP1!$U$11)</f>
        <v>59.717250342144297</v>
      </c>
      <c r="J123" s="190"/>
      <c r="K123" s="189">
        <f>Service_Weights!$G$2</f>
        <v>80</v>
      </c>
      <c r="W123" s="141"/>
    </row>
    <row r="124" spans="2:24" x14ac:dyDescent="0.2">
      <c r="B124" s="141"/>
      <c r="F124" s="319"/>
      <c r="G124" s="157"/>
      <c r="H124" s="158" t="str">
        <f>IF(CONFIG!$D$16=0,"",CONFIG!$D$16)</f>
        <v>ORANGE</v>
      </c>
      <c r="I124" s="177">
        <f>IF(CONFIG!$D$16=0,"",MF_OP2!$U$11)</f>
        <v>49.322661383544855</v>
      </c>
      <c r="J124" s="190"/>
      <c r="K124" s="189">
        <f>Service_Weights!$G$2</f>
        <v>80</v>
      </c>
      <c r="W124" s="141"/>
      <c r="X124" s="317"/>
    </row>
    <row r="125" spans="2:24" x14ac:dyDescent="0.2">
      <c r="B125" s="141"/>
      <c r="F125" s="320"/>
      <c r="G125" s="147"/>
      <c r="H125" s="160" t="str">
        <f>IF(CONFIG!$E$16=0,"",CONFIG!$E$16)</f>
        <v>YOIGO</v>
      </c>
      <c r="I125" s="188">
        <f>IF(CONFIG!$E$16=0,"",MF_OP3!$U$11)</f>
        <v>16.819595034634567</v>
      </c>
      <c r="J125" s="190"/>
      <c r="K125" s="189">
        <f>Service_Weights!$G$2</f>
        <v>80</v>
      </c>
      <c r="W125" s="141"/>
      <c r="X125" s="317"/>
    </row>
    <row r="126" spans="2:24" x14ac:dyDescent="0.2">
      <c r="B126" s="141"/>
      <c r="W126" s="141"/>
      <c r="X126" s="317"/>
    </row>
    <row r="127" spans="2:24" x14ac:dyDescent="0.2">
      <c r="B127" s="141"/>
      <c r="W127" s="141"/>
      <c r="X127" s="317"/>
    </row>
    <row r="128" spans="2:24" x14ac:dyDescent="0.2">
      <c r="B128" s="141"/>
      <c r="G128" s="143"/>
      <c r="I128" s="143"/>
      <c r="K128" s="143"/>
      <c r="W128" s="141"/>
      <c r="X128" s="317"/>
    </row>
    <row r="129" spans="2:24" x14ac:dyDescent="0.2">
      <c r="B129" s="141"/>
      <c r="G129" s="165"/>
      <c r="H129" s="165"/>
      <c r="I129" s="165"/>
      <c r="W129" s="141"/>
      <c r="X129" s="317"/>
    </row>
    <row r="130" spans="2:24" x14ac:dyDescent="0.2">
      <c r="B130" s="141"/>
      <c r="G130" s="144" t="s">
        <v>592</v>
      </c>
      <c r="H130" s="153" t="s">
        <v>586</v>
      </c>
      <c r="I130" s="145" t="s">
        <v>587</v>
      </c>
      <c r="K130" s="164">
        <v>136.5</v>
      </c>
      <c r="W130" s="141"/>
      <c r="X130" s="317"/>
    </row>
    <row r="131" spans="2:24" ht="12.75" customHeight="1" x14ac:dyDescent="0.2">
      <c r="B131" s="141"/>
      <c r="F131" s="318" t="s">
        <v>595</v>
      </c>
      <c r="G131" s="161" t="s">
        <v>4</v>
      </c>
      <c r="H131" s="156" t="str">
        <f>CONFIG!$B$16</f>
        <v>VODAFONE</v>
      </c>
      <c r="I131" s="176">
        <f>MF_VF!$S$20+MF_VF!$S$27</f>
        <v>115.4146719673991</v>
      </c>
      <c r="K131" s="189">
        <f>Service_Weights!$E$6+Service_Weights!$E$7</f>
        <v>126</v>
      </c>
      <c r="W131" s="141"/>
      <c r="X131" s="317"/>
    </row>
    <row r="132" spans="2:24" x14ac:dyDescent="0.2">
      <c r="B132" s="141"/>
      <c r="F132" s="319"/>
      <c r="G132" s="157"/>
      <c r="H132" s="158" t="str">
        <f>IF(CONFIG!$C$16=0,"",CONFIG!$C$16)</f>
        <v>MOVISTAR</v>
      </c>
      <c r="I132" s="177">
        <f>IF(CONFIG!$C$16=0,"",MF_OP1!$S$20+MF_OP1!$S$27)</f>
        <v>113.11933410489812</v>
      </c>
      <c r="K132" s="189">
        <f>Service_Weights!$E$6+Service_Weights!$E$7</f>
        <v>126</v>
      </c>
      <c r="W132" s="141"/>
      <c r="X132" s="317"/>
    </row>
    <row r="133" spans="2:24" x14ac:dyDescent="0.2">
      <c r="B133" s="141"/>
      <c r="F133" s="319"/>
      <c r="G133" s="157"/>
      <c r="H133" s="158" t="str">
        <f>IF(CONFIG!$D$16=0,"",CONFIG!$D$16)</f>
        <v>ORANGE</v>
      </c>
      <c r="I133" s="177">
        <f>IF(CONFIG!$D$16=0,"",MF_OP2!$S$20+MF_OP2!$S$27)</f>
        <v>111.08637606951602</v>
      </c>
      <c r="K133" s="189">
        <f>Service_Weights!$E$6+Service_Weights!$E$7</f>
        <v>126</v>
      </c>
      <c r="W133" s="141"/>
      <c r="X133" s="317"/>
    </row>
    <row r="134" spans="2:24" x14ac:dyDescent="0.2">
      <c r="B134" s="141"/>
      <c r="F134" s="319"/>
      <c r="G134" s="185"/>
      <c r="H134" s="160" t="str">
        <f>IF(CONFIG!$E$16=0,"",CONFIG!$E$16)</f>
        <v>YOIGO</v>
      </c>
      <c r="I134" s="178">
        <f>IF(CONFIG!$E$16=0,"",MF_OP3!$S$20+MF_OP3!$S$27)</f>
        <v>102.40746260507075</v>
      </c>
      <c r="K134" s="189">
        <f>Service_Weights!$E$6+Service_Weights!$E$7</f>
        <v>126</v>
      </c>
      <c r="W134" s="141"/>
      <c r="X134" s="317"/>
    </row>
    <row r="135" spans="2:24" x14ac:dyDescent="0.2">
      <c r="B135" s="141"/>
      <c r="F135" s="319"/>
      <c r="G135" s="162" t="s">
        <v>5</v>
      </c>
      <c r="H135" s="156" t="str">
        <f>CONFIG!$B$16</f>
        <v>VODAFONE</v>
      </c>
      <c r="I135" s="176">
        <f>MF_VF!$T$20+MF_VF!$T$27</f>
        <v>38.377610931326799</v>
      </c>
      <c r="K135" s="189">
        <f>Service_Weights!$F$6+Service_Weights!$F$7</f>
        <v>42</v>
      </c>
      <c r="W135" s="141"/>
      <c r="X135" s="317"/>
    </row>
    <row r="136" spans="2:24" x14ac:dyDescent="0.2">
      <c r="B136" s="141"/>
      <c r="F136" s="319"/>
      <c r="G136" s="163"/>
      <c r="H136" s="158" t="str">
        <f>IF(CONFIG!$C$16=0,"",CONFIG!$C$16)</f>
        <v>MOVISTAR</v>
      </c>
      <c r="I136" s="177">
        <f>IF(CONFIG!$C$16=0,"",MF_OP1!$T$20+MF_OP1!$T$27)</f>
        <v>37.735329318135747</v>
      </c>
      <c r="K136" s="189">
        <f>Service_Weights!$F$6+Service_Weights!$F$7</f>
        <v>42</v>
      </c>
      <c r="W136" s="141"/>
      <c r="X136" s="317"/>
    </row>
    <row r="137" spans="2:24" ht="12.75" customHeight="1" x14ac:dyDescent="0.2">
      <c r="B137" s="141"/>
      <c r="F137" s="319"/>
      <c r="G137" s="157"/>
      <c r="H137" s="158" t="str">
        <f>IF(CONFIG!$D$16=0,"",CONFIG!$D$16)</f>
        <v>ORANGE</v>
      </c>
      <c r="I137" s="177">
        <f>IF(CONFIG!$D$16=0,"",MF_OP2!$T$20+MF_OP2!$T$27)</f>
        <v>36.420963690928509</v>
      </c>
      <c r="K137" s="189">
        <f>Service_Weights!$F$6+Service_Weights!$F$7</f>
        <v>42</v>
      </c>
      <c r="W137" s="141"/>
      <c r="X137" s="317"/>
    </row>
    <row r="138" spans="2:24" x14ac:dyDescent="0.2">
      <c r="B138" s="141"/>
      <c r="F138" s="319"/>
      <c r="G138" s="186"/>
      <c r="H138" s="160" t="str">
        <f>IF(CONFIG!$E$16=0,"",CONFIG!$E$16)</f>
        <v>YOIGO</v>
      </c>
      <c r="I138" s="178">
        <f>IF(CONFIG!$E$16=0,"",MF_OP3!$T$20+MF_OP3!$T$27)</f>
        <v>34.446602989194304</v>
      </c>
      <c r="K138" s="189">
        <f>Service_Weights!$F$6+Service_Weights!$F$7</f>
        <v>42</v>
      </c>
      <c r="W138" s="141"/>
      <c r="X138" s="317"/>
    </row>
    <row r="139" spans="2:24" ht="12" customHeight="1" x14ac:dyDescent="0.2">
      <c r="B139" s="141"/>
      <c r="F139" s="319"/>
      <c r="G139" s="182" t="s">
        <v>593</v>
      </c>
      <c r="H139" s="156" t="str">
        <f>CONFIG!$B$16</f>
        <v>VODAFONE</v>
      </c>
      <c r="I139" s="176">
        <f>MF_VF!$U$20+MF_VF!$U$27</f>
        <v>34.561881155569679</v>
      </c>
      <c r="K139" s="189">
        <f>Service_Weights!$G$6+Service_Weights!$G$7</f>
        <v>42</v>
      </c>
      <c r="W139" s="141"/>
      <c r="X139" s="317"/>
    </row>
    <row r="140" spans="2:24" x14ac:dyDescent="0.2">
      <c r="B140" s="141"/>
      <c r="F140" s="319"/>
      <c r="G140" s="183"/>
      <c r="H140" s="158" t="str">
        <f>IF(CONFIG!$C$16=0,"",CONFIG!$C$16)</f>
        <v>MOVISTAR</v>
      </c>
      <c r="I140" s="177">
        <f>IF(CONFIG!$C$16=0,"",MF_OP1!$U$20+MF_OP1!$U$27)</f>
        <v>32.446933018553395</v>
      </c>
      <c r="K140" s="189">
        <f>Service_Weights!$G$6+Service_Weights!$G$7</f>
        <v>42</v>
      </c>
      <c r="W140" s="141"/>
      <c r="X140" s="317"/>
    </row>
    <row r="141" spans="2:24" x14ac:dyDescent="0.2">
      <c r="B141" s="141"/>
      <c r="F141" s="319"/>
      <c r="G141" s="157"/>
      <c r="H141" s="158" t="str">
        <f>IF(CONFIG!$D$16=0,"",CONFIG!$D$16)</f>
        <v>ORANGE</v>
      </c>
      <c r="I141" s="177">
        <f>IF(CONFIG!$D$16=0,"",MF_OP2!$U$20+MF_OP2!$U$27)</f>
        <v>30.603630237969725</v>
      </c>
      <c r="K141" s="189">
        <f>Service_Weights!$G$6+Service_Weights!$G$7</f>
        <v>42</v>
      </c>
      <c r="W141" s="141"/>
      <c r="X141" s="317"/>
    </row>
    <row r="142" spans="2:24" x14ac:dyDescent="0.2">
      <c r="B142" s="141"/>
      <c r="F142" s="320"/>
      <c r="G142" s="147"/>
      <c r="H142" s="160" t="str">
        <f>IF(CONFIG!$E$16=0,"",CONFIG!$E$16)</f>
        <v>YOIGO</v>
      </c>
      <c r="I142" s="188">
        <f>IF(CONFIG!$E$16=0,"",MF_OP3!$U$20+MF_OP3!$U$27)</f>
        <v>23.509876928190117</v>
      </c>
      <c r="K142" s="189">
        <f>Service_Weights!$G$6+Service_Weights!$G$7</f>
        <v>42</v>
      </c>
      <c r="W142" s="141"/>
    </row>
    <row r="143" spans="2:24" x14ac:dyDescent="0.2">
      <c r="B143" s="141"/>
      <c r="W143" s="141"/>
    </row>
    <row r="144" spans="2:24" x14ac:dyDescent="0.2">
      <c r="B144" s="141"/>
      <c r="W144" s="141"/>
    </row>
    <row r="145" spans="2:23" x14ac:dyDescent="0.2">
      <c r="B145" s="141"/>
      <c r="W145" s="141"/>
    </row>
    <row r="146" spans="2:23" x14ac:dyDescent="0.2">
      <c r="B146" s="141"/>
      <c r="W146" s="141"/>
    </row>
    <row r="147" spans="2:23" x14ac:dyDescent="0.2">
      <c r="B147" s="141"/>
      <c r="G147" s="144" t="s">
        <v>592</v>
      </c>
      <c r="H147" s="153" t="s">
        <v>586</v>
      </c>
      <c r="I147" s="145" t="s">
        <v>587</v>
      </c>
      <c r="W147" s="141"/>
    </row>
    <row r="148" spans="2:23" x14ac:dyDescent="0.2">
      <c r="B148" s="141"/>
      <c r="F148" s="318" t="s">
        <v>596</v>
      </c>
      <c r="G148" s="161" t="s">
        <v>4</v>
      </c>
      <c r="H148" s="156" t="str">
        <f>CONFIG!$B$16</f>
        <v>VODAFONE</v>
      </c>
      <c r="I148" s="176">
        <f>MF_VF!$S$35+MF_VF!$S$51</f>
        <v>64.079512552263139</v>
      </c>
      <c r="K148" s="189">
        <f>Service_Weights!$E$8+Service_Weights!$E$10</f>
        <v>72</v>
      </c>
      <c r="W148" s="141"/>
    </row>
    <row r="149" spans="2:23" ht="12.75" customHeight="1" x14ac:dyDescent="0.2">
      <c r="B149" s="141"/>
      <c r="F149" s="319"/>
      <c r="G149" s="157"/>
      <c r="H149" s="158" t="str">
        <f>IF(CONFIG!$C$16=0,"",CONFIG!$C$16)</f>
        <v>MOVISTAR</v>
      </c>
      <c r="I149" s="177">
        <f>IF(CONFIG!$C$16=0,"",MF_OP1!$S$35+MF_OP1!$S$51)</f>
        <v>61.942966686092859</v>
      </c>
      <c r="K149" s="189">
        <f>Service_Weights!$E$8+Service_Weights!$E$10</f>
        <v>72</v>
      </c>
      <c r="W149" s="141"/>
    </row>
    <row r="150" spans="2:23" x14ac:dyDescent="0.2">
      <c r="B150" s="141"/>
      <c r="F150" s="319"/>
      <c r="G150" s="157"/>
      <c r="H150" s="158" t="str">
        <f>IF(CONFIG!$D$16=0,"",CONFIG!$D$16)</f>
        <v>ORANGE</v>
      </c>
      <c r="I150" s="177">
        <f>IF(CONFIG!$D$16=0,"",MF_OP2!$S$35+MF_OP2!$S$51)</f>
        <v>59.065286521157972</v>
      </c>
      <c r="K150" s="189">
        <f>Service_Weights!$E$8+Service_Weights!$E$10</f>
        <v>72</v>
      </c>
      <c r="W150" s="141"/>
    </row>
    <row r="151" spans="2:23" x14ac:dyDescent="0.2">
      <c r="B151" s="141"/>
      <c r="F151" s="319"/>
      <c r="G151" s="185"/>
      <c r="H151" s="160" t="str">
        <f>IF(CONFIG!$E$16=0,"",CONFIG!$E$16)</f>
        <v>YOIGO</v>
      </c>
      <c r="I151" s="178">
        <f>IF(CONFIG!$E$16=0,"",MF_OP3!$S$35+MF_OP3!$S$51)</f>
        <v>52.520616236162589</v>
      </c>
      <c r="K151" s="189">
        <f>Service_Weights!$E$8+Service_Weights!$E$10</f>
        <v>72</v>
      </c>
      <c r="W151" s="141"/>
    </row>
    <row r="152" spans="2:23" x14ac:dyDescent="0.2">
      <c r="B152" s="141"/>
      <c r="F152" s="319"/>
      <c r="G152" s="162" t="s">
        <v>5</v>
      </c>
      <c r="H152" s="156" t="str">
        <f>CONFIG!$B$16</f>
        <v>VODAFONE</v>
      </c>
      <c r="I152" s="176">
        <f>MF_VF!$T$35+MF_VF!$T$51</f>
        <v>21.497266789776631</v>
      </c>
      <c r="K152" s="189">
        <f>Service_Weights!$F$8+Service_Weights!$F$10</f>
        <v>24</v>
      </c>
      <c r="W152" s="141"/>
    </row>
    <row r="153" spans="2:23" x14ac:dyDescent="0.2">
      <c r="B153" s="141"/>
      <c r="F153" s="319"/>
      <c r="G153" s="163"/>
      <c r="H153" s="158" t="str">
        <f>IF(CONFIG!$C$16=0,"",CONFIG!$C$16)</f>
        <v>MOVISTAR</v>
      </c>
      <c r="I153" s="177">
        <f>IF(CONFIG!$C$16=0,"",MF_OP1!$T$35+MF_OP1!$T$51)</f>
        <v>21.125256956261868</v>
      </c>
      <c r="K153" s="189">
        <f>Service_Weights!$F$8+Service_Weights!$F$10</f>
        <v>24</v>
      </c>
      <c r="W153" s="141"/>
    </row>
    <row r="154" spans="2:23" x14ac:dyDescent="0.2">
      <c r="B154" s="141"/>
      <c r="F154" s="319"/>
      <c r="G154" s="157"/>
      <c r="H154" s="158" t="str">
        <f>IF(CONFIG!$D$16=0,"",CONFIG!$D$16)</f>
        <v>ORANGE</v>
      </c>
      <c r="I154" s="177">
        <f>IF(CONFIG!$D$16=0,"",MF_OP2!$T$35+MF_OP2!$T$51)</f>
        <v>19.266613838129842</v>
      </c>
      <c r="K154" s="189">
        <f>Service_Weights!$F$8+Service_Weights!$F$10</f>
        <v>24</v>
      </c>
      <c r="W154" s="141"/>
    </row>
    <row r="155" spans="2:23" ht="12.75" customHeight="1" x14ac:dyDescent="0.2">
      <c r="B155" s="141"/>
      <c r="F155" s="319"/>
      <c r="G155" s="186"/>
      <c r="H155" s="160" t="str">
        <f>IF(CONFIG!$E$16=0,"",CONFIG!$E$16)</f>
        <v>YOIGO</v>
      </c>
      <c r="I155" s="178">
        <f>IF(CONFIG!$E$16=0,"",MF_OP3!$T$35+MF_OP3!$T$51)</f>
        <v>17.245357718054059</v>
      </c>
      <c r="K155" s="189">
        <f>Service_Weights!$F$8+Service_Weights!$F$10</f>
        <v>24</v>
      </c>
      <c r="W155" s="141"/>
    </row>
    <row r="156" spans="2:23" ht="12" customHeight="1" x14ac:dyDescent="0.2">
      <c r="B156" s="141"/>
      <c r="F156" s="319"/>
      <c r="G156" s="182" t="s">
        <v>593</v>
      </c>
      <c r="H156" s="156" t="str">
        <f>CONFIG!$B$16</f>
        <v>VODAFONE</v>
      </c>
      <c r="I156" s="176">
        <f>MF_VF!$U$35+MF_VF!$U$51</f>
        <v>20.386175276971517</v>
      </c>
      <c r="K156" s="189">
        <f>Service_Weights!$G$8+Service_Weights!$G$10</f>
        <v>24</v>
      </c>
      <c r="W156" s="141"/>
    </row>
    <row r="157" spans="2:23" x14ac:dyDescent="0.2">
      <c r="B157" s="141"/>
      <c r="F157" s="319"/>
      <c r="G157" s="183"/>
      <c r="H157" s="158" t="str">
        <f>IF(CONFIG!$C$16=0,"",CONFIG!$C$16)</f>
        <v>MOVISTAR</v>
      </c>
      <c r="I157" s="177">
        <f>IF(CONFIG!$C$16=0,"",MF_OP1!$U$35+MF_OP1!$U$51)</f>
        <v>19.707232829602916</v>
      </c>
      <c r="K157" s="189">
        <f>Service_Weights!$G$8+Service_Weights!$G$10</f>
        <v>24</v>
      </c>
      <c r="W157" s="141"/>
    </row>
    <row r="158" spans="2:23" x14ac:dyDescent="0.2">
      <c r="B158" s="141"/>
      <c r="F158" s="319"/>
      <c r="G158" s="157"/>
      <c r="H158" s="158" t="str">
        <f>IF(CONFIG!$D$16=0,"",CONFIG!$D$16)</f>
        <v>ORANGE</v>
      </c>
      <c r="I158" s="177">
        <f>IF(CONFIG!$D$16=0,"",MF_OP2!$U$35+MF_OP2!$U$51)</f>
        <v>17.74420197053584</v>
      </c>
      <c r="K158" s="189">
        <f>Service_Weights!$G$8+Service_Weights!$G$10</f>
        <v>24</v>
      </c>
      <c r="W158" s="141"/>
    </row>
    <row r="159" spans="2:23" x14ac:dyDescent="0.2">
      <c r="B159" s="141"/>
      <c r="F159" s="320"/>
      <c r="G159" s="147"/>
      <c r="H159" s="160" t="str">
        <f>IF(CONFIG!$E$16=0,"",CONFIG!$E$16)</f>
        <v>YOIGO</v>
      </c>
      <c r="I159" s="188">
        <f>IF(CONFIG!$E$16=0,"",MF_OP3!$U$35+MF_OP3!$U$51)</f>
        <v>16.21920103256512</v>
      </c>
      <c r="K159" s="189">
        <f>Service_Weights!$G$8+Service_Weights!$G$10</f>
        <v>24</v>
      </c>
      <c r="W159" s="141"/>
    </row>
    <row r="160" spans="2:23" x14ac:dyDescent="0.2">
      <c r="B160" s="141"/>
      <c r="W160" s="141"/>
    </row>
    <row r="161" spans="2:23" x14ac:dyDescent="0.2">
      <c r="B161" s="141"/>
      <c r="W161" s="141"/>
    </row>
    <row r="162" spans="2:23" x14ac:dyDescent="0.2">
      <c r="B162" s="141"/>
      <c r="W162" s="141"/>
    </row>
    <row r="163" spans="2:23" x14ac:dyDescent="0.2">
      <c r="B163" s="141"/>
      <c r="W163" s="141"/>
    </row>
    <row r="164" spans="2:23" x14ac:dyDescent="0.2">
      <c r="B164" s="141"/>
      <c r="G164" s="144" t="s">
        <v>592</v>
      </c>
      <c r="H164" s="153" t="s">
        <v>586</v>
      </c>
      <c r="I164" s="145" t="s">
        <v>587</v>
      </c>
      <c r="W164" s="141"/>
    </row>
    <row r="165" spans="2:23" x14ac:dyDescent="0.2">
      <c r="B165" s="141"/>
      <c r="F165" s="318" t="s">
        <v>597</v>
      </c>
      <c r="G165" s="161" t="s">
        <v>4</v>
      </c>
      <c r="H165" s="156" t="str">
        <f>CONFIG!$B$16</f>
        <v>VODAFONE</v>
      </c>
      <c r="I165" s="176">
        <f>MF_VF!$S$43+MF_VF!$S$59</f>
        <v>64.012830457342005</v>
      </c>
      <c r="K165" s="189">
        <f>Service_Weights!$E$9+Service_Weights!$E$11</f>
        <v>72</v>
      </c>
      <c r="W165" s="141"/>
    </row>
    <row r="166" spans="2:23" ht="12.75" customHeight="1" x14ac:dyDescent="0.2">
      <c r="B166" s="141"/>
      <c r="F166" s="319"/>
      <c r="G166" s="157"/>
      <c r="H166" s="158" t="str">
        <f>IF(CONFIG!$C$16=0,"",CONFIG!$C$16)</f>
        <v>MOVISTAR</v>
      </c>
      <c r="I166" s="177">
        <f>IF(CONFIG!$C$16=0,"",MF_OP1!$S$43+MF_OP1!$S$59)</f>
        <v>63.185183513957391</v>
      </c>
      <c r="K166" s="189">
        <f>Service_Weights!$E$9+Service_Weights!$E$11</f>
        <v>72</v>
      </c>
      <c r="W166" s="141"/>
    </row>
    <row r="167" spans="2:23" x14ac:dyDescent="0.2">
      <c r="B167" s="141"/>
      <c r="F167" s="319"/>
      <c r="G167" s="157"/>
      <c r="H167" s="158" t="str">
        <f>IF(CONFIG!$D$16=0,"",CONFIG!$D$16)</f>
        <v>ORANGE</v>
      </c>
      <c r="I167" s="177">
        <f>IF(CONFIG!$D$16=0,"",MF_OP2!$S$43+MF_OP2!$S$59)</f>
        <v>58.76892670999824</v>
      </c>
      <c r="K167" s="189">
        <f>Service_Weights!$E$9+Service_Weights!$E$11</f>
        <v>72</v>
      </c>
      <c r="W167" s="141"/>
    </row>
    <row r="168" spans="2:23" x14ac:dyDescent="0.2">
      <c r="B168" s="141"/>
      <c r="F168" s="319"/>
      <c r="G168" s="185"/>
      <c r="H168" s="160" t="str">
        <f>IF(CONFIG!$E$16=0,"",CONFIG!$E$16)</f>
        <v>YOIGO</v>
      </c>
      <c r="I168" s="178">
        <f>IF(CONFIG!$E$16=0,"",MF_OP3!$S$43+MF_OP3!$S$59)</f>
        <v>51.279817938204403</v>
      </c>
      <c r="K168" s="189">
        <f>Service_Weights!$E$9+Service_Weights!$E$11</f>
        <v>72</v>
      </c>
      <c r="W168" s="141"/>
    </row>
    <row r="169" spans="2:23" x14ac:dyDescent="0.2">
      <c r="B169" s="141"/>
      <c r="F169" s="319"/>
      <c r="G169" s="162" t="s">
        <v>5</v>
      </c>
      <c r="H169" s="156" t="str">
        <f>CONFIG!$B$16</f>
        <v>VODAFONE</v>
      </c>
      <c r="I169" s="176">
        <f>MF_VF!$T$43+MF_VF!$T$59</f>
        <v>21.781853474426139</v>
      </c>
      <c r="K169" s="189">
        <f>Service_Weights!$F$9+Service_Weights!$F$11</f>
        <v>24</v>
      </c>
      <c r="W169" s="141"/>
    </row>
    <row r="170" spans="2:23" x14ac:dyDescent="0.2">
      <c r="B170" s="141"/>
      <c r="F170" s="319"/>
      <c r="G170" s="163"/>
      <c r="H170" s="158" t="str">
        <f>IF(CONFIG!$C$16=0,"",CONFIG!$C$16)</f>
        <v>MOVISTAR</v>
      </c>
      <c r="I170" s="177">
        <f>IF(CONFIG!$C$16=0,"",MF_OP1!$T$43+MF_OP1!$T$59)</f>
        <v>21.712421403201837</v>
      </c>
      <c r="K170" s="189">
        <f>Service_Weights!$F$9+Service_Weights!$F$11</f>
        <v>24</v>
      </c>
      <c r="W170" s="141"/>
    </row>
    <row r="171" spans="2:23" x14ac:dyDescent="0.2">
      <c r="B171" s="141"/>
      <c r="F171" s="319"/>
      <c r="G171" s="157"/>
      <c r="H171" s="158" t="str">
        <f>IF(CONFIG!$D$16=0,"",CONFIG!$D$16)</f>
        <v>ORANGE</v>
      </c>
      <c r="I171" s="177">
        <f>IF(CONFIG!$D$16=0,"",MF_OP2!$T$43+MF_OP2!$T$59)</f>
        <v>19.280368944648441</v>
      </c>
      <c r="K171" s="189">
        <f>Service_Weights!$F$9+Service_Weights!$F$11</f>
        <v>24</v>
      </c>
      <c r="W171" s="141"/>
    </row>
    <row r="172" spans="2:23" ht="12.75" customHeight="1" x14ac:dyDescent="0.2">
      <c r="B172" s="141"/>
      <c r="F172" s="319"/>
      <c r="G172" s="186"/>
      <c r="H172" s="160" t="str">
        <f>IF(CONFIG!$E$16=0,"",CONFIG!$E$16)</f>
        <v>YOIGO</v>
      </c>
      <c r="I172" s="178">
        <f>IF(CONFIG!$E$16=0,"",MF_OP3!$T$43+MF_OP3!$T$59)</f>
        <v>17.077467353814122</v>
      </c>
      <c r="K172" s="189">
        <f>Service_Weights!$F$9+Service_Weights!$F$11</f>
        <v>24</v>
      </c>
      <c r="W172" s="141"/>
    </row>
    <row r="173" spans="2:23" ht="12" customHeight="1" x14ac:dyDescent="0.2">
      <c r="B173" s="141"/>
      <c r="F173" s="319"/>
      <c r="G173" s="182" t="s">
        <v>593</v>
      </c>
      <c r="H173" s="156" t="str">
        <f>CONFIG!$B$16</f>
        <v>VODAFONE</v>
      </c>
      <c r="I173" s="176">
        <f>MF_VF!$U$43+MF_VF!$U$59</f>
        <v>17.783751272902201</v>
      </c>
      <c r="K173" s="189">
        <f>Service_Weights!$G$9+Service_Weights!$G$11</f>
        <v>24</v>
      </c>
      <c r="W173" s="141"/>
    </row>
    <row r="174" spans="2:23" x14ac:dyDescent="0.2">
      <c r="B174" s="141"/>
      <c r="F174" s="319"/>
      <c r="G174" s="183"/>
      <c r="H174" s="158" t="str">
        <f>IF(CONFIG!$C$16=0,"",CONFIG!$C$16)</f>
        <v>MOVISTAR</v>
      </c>
      <c r="I174" s="177">
        <f>IF(CONFIG!$C$16=0,"",MF_OP1!$U$43+MF_OP1!$U$59)</f>
        <v>17.880533454033152</v>
      </c>
      <c r="K174" s="189">
        <f>Service_Weights!$G$9+Service_Weights!$G$11</f>
        <v>24</v>
      </c>
      <c r="W174" s="141"/>
    </row>
    <row r="175" spans="2:23" x14ac:dyDescent="0.2">
      <c r="B175" s="141"/>
      <c r="F175" s="319"/>
      <c r="G175" s="157"/>
      <c r="H175" s="158" t="str">
        <f>IF(CONFIG!$D$16=0,"",CONFIG!$D$16)</f>
        <v>ORANGE</v>
      </c>
      <c r="I175" s="177">
        <f>IF(CONFIG!$D$16=0,"",MF_OP2!$U$43+MF_OP2!$U$59)</f>
        <v>15.865224356107101</v>
      </c>
      <c r="K175" s="189">
        <f>Service_Weights!$G$9+Service_Weights!$G$11</f>
        <v>24</v>
      </c>
      <c r="W175" s="141"/>
    </row>
    <row r="176" spans="2:23" x14ac:dyDescent="0.2">
      <c r="B176" s="141"/>
      <c r="F176" s="320"/>
      <c r="G176" s="147"/>
      <c r="H176" s="160" t="str">
        <f>IF(CONFIG!$E$16=0,"",CONFIG!$E$16)</f>
        <v>YOIGO</v>
      </c>
      <c r="I176" s="188">
        <f>IF(CONFIG!$E$16=0,"",MF_OP3!$U$43+MF_OP3!$U$59)</f>
        <v>13.751028325445755</v>
      </c>
      <c r="K176" s="189">
        <f>Service_Weights!$G$9+Service_Weights!$G$11</f>
        <v>24</v>
      </c>
      <c r="W176" s="141"/>
    </row>
    <row r="177" spans="2:23" x14ac:dyDescent="0.2">
      <c r="B177" s="141"/>
      <c r="W177" s="141"/>
    </row>
    <row r="178" spans="2:23" x14ac:dyDescent="0.2">
      <c r="B178" s="141"/>
      <c r="W178" s="141"/>
    </row>
    <row r="179" spans="2:23" x14ac:dyDescent="0.2">
      <c r="B179" s="141"/>
      <c r="W179" s="141"/>
    </row>
    <row r="180" spans="2:23" x14ac:dyDescent="0.2">
      <c r="B180" s="141"/>
      <c r="W180" s="141"/>
    </row>
    <row r="181" spans="2:23" x14ac:dyDescent="0.2">
      <c r="B181" s="141"/>
      <c r="G181" s="144" t="s">
        <v>592</v>
      </c>
      <c r="H181" s="153" t="s">
        <v>586</v>
      </c>
      <c r="I181" s="145" t="s">
        <v>587</v>
      </c>
      <c r="W181" s="141"/>
    </row>
    <row r="182" spans="2:23" x14ac:dyDescent="0.2">
      <c r="B182" s="141"/>
      <c r="F182" s="318" t="s">
        <v>598</v>
      </c>
      <c r="G182" s="161" t="s">
        <v>4</v>
      </c>
      <c r="H182" s="156" t="str">
        <f>CONFIG!$B$16</f>
        <v>VODAFONE</v>
      </c>
      <c r="I182" s="176">
        <f>MF_VF!$S$67</f>
        <v>83.718017227713261</v>
      </c>
      <c r="K182" s="189">
        <f>Service_Weights!$E$12</f>
        <v>90</v>
      </c>
      <c r="W182" s="141"/>
    </row>
    <row r="183" spans="2:23" ht="12.75" customHeight="1" x14ac:dyDescent="0.2">
      <c r="B183" s="141"/>
      <c r="F183" s="319"/>
      <c r="G183" s="157"/>
      <c r="H183" s="158" t="str">
        <f>IF(CONFIG!$C$16=0,"",CONFIG!$C$16)</f>
        <v>MOVISTAR</v>
      </c>
      <c r="I183" s="177">
        <f>IF(CONFIG!$C$16=0,"",MF_OP1!$S$67)</f>
        <v>84.850072667641513</v>
      </c>
      <c r="K183" s="189">
        <f>Service_Weights!$E$12</f>
        <v>90</v>
      </c>
      <c r="W183" s="141"/>
    </row>
    <row r="184" spans="2:23" x14ac:dyDescent="0.2">
      <c r="B184" s="141"/>
      <c r="F184" s="319"/>
      <c r="G184" s="157"/>
      <c r="H184" s="158" t="str">
        <f>IF(CONFIG!$D$16=0,"",CONFIG!$D$16)</f>
        <v>ORANGE</v>
      </c>
      <c r="I184" s="177">
        <f>IF(CONFIG!$D$16=0,"",MF_OP2!$S$67)</f>
        <v>82.541101150735912</v>
      </c>
      <c r="K184" s="189">
        <f>Service_Weights!$E$12</f>
        <v>90</v>
      </c>
      <c r="W184" s="141"/>
    </row>
    <row r="185" spans="2:23" x14ac:dyDescent="0.2">
      <c r="B185" s="141"/>
      <c r="F185" s="319"/>
      <c r="G185" s="185"/>
      <c r="H185" s="160" t="str">
        <f>IF(CONFIG!$E$16=0,"",CONFIG!$E$16)</f>
        <v>YOIGO</v>
      </c>
      <c r="I185" s="178">
        <f>IF(CONFIG!$E$16=0,"",MF_OP3!$S$67)</f>
        <v>72.018917489110706</v>
      </c>
      <c r="K185" s="189">
        <f>Service_Weights!$E$12</f>
        <v>90</v>
      </c>
      <c r="W185" s="141"/>
    </row>
    <row r="186" spans="2:23" x14ac:dyDescent="0.2">
      <c r="B186" s="141"/>
      <c r="F186" s="319"/>
      <c r="G186" s="162" t="s">
        <v>5</v>
      </c>
      <c r="H186" s="156" t="str">
        <f>CONFIG!$B$16</f>
        <v>VODAFONE</v>
      </c>
      <c r="I186" s="176">
        <f>MF_VF!$T$67</f>
        <v>28.501021720918224</v>
      </c>
      <c r="K186" s="189">
        <f>Service_Weights!$F$12</f>
        <v>30</v>
      </c>
      <c r="W186" s="141"/>
    </row>
    <row r="187" spans="2:23" x14ac:dyDescent="0.2">
      <c r="B187" s="141"/>
      <c r="F187" s="319"/>
      <c r="G187" s="163"/>
      <c r="H187" s="158" t="str">
        <f>IF(CONFIG!$C$16=0,"",CONFIG!$C$16)</f>
        <v>MOVISTAR</v>
      </c>
      <c r="I187" s="177">
        <f>IF(CONFIG!$C$16=0,"",MF_OP1!$T$67)</f>
        <v>28.477930276010813</v>
      </c>
      <c r="K187" s="189">
        <f>Service_Weights!$F$12</f>
        <v>30</v>
      </c>
      <c r="W187" s="141"/>
    </row>
    <row r="188" spans="2:23" x14ac:dyDescent="0.2">
      <c r="B188" s="141"/>
      <c r="F188" s="319"/>
      <c r="G188" s="157"/>
      <c r="H188" s="158" t="str">
        <f>IF(CONFIG!$D$16=0,"",CONFIG!$D$16)</f>
        <v>ORANGE</v>
      </c>
      <c r="I188" s="177">
        <f>IF(CONFIG!$D$16=0,"",MF_OP2!$T$67)</f>
        <v>27.378616349083167</v>
      </c>
      <c r="K188" s="189">
        <f>Service_Weights!$F$12</f>
        <v>30</v>
      </c>
      <c r="W188" s="141"/>
    </row>
    <row r="189" spans="2:23" ht="12.75" customHeight="1" x14ac:dyDescent="0.2">
      <c r="B189" s="141"/>
      <c r="F189" s="319"/>
      <c r="G189" s="186"/>
      <c r="H189" s="160" t="str">
        <f>IF(CONFIG!$E$16=0,"",CONFIG!$E$16)</f>
        <v>YOIGO</v>
      </c>
      <c r="I189" s="178">
        <f>IF(CONFIG!$E$16=0,"",MF_OP3!$T$67)</f>
        <v>25.396656161607364</v>
      </c>
      <c r="K189" s="189">
        <f>Service_Weights!$F$12</f>
        <v>30</v>
      </c>
      <c r="W189" s="141"/>
    </row>
    <row r="190" spans="2:23" ht="12" customHeight="1" x14ac:dyDescent="0.2">
      <c r="B190" s="141"/>
      <c r="F190" s="319"/>
      <c r="G190" s="182" t="s">
        <v>593</v>
      </c>
      <c r="H190" s="156" t="str">
        <f>CONFIG!$B$16</f>
        <v>VODAFONE</v>
      </c>
      <c r="I190" s="176">
        <f>MF_VF!$U$67</f>
        <v>25.738393339398947</v>
      </c>
      <c r="K190" s="189">
        <f>Service_Weights!$G$12</f>
        <v>30</v>
      </c>
      <c r="W190" s="141"/>
    </row>
    <row r="191" spans="2:23" x14ac:dyDescent="0.2">
      <c r="B191" s="141"/>
      <c r="F191" s="319"/>
      <c r="G191" s="183"/>
      <c r="H191" s="158" t="str">
        <f>IF(CONFIG!$C$16=0,"",CONFIG!$C$16)</f>
        <v>MOVISTAR</v>
      </c>
      <c r="I191" s="177">
        <f>IF(CONFIG!$C$16=0,"",MF_OP1!$U$67)</f>
        <v>24.773839191491533</v>
      </c>
      <c r="K191" s="189">
        <f>Service_Weights!$G$12</f>
        <v>30</v>
      </c>
      <c r="W191" s="141"/>
    </row>
    <row r="192" spans="2:23" x14ac:dyDescent="0.2">
      <c r="B192" s="141"/>
      <c r="F192" s="319"/>
      <c r="G192" s="157"/>
      <c r="H192" s="158" t="str">
        <f>IF(CONFIG!$D$16=0,"",CONFIG!$D$16)</f>
        <v>ORANGE</v>
      </c>
      <c r="I192" s="177">
        <f>IF(CONFIG!$D$16=0,"",MF_OP2!$U$67)</f>
        <v>24.810174309305054</v>
      </c>
      <c r="K192" s="189">
        <f>Service_Weights!$G$12</f>
        <v>30</v>
      </c>
      <c r="W192" s="141"/>
    </row>
    <row r="193" spans="2:23" x14ac:dyDescent="0.2">
      <c r="B193" s="141"/>
      <c r="F193" s="320"/>
      <c r="G193" s="147"/>
      <c r="H193" s="160" t="str">
        <f>IF(CONFIG!$E$16=0,"",CONFIG!$E$16)</f>
        <v>YOIGO</v>
      </c>
      <c r="I193" s="188">
        <f>IF(CONFIG!$E$16=0,"",MF_OP3!$U$67)</f>
        <v>24.5436540946924</v>
      </c>
      <c r="K193" s="189">
        <f>Service_Weights!$G$12</f>
        <v>30</v>
      </c>
      <c r="W193" s="141"/>
    </row>
    <row r="194" spans="2:23" x14ac:dyDescent="0.2">
      <c r="B194" s="141"/>
      <c r="W194" s="141"/>
    </row>
    <row r="195" spans="2:23" ht="6.95" customHeight="1" x14ac:dyDescent="0.2"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</row>
  </sheetData>
  <mergeCells count="17">
    <mergeCell ref="F165:F176"/>
    <mergeCell ref="F182:F193"/>
    <mergeCell ref="F114:F125"/>
    <mergeCell ref="F49:F56"/>
    <mergeCell ref="O45:S45"/>
    <mergeCell ref="F90:F101"/>
    <mergeCell ref="F75:F86"/>
    <mergeCell ref="O67:S67"/>
    <mergeCell ref="O86:S86"/>
    <mergeCell ref="F148:F159"/>
    <mergeCell ref="H11:J11"/>
    <mergeCell ref="M5:S5"/>
    <mergeCell ref="F37:F44"/>
    <mergeCell ref="O28:S28"/>
    <mergeCell ref="X124:X141"/>
    <mergeCell ref="F131:F142"/>
    <mergeCell ref="C21:V2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tabColor rgb="FF92D050"/>
  </sheetPr>
  <dimension ref="A1:AH121"/>
  <sheetViews>
    <sheetView topLeftCell="G4" zoomScaleNormal="100" workbookViewId="0">
      <selection activeCell="F46" sqref="F46"/>
    </sheetView>
  </sheetViews>
  <sheetFormatPr baseColWidth="10" defaultColWidth="9.140625" defaultRowHeight="15" x14ac:dyDescent="0.25"/>
  <cols>
    <col min="1" max="1" width="5.85546875" style="66" customWidth="1"/>
    <col min="2" max="2" width="10.7109375" style="66" customWidth="1"/>
    <col min="3" max="5" width="5.7109375" style="66" customWidth="1"/>
    <col min="6" max="6" width="9.140625" style="66"/>
    <col min="7" max="7" width="1.42578125" style="66" customWidth="1"/>
    <col min="8" max="16" width="9.140625" style="66"/>
    <col min="17" max="17" width="1.42578125" style="66" customWidth="1"/>
    <col min="18" max="18" width="3.28515625" style="66" customWidth="1"/>
    <col min="19" max="19" width="1.42578125" style="66" customWidth="1"/>
    <col min="20" max="25" width="9.140625" style="66"/>
    <col min="26" max="26" width="1.42578125" style="66" customWidth="1"/>
    <col min="27" max="27" width="9.140625" style="66"/>
    <col min="28" max="28" width="5.28515625" style="66" customWidth="1"/>
    <col min="29" max="29" width="3.42578125" style="66" customWidth="1"/>
    <col min="30" max="32" width="9.140625" style="66"/>
    <col min="33" max="33" width="5.5703125" style="66" customWidth="1"/>
    <col min="34" max="34" width="1.42578125" style="66" customWidth="1"/>
    <col min="35" max="16384" width="9.140625" style="66"/>
  </cols>
  <sheetData>
    <row r="1" spans="1:34" s="231" customFormat="1" ht="15" customHeight="1" x14ac:dyDescent="0.25">
      <c r="A1" s="230" t="s">
        <v>625</v>
      </c>
      <c r="B1" s="230" t="s">
        <v>626</v>
      </c>
      <c r="C1" s="230" t="s">
        <v>588</v>
      </c>
      <c r="D1" s="230" t="s">
        <v>589</v>
      </c>
      <c r="E1" s="230" t="s">
        <v>627</v>
      </c>
      <c r="Z1" s="243"/>
    </row>
    <row r="2" spans="1:34" ht="7.5" customHeight="1" x14ac:dyDescent="0.25">
      <c r="A2" s="322" t="s">
        <v>293</v>
      </c>
      <c r="B2" s="234" t="s">
        <v>278</v>
      </c>
      <c r="C2" s="235">
        <v>328.4271148496473</v>
      </c>
      <c r="D2" s="235">
        <v>412.98096685984194</v>
      </c>
      <c r="E2" s="236">
        <v>741.40808170948924</v>
      </c>
      <c r="G2" s="232"/>
      <c r="H2" s="232"/>
      <c r="I2" s="232"/>
      <c r="J2" s="232"/>
      <c r="K2" s="232"/>
      <c r="L2" s="232"/>
      <c r="M2" s="232"/>
      <c r="N2" s="232"/>
      <c r="O2" s="232"/>
      <c r="P2" s="232"/>
      <c r="Q2" s="232"/>
      <c r="R2" s="232"/>
      <c r="S2" s="232"/>
      <c r="T2" s="232"/>
      <c r="U2" s="232"/>
      <c r="V2" s="232"/>
      <c r="W2" s="232"/>
      <c r="X2" s="232"/>
      <c r="Y2" s="232"/>
      <c r="Z2" s="244"/>
      <c r="AA2" s="232"/>
      <c r="AB2" s="232"/>
      <c r="AC2" s="232"/>
      <c r="AD2" s="232"/>
      <c r="AE2" s="232"/>
      <c r="AF2" s="232"/>
      <c r="AG2" s="232"/>
      <c r="AH2" s="232"/>
    </row>
    <row r="3" spans="1:34" ht="7.5" customHeight="1" x14ac:dyDescent="0.25">
      <c r="A3" s="323"/>
      <c r="B3" s="237" t="s">
        <v>294</v>
      </c>
      <c r="C3" s="238">
        <v>108.32553063720708</v>
      </c>
      <c r="D3" s="238">
        <v>361.09252913711231</v>
      </c>
      <c r="E3" s="239">
        <v>469.41805977431937</v>
      </c>
      <c r="G3" s="232"/>
      <c r="Z3" s="245"/>
      <c r="AH3" s="232"/>
    </row>
    <row r="4" spans="1:34" ht="7.5" customHeight="1" x14ac:dyDescent="0.25">
      <c r="A4" s="323"/>
      <c r="B4" s="237" t="s">
        <v>295</v>
      </c>
      <c r="C4" s="238">
        <v>314.73260661249572</v>
      </c>
      <c r="D4" s="238">
        <v>413.68397070957172</v>
      </c>
      <c r="E4" s="239">
        <v>728.4165773220675</v>
      </c>
      <c r="G4" s="233"/>
      <c r="Z4" s="245"/>
      <c r="AH4" s="232"/>
    </row>
    <row r="5" spans="1:34" ht="7.5" customHeight="1" x14ac:dyDescent="0.25">
      <c r="A5" s="322" t="s">
        <v>296</v>
      </c>
      <c r="B5" s="234" t="s">
        <v>278</v>
      </c>
      <c r="C5" s="235">
        <v>338.46625734602219</v>
      </c>
      <c r="D5" s="235">
        <v>442.15456048538886</v>
      </c>
      <c r="E5" s="236">
        <v>780.62081783141105</v>
      </c>
      <c r="G5" s="232"/>
      <c r="Z5" s="245"/>
      <c r="AH5" s="232"/>
    </row>
    <row r="6" spans="1:34" ht="7.5" customHeight="1" x14ac:dyDescent="0.25">
      <c r="A6" s="323"/>
      <c r="B6" s="237" t="s">
        <v>297</v>
      </c>
      <c r="C6" s="238">
        <v>275.98902057744635</v>
      </c>
      <c r="D6" s="238">
        <v>417.16557428972402</v>
      </c>
      <c r="E6" s="239">
        <v>693.15459486717032</v>
      </c>
      <c r="G6" s="232"/>
      <c r="Z6" s="245"/>
      <c r="AH6" s="232"/>
    </row>
    <row r="7" spans="1:34" ht="7.5" customHeight="1" x14ac:dyDescent="0.25">
      <c r="A7" s="323"/>
      <c r="B7" s="237" t="s">
        <v>298</v>
      </c>
      <c r="C7" s="238">
        <v>299.14692234830977</v>
      </c>
      <c r="D7" s="238">
        <v>379.8004818141182</v>
      </c>
      <c r="E7" s="239">
        <v>678.94740416242803</v>
      </c>
      <c r="G7" s="232"/>
      <c r="Z7" s="245"/>
      <c r="AH7" s="232"/>
    </row>
    <row r="8" spans="1:34" ht="7.5" customHeight="1" x14ac:dyDescent="0.25">
      <c r="A8" s="324"/>
      <c r="B8" s="240" t="s">
        <v>299</v>
      </c>
      <c r="C8" s="241">
        <v>240.32263798624894</v>
      </c>
      <c r="D8" s="241">
        <v>378.8102730308118</v>
      </c>
      <c r="E8" s="242">
        <v>619.13291101706068</v>
      </c>
      <c r="G8" s="232"/>
      <c r="Z8" s="245"/>
      <c r="AH8" s="232"/>
    </row>
    <row r="9" spans="1:34" ht="7.5" customHeight="1" x14ac:dyDescent="0.25">
      <c r="A9" s="322" t="s">
        <v>300</v>
      </c>
      <c r="B9" s="234" t="s">
        <v>278</v>
      </c>
      <c r="C9" s="235">
        <v>309.72114874946146</v>
      </c>
      <c r="D9" s="235">
        <v>353.33309340108497</v>
      </c>
      <c r="E9" s="236">
        <v>663.05424215054643</v>
      </c>
      <c r="G9" s="232"/>
      <c r="Z9" s="245"/>
      <c r="AH9" s="232"/>
    </row>
    <row r="10" spans="1:34" ht="7.5" customHeight="1" x14ac:dyDescent="0.25">
      <c r="A10" s="323"/>
      <c r="B10" s="237" t="s">
        <v>301</v>
      </c>
      <c r="C10" s="238">
        <v>277.66752570796069</v>
      </c>
      <c r="D10" s="238">
        <v>311.74847766332078</v>
      </c>
      <c r="E10" s="239">
        <v>589.41600337128148</v>
      </c>
      <c r="G10" s="232"/>
      <c r="Z10" s="245"/>
      <c r="AH10" s="232"/>
    </row>
    <row r="11" spans="1:34" ht="7.5" customHeight="1" x14ac:dyDescent="0.25">
      <c r="A11" s="323"/>
      <c r="B11" s="237" t="s">
        <v>294</v>
      </c>
      <c r="C11" s="238">
        <v>316.5791196127276</v>
      </c>
      <c r="D11" s="238">
        <v>303.01932844653425</v>
      </c>
      <c r="E11" s="239">
        <v>619.59844805926184</v>
      </c>
      <c r="G11" s="232"/>
      <c r="Z11" s="245"/>
      <c r="AH11" s="232"/>
    </row>
    <row r="12" spans="1:34" ht="7.5" customHeight="1" x14ac:dyDescent="0.25">
      <c r="A12" s="324"/>
      <c r="B12" s="240" t="s">
        <v>302</v>
      </c>
      <c r="C12" s="241">
        <v>328.99514116251248</v>
      </c>
      <c r="D12" s="241">
        <v>354.03778232951134</v>
      </c>
      <c r="E12" s="242">
        <v>683.03292349202388</v>
      </c>
      <c r="G12" s="232"/>
      <c r="Z12" s="245"/>
      <c r="AH12" s="232"/>
    </row>
    <row r="13" spans="1:34" ht="7.5" customHeight="1" x14ac:dyDescent="0.25">
      <c r="A13" s="322" t="s">
        <v>303</v>
      </c>
      <c r="B13" s="234" t="s">
        <v>278</v>
      </c>
      <c r="C13" s="235">
        <v>345.07488574837879</v>
      </c>
      <c r="D13" s="235">
        <v>473.62662359496198</v>
      </c>
      <c r="E13" s="236">
        <v>818.70150934334083</v>
      </c>
      <c r="G13" s="232"/>
      <c r="Z13" s="245"/>
      <c r="AH13" s="232"/>
    </row>
    <row r="14" spans="1:34" ht="7.5" customHeight="1" x14ac:dyDescent="0.25">
      <c r="A14" s="323"/>
      <c r="B14" s="237" t="s">
        <v>295</v>
      </c>
      <c r="C14" s="238">
        <v>364.38995659422335</v>
      </c>
      <c r="D14" s="238">
        <v>487.54046288216909</v>
      </c>
      <c r="E14" s="239">
        <v>851.93041947639244</v>
      </c>
      <c r="G14" s="232"/>
      <c r="Z14" s="245"/>
      <c r="AH14" s="232"/>
    </row>
    <row r="15" spans="1:34" ht="7.5" customHeight="1" x14ac:dyDescent="0.25">
      <c r="A15" s="323"/>
      <c r="B15" s="237" t="s">
        <v>304</v>
      </c>
      <c r="C15" s="238">
        <v>355.3477409440992</v>
      </c>
      <c r="D15" s="238">
        <v>452.27781682363241</v>
      </c>
      <c r="E15" s="239">
        <v>807.62555776773161</v>
      </c>
      <c r="G15" s="232"/>
      <c r="Z15" s="245"/>
      <c r="AH15" s="232"/>
    </row>
    <row r="16" spans="1:34" ht="7.5" customHeight="1" x14ac:dyDescent="0.25">
      <c r="A16" s="324"/>
      <c r="B16" s="237" t="s">
        <v>702</v>
      </c>
      <c r="C16" s="238">
        <v>336.05336332119987</v>
      </c>
      <c r="D16" s="238">
        <v>153.71503378466852</v>
      </c>
      <c r="E16" s="239">
        <v>489.76839710586842</v>
      </c>
      <c r="G16" s="232"/>
      <c r="Z16" s="245"/>
      <c r="AH16" s="232"/>
    </row>
    <row r="17" spans="1:34" ht="7.5" customHeight="1" x14ac:dyDescent="0.25">
      <c r="A17" s="322" t="s">
        <v>305</v>
      </c>
      <c r="B17" s="234" t="s">
        <v>278</v>
      </c>
      <c r="C17" s="235">
        <v>297.34317411858967</v>
      </c>
      <c r="D17" s="235">
        <v>423.85976104640474</v>
      </c>
      <c r="E17" s="236">
        <v>721.20293516499441</v>
      </c>
      <c r="G17" s="232"/>
      <c r="Z17" s="245"/>
      <c r="AH17" s="232"/>
    </row>
    <row r="18" spans="1:34" ht="7.5" customHeight="1" x14ac:dyDescent="0.25">
      <c r="A18" s="323"/>
      <c r="B18" s="237" t="s">
        <v>277</v>
      </c>
      <c r="C18" s="238">
        <v>222.00402096629782</v>
      </c>
      <c r="D18" s="238">
        <v>366.21919073190236</v>
      </c>
      <c r="E18" s="239">
        <v>588.2232116982002</v>
      </c>
      <c r="G18" s="232"/>
      <c r="Z18" s="245"/>
      <c r="AH18" s="232"/>
    </row>
    <row r="19" spans="1:34" ht="7.5" customHeight="1" x14ac:dyDescent="0.25">
      <c r="A19" s="323"/>
      <c r="B19" s="237" t="s">
        <v>284</v>
      </c>
      <c r="C19" s="238">
        <v>152.391110358052</v>
      </c>
      <c r="D19" s="238">
        <v>268.9734495701469</v>
      </c>
      <c r="E19" s="239">
        <v>421.3645599281989</v>
      </c>
      <c r="G19" s="232"/>
      <c r="Z19" s="245"/>
      <c r="AH19" s="232"/>
    </row>
    <row r="20" spans="1:34" ht="7.5" customHeight="1" x14ac:dyDescent="0.25">
      <c r="A20" s="324"/>
      <c r="B20" s="240" t="s">
        <v>302</v>
      </c>
      <c r="C20" s="241">
        <v>238.7703024299195</v>
      </c>
      <c r="D20" s="241">
        <v>332.3004768855597</v>
      </c>
      <c r="E20" s="242">
        <v>571.07077931547917</v>
      </c>
      <c r="G20" s="232"/>
      <c r="Z20" s="245"/>
      <c r="AH20" s="232"/>
    </row>
    <row r="21" spans="1:34" ht="7.5" customHeight="1" x14ac:dyDescent="0.25">
      <c r="A21" s="322" t="s">
        <v>306</v>
      </c>
      <c r="B21" s="234" t="s">
        <v>278</v>
      </c>
      <c r="C21" s="235">
        <v>293.52928685669349</v>
      </c>
      <c r="D21" s="235">
        <v>449.63508651911206</v>
      </c>
      <c r="E21" s="236">
        <v>743.16437337580555</v>
      </c>
      <c r="G21" s="232"/>
      <c r="Z21" s="245"/>
      <c r="AH21" s="232"/>
    </row>
    <row r="22" spans="1:34" ht="7.5" customHeight="1" x14ac:dyDescent="0.25">
      <c r="A22" s="323"/>
      <c r="B22" s="237" t="s">
        <v>307</v>
      </c>
      <c r="C22" s="238">
        <v>192.74521876805068</v>
      </c>
      <c r="D22" s="238">
        <v>335.25962333653035</v>
      </c>
      <c r="E22" s="239">
        <v>528.00484210458103</v>
      </c>
      <c r="G22" s="232"/>
      <c r="Z22" s="245"/>
      <c r="AH22" s="232"/>
    </row>
    <row r="23" spans="1:34" ht="7.5" customHeight="1" x14ac:dyDescent="0.25">
      <c r="A23" s="323"/>
      <c r="B23" s="237" t="s">
        <v>308</v>
      </c>
      <c r="C23" s="238">
        <v>0</v>
      </c>
      <c r="D23" s="238">
        <v>57.906821748577208</v>
      </c>
      <c r="E23" s="239">
        <v>57.906821748577208</v>
      </c>
      <c r="G23" s="232"/>
      <c r="Z23" s="245"/>
      <c r="AH23" s="232"/>
    </row>
    <row r="24" spans="1:34" ht="7.5" customHeight="1" x14ac:dyDescent="0.25">
      <c r="A24" s="322" t="s">
        <v>309</v>
      </c>
      <c r="B24" s="234" t="s">
        <v>278</v>
      </c>
      <c r="C24" s="235">
        <v>306.67801359581301</v>
      </c>
      <c r="D24" s="235">
        <v>439.70176978922518</v>
      </c>
      <c r="E24" s="236">
        <v>746.37978338503819</v>
      </c>
      <c r="G24" s="232"/>
      <c r="Z24" s="245"/>
      <c r="AH24" s="232"/>
    </row>
    <row r="25" spans="1:34" ht="7.5" customHeight="1" x14ac:dyDescent="0.25">
      <c r="A25" s="323"/>
      <c r="B25" s="237" t="s">
        <v>298</v>
      </c>
      <c r="C25" s="238">
        <v>234.37583640225313</v>
      </c>
      <c r="D25" s="238">
        <v>432.06262239767091</v>
      </c>
      <c r="E25" s="239">
        <v>666.43845879992409</v>
      </c>
      <c r="G25" s="232"/>
      <c r="Z25" s="245"/>
      <c r="AH25" s="232"/>
    </row>
    <row r="26" spans="1:34" ht="7.5" customHeight="1" x14ac:dyDescent="0.25">
      <c r="A26" s="323"/>
      <c r="B26" s="237" t="s">
        <v>700</v>
      </c>
      <c r="C26" s="238">
        <v>238.83801400832311</v>
      </c>
      <c r="D26" s="238">
        <v>409.85514965772995</v>
      </c>
      <c r="E26" s="239">
        <v>648.69316366605312</v>
      </c>
      <c r="G26" s="232"/>
      <c r="Z26" s="245"/>
      <c r="AH26" s="232"/>
    </row>
    <row r="27" spans="1:34" ht="7.5" customHeight="1" x14ac:dyDescent="0.25">
      <c r="A27" s="324"/>
      <c r="B27" s="237" t="s">
        <v>701</v>
      </c>
      <c r="C27" s="238">
        <v>161.18524471842187</v>
      </c>
      <c r="D27" s="238">
        <v>184.99297231194703</v>
      </c>
      <c r="E27" s="239">
        <v>346.1782170303689</v>
      </c>
      <c r="G27" s="232"/>
      <c r="Z27" s="245"/>
      <c r="AH27" s="232"/>
    </row>
    <row r="28" spans="1:34" ht="7.5" customHeight="1" x14ac:dyDescent="0.25">
      <c r="A28" s="322" t="s">
        <v>311</v>
      </c>
      <c r="B28" s="234" t="s">
        <v>278</v>
      </c>
      <c r="C28" s="235">
        <v>357.9616749383589</v>
      </c>
      <c r="D28" s="235">
        <v>413.09494917728864</v>
      </c>
      <c r="E28" s="236">
        <v>771.05662411564754</v>
      </c>
      <c r="G28" s="232"/>
      <c r="Z28" s="245"/>
      <c r="AH28" s="232"/>
    </row>
    <row r="29" spans="1:34" ht="7.5" customHeight="1" x14ac:dyDescent="0.25">
      <c r="A29" s="323"/>
      <c r="B29" s="237" t="s">
        <v>312</v>
      </c>
      <c r="C29" s="238">
        <v>311.81015878145189</v>
      </c>
      <c r="D29" s="238">
        <v>386.90017738202158</v>
      </c>
      <c r="E29" s="239">
        <v>698.71033616347347</v>
      </c>
      <c r="G29" s="232"/>
      <c r="Z29" s="245"/>
      <c r="AH29" s="232"/>
    </row>
    <row r="30" spans="1:34" ht="7.5" customHeight="1" x14ac:dyDescent="0.25">
      <c r="A30" s="323"/>
      <c r="B30" s="237" t="s">
        <v>313</v>
      </c>
      <c r="C30" s="238">
        <v>178.65159623296665</v>
      </c>
      <c r="D30" s="238">
        <v>309.51565544077079</v>
      </c>
      <c r="E30" s="239">
        <v>488.16725167373744</v>
      </c>
      <c r="G30" s="232"/>
      <c r="Z30" s="245"/>
      <c r="AH30" s="232"/>
    </row>
    <row r="31" spans="1:34" ht="7.5" customHeight="1" x14ac:dyDescent="0.25">
      <c r="A31" s="322" t="s">
        <v>314</v>
      </c>
      <c r="B31" s="234" t="s">
        <v>278</v>
      </c>
      <c r="C31" s="235">
        <v>367.02981601793886</v>
      </c>
      <c r="D31" s="235">
        <v>437.73797391271046</v>
      </c>
      <c r="E31" s="236">
        <v>804.76778993064931</v>
      </c>
      <c r="G31" s="232"/>
      <c r="Z31" s="245"/>
      <c r="AH31" s="232"/>
    </row>
    <row r="32" spans="1:34" ht="7.5" customHeight="1" x14ac:dyDescent="0.25">
      <c r="A32" s="323"/>
      <c r="B32" s="237" t="s">
        <v>295</v>
      </c>
      <c r="C32" s="238">
        <v>339.07647437324124</v>
      </c>
      <c r="D32" s="238">
        <v>471.79588919926073</v>
      </c>
      <c r="E32" s="239">
        <v>810.87236357250197</v>
      </c>
      <c r="G32" s="232"/>
      <c r="Z32" s="245"/>
      <c r="AH32" s="232"/>
    </row>
    <row r="33" spans="1:34" ht="7.5" customHeight="1" x14ac:dyDescent="0.25">
      <c r="A33" s="323"/>
      <c r="B33" s="237" t="s">
        <v>315</v>
      </c>
      <c r="C33" s="238">
        <v>326.82482937766315</v>
      </c>
      <c r="D33" s="238">
        <v>399.82768417958721</v>
      </c>
      <c r="E33" s="239">
        <v>726.65251355725036</v>
      </c>
      <c r="G33" s="232"/>
      <c r="Z33" s="245"/>
      <c r="AH33" s="232"/>
    </row>
    <row r="34" spans="1:34" ht="7.5" customHeight="1" x14ac:dyDescent="0.25">
      <c r="A34" s="322" t="s">
        <v>316</v>
      </c>
      <c r="B34" s="234" t="s">
        <v>278</v>
      </c>
      <c r="C34" s="235">
        <v>274.31368797928394</v>
      </c>
      <c r="D34" s="235">
        <v>179.43727054504356</v>
      </c>
      <c r="E34" s="236">
        <v>453.75095852432753</v>
      </c>
      <c r="G34" s="232"/>
      <c r="Z34" s="245"/>
      <c r="AH34" s="232"/>
    </row>
    <row r="35" spans="1:34" ht="7.5" customHeight="1" x14ac:dyDescent="0.25">
      <c r="A35" s="323"/>
      <c r="B35" s="237" t="s">
        <v>284</v>
      </c>
      <c r="C35" s="238">
        <v>119.41502984588301</v>
      </c>
      <c r="D35" s="238">
        <v>153.22419613426669</v>
      </c>
      <c r="E35" s="239">
        <v>272.63922598014972</v>
      </c>
      <c r="G35" s="232"/>
      <c r="Z35" s="245"/>
      <c r="AH35" s="232"/>
    </row>
    <row r="36" spans="1:34" ht="7.5" customHeight="1" x14ac:dyDescent="0.25">
      <c r="A36" s="323"/>
      <c r="B36" s="237" t="s">
        <v>310</v>
      </c>
      <c r="C36" s="238">
        <v>230.98236567335408</v>
      </c>
      <c r="D36" s="238">
        <v>284.43775412777455</v>
      </c>
      <c r="E36" s="239">
        <v>515.42011980112864</v>
      </c>
      <c r="G36" s="232"/>
      <c r="Z36" s="245"/>
      <c r="AH36" s="232"/>
    </row>
    <row r="37" spans="1:34" ht="7.5" customHeight="1" x14ac:dyDescent="0.25">
      <c r="A37" s="322" t="s">
        <v>317</v>
      </c>
      <c r="B37" s="234" t="s">
        <v>278</v>
      </c>
      <c r="C37" s="235">
        <v>353.86309352713363</v>
      </c>
      <c r="D37" s="235">
        <v>314.58466612308894</v>
      </c>
      <c r="E37" s="236">
        <v>668.44775965022257</v>
      </c>
      <c r="G37" s="232"/>
      <c r="Z37" s="245"/>
      <c r="AH37" s="232"/>
    </row>
    <row r="38" spans="1:34" ht="7.5" customHeight="1" x14ac:dyDescent="0.25">
      <c r="A38" s="323"/>
      <c r="B38" s="237" t="s">
        <v>318</v>
      </c>
      <c r="C38" s="238">
        <v>314.17664977473373</v>
      </c>
      <c r="D38" s="238">
        <v>295.85339832981754</v>
      </c>
      <c r="E38" s="239">
        <v>610.03004810455127</v>
      </c>
      <c r="G38" s="232"/>
      <c r="Z38" s="245"/>
      <c r="AH38" s="232"/>
    </row>
    <row r="39" spans="1:34" ht="7.5" customHeight="1" x14ac:dyDescent="0.25">
      <c r="A39" s="323"/>
      <c r="B39" s="237" t="s">
        <v>319</v>
      </c>
      <c r="C39" s="238">
        <v>312.84984629222646</v>
      </c>
      <c r="D39" s="238">
        <v>279.88931861425181</v>
      </c>
      <c r="E39" s="239">
        <v>592.73916490647821</v>
      </c>
      <c r="G39" s="232"/>
      <c r="Z39" s="245"/>
      <c r="AH39" s="232"/>
    </row>
    <row r="40" spans="1:34" ht="7.5" customHeight="1" x14ac:dyDescent="0.25">
      <c r="A40" s="324"/>
      <c r="B40" s="240" t="s">
        <v>628</v>
      </c>
      <c r="C40" s="241">
        <v>312.22125596870933</v>
      </c>
      <c r="D40" s="241">
        <v>146.11555524569411</v>
      </c>
      <c r="E40" s="242">
        <v>458.33681121440344</v>
      </c>
      <c r="G40" s="232"/>
      <c r="Z40" s="245"/>
      <c r="AH40" s="232"/>
    </row>
    <row r="41" spans="1:34" ht="7.5" customHeight="1" x14ac:dyDescent="0.25">
      <c r="A41" s="322" t="s">
        <v>321</v>
      </c>
      <c r="B41" s="234" t="s">
        <v>278</v>
      </c>
      <c r="C41" s="235">
        <v>318.0273474134479</v>
      </c>
      <c r="D41" s="235">
        <v>409.02499530838151</v>
      </c>
      <c r="E41" s="236">
        <v>727.0523427218294</v>
      </c>
      <c r="G41" s="232"/>
      <c r="Z41" s="245"/>
      <c r="AH41" s="232"/>
    </row>
    <row r="42" spans="1:34" ht="7.5" customHeight="1" x14ac:dyDescent="0.25">
      <c r="A42" s="323"/>
      <c r="B42" s="237" t="s">
        <v>322</v>
      </c>
      <c r="C42" s="238">
        <v>180.93222995239225</v>
      </c>
      <c r="D42" s="238">
        <v>277.15334697959929</v>
      </c>
      <c r="E42" s="239">
        <v>458.08557693199157</v>
      </c>
      <c r="G42" s="232"/>
      <c r="Z42" s="245"/>
      <c r="AH42" s="232"/>
    </row>
    <row r="43" spans="1:34" ht="7.5" customHeight="1" x14ac:dyDescent="0.25">
      <c r="A43" s="324"/>
      <c r="B43" s="240" t="s">
        <v>302</v>
      </c>
      <c r="C43" s="241">
        <v>229.62512568433499</v>
      </c>
      <c r="D43" s="241">
        <v>312.6483406913211</v>
      </c>
      <c r="E43" s="242">
        <v>542.27346637565608</v>
      </c>
      <c r="G43" s="232"/>
      <c r="Z43" s="245"/>
      <c r="AH43" s="232"/>
    </row>
    <row r="44" spans="1:34" ht="7.5" customHeight="1" x14ac:dyDescent="0.25">
      <c r="A44" s="322" t="s">
        <v>323</v>
      </c>
      <c r="B44" s="234" t="s">
        <v>278</v>
      </c>
      <c r="C44" s="235">
        <v>318.92312495582183</v>
      </c>
      <c r="D44" s="235">
        <v>404.24140764859322</v>
      </c>
      <c r="E44" s="236">
        <v>723.16453260441506</v>
      </c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32"/>
      <c r="S44" s="232"/>
      <c r="T44" s="232"/>
      <c r="U44" s="232"/>
      <c r="V44" s="232"/>
      <c r="W44" s="232"/>
      <c r="X44" s="232"/>
      <c r="Y44" s="232"/>
      <c r="Z44" s="232"/>
      <c r="AA44" s="232"/>
      <c r="AB44" s="232"/>
      <c r="AC44" s="232"/>
      <c r="AD44" s="232"/>
      <c r="AE44" s="232"/>
      <c r="AF44" s="232"/>
      <c r="AG44" s="232"/>
      <c r="AH44" s="232"/>
    </row>
    <row r="45" spans="1:34" ht="7.5" customHeight="1" x14ac:dyDescent="0.25">
      <c r="A45" s="323"/>
      <c r="B45" s="237" t="s">
        <v>295</v>
      </c>
      <c r="C45" s="238">
        <v>221.3156884589618</v>
      </c>
      <c r="D45" s="238">
        <v>325.09992384589225</v>
      </c>
      <c r="E45" s="239">
        <v>546.41561230485399</v>
      </c>
    </row>
    <row r="46" spans="1:34" ht="7.5" customHeight="1" x14ac:dyDescent="0.25">
      <c r="A46" s="324"/>
      <c r="B46" s="240" t="s">
        <v>294</v>
      </c>
      <c r="C46" s="241">
        <v>186.1855309434431</v>
      </c>
      <c r="D46" s="241">
        <v>281.48891973860384</v>
      </c>
      <c r="E46" s="242">
        <v>467.67445068204694</v>
      </c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S46" s="232"/>
      <c r="T46" s="232"/>
      <c r="U46" s="232"/>
      <c r="V46" s="232"/>
      <c r="W46" s="232"/>
      <c r="X46" s="232"/>
      <c r="Y46" s="232"/>
      <c r="Z46" s="232"/>
      <c r="AA46" s="232"/>
      <c r="AB46" s="232"/>
      <c r="AC46" s="232"/>
      <c r="AD46" s="232"/>
      <c r="AE46" s="232"/>
      <c r="AF46" s="232"/>
      <c r="AG46" s="232"/>
      <c r="AH46" s="232"/>
    </row>
    <row r="47" spans="1:34" ht="7.5" customHeight="1" x14ac:dyDescent="0.25">
      <c r="G47" s="232"/>
      <c r="Q47" s="232"/>
      <c r="S47" s="232"/>
      <c r="AH47" s="232"/>
    </row>
    <row r="48" spans="1:34" ht="7.5" customHeight="1" x14ac:dyDescent="0.25">
      <c r="G48" s="232"/>
      <c r="Q48" s="232"/>
      <c r="S48" s="232"/>
      <c r="AH48" s="232"/>
    </row>
    <row r="49" spans="7:34" ht="7.5" customHeight="1" x14ac:dyDescent="0.25">
      <c r="G49" s="232"/>
      <c r="Q49" s="232"/>
      <c r="S49" s="232"/>
      <c r="AH49" s="232"/>
    </row>
    <row r="50" spans="7:34" ht="7.5" customHeight="1" x14ac:dyDescent="0.25">
      <c r="G50" s="232"/>
      <c r="Q50" s="232"/>
      <c r="S50" s="232"/>
      <c r="AH50" s="232"/>
    </row>
    <row r="51" spans="7:34" ht="7.5" customHeight="1" x14ac:dyDescent="0.25">
      <c r="G51" s="232"/>
      <c r="Q51" s="232"/>
      <c r="S51" s="232"/>
      <c r="AH51" s="232"/>
    </row>
    <row r="52" spans="7:34" ht="7.5" customHeight="1" x14ac:dyDescent="0.25">
      <c r="G52" s="232"/>
      <c r="Q52" s="232"/>
      <c r="S52" s="232"/>
      <c r="AH52" s="232"/>
    </row>
    <row r="53" spans="7:34" ht="7.5" customHeight="1" x14ac:dyDescent="0.25">
      <c r="G53" s="232"/>
      <c r="Q53" s="232"/>
      <c r="S53" s="232"/>
      <c r="AH53" s="232"/>
    </row>
    <row r="54" spans="7:34" ht="7.5" customHeight="1" x14ac:dyDescent="0.25">
      <c r="G54" s="232"/>
      <c r="Q54" s="232"/>
      <c r="S54" s="232"/>
      <c r="AH54" s="232"/>
    </row>
    <row r="55" spans="7:34" ht="7.5" customHeight="1" x14ac:dyDescent="0.25">
      <c r="G55" s="232"/>
      <c r="Q55" s="232"/>
      <c r="S55" s="232"/>
      <c r="AH55" s="232"/>
    </row>
    <row r="56" spans="7:34" ht="7.5" customHeight="1" x14ac:dyDescent="0.25">
      <c r="G56" s="232"/>
      <c r="Q56" s="232"/>
      <c r="S56" s="232"/>
      <c r="AH56" s="232"/>
    </row>
    <row r="57" spans="7:34" ht="7.5" customHeight="1" x14ac:dyDescent="0.25">
      <c r="G57" s="232"/>
      <c r="Q57" s="232"/>
      <c r="S57" s="232"/>
      <c r="AH57" s="232"/>
    </row>
    <row r="58" spans="7:34" ht="7.5" customHeight="1" x14ac:dyDescent="0.25">
      <c r="G58" s="232"/>
      <c r="Q58" s="232"/>
      <c r="S58" s="232"/>
      <c r="AH58" s="232"/>
    </row>
    <row r="59" spans="7:34" ht="7.5" customHeight="1" x14ac:dyDescent="0.25">
      <c r="G59" s="232"/>
      <c r="Q59" s="232"/>
      <c r="S59" s="232"/>
      <c r="AH59" s="232"/>
    </row>
    <row r="60" spans="7:34" ht="7.5" customHeight="1" x14ac:dyDescent="0.25">
      <c r="G60" s="232"/>
      <c r="Q60" s="232"/>
      <c r="S60" s="232"/>
      <c r="AH60" s="232"/>
    </row>
    <row r="61" spans="7:34" ht="7.5" customHeight="1" x14ac:dyDescent="0.25">
      <c r="G61" s="232"/>
      <c r="Q61" s="232"/>
      <c r="S61" s="232"/>
      <c r="AH61" s="232"/>
    </row>
    <row r="62" spans="7:34" ht="7.5" customHeight="1" x14ac:dyDescent="0.25">
      <c r="G62" s="232"/>
      <c r="Q62" s="232"/>
      <c r="S62" s="232"/>
      <c r="AH62" s="232"/>
    </row>
    <row r="63" spans="7:34" ht="7.5" customHeight="1" x14ac:dyDescent="0.25">
      <c r="G63" s="232"/>
      <c r="Q63" s="232"/>
      <c r="S63" s="232"/>
      <c r="AH63" s="232"/>
    </row>
    <row r="64" spans="7:34" ht="7.5" customHeight="1" x14ac:dyDescent="0.25">
      <c r="G64" s="232"/>
      <c r="Q64" s="232"/>
      <c r="S64" s="232"/>
      <c r="AH64" s="232"/>
    </row>
    <row r="65" spans="7:34" ht="7.5" customHeight="1" x14ac:dyDescent="0.25">
      <c r="G65" s="232"/>
      <c r="Q65" s="232"/>
      <c r="S65" s="232"/>
      <c r="AH65" s="232"/>
    </row>
    <row r="66" spans="7:34" ht="7.5" customHeight="1" x14ac:dyDescent="0.25">
      <c r="G66" s="232"/>
      <c r="Q66" s="232"/>
      <c r="S66" s="232"/>
      <c r="AH66" s="232"/>
    </row>
    <row r="67" spans="7:34" ht="7.5" customHeight="1" x14ac:dyDescent="0.25">
      <c r="G67" s="232"/>
      <c r="Q67" s="232"/>
      <c r="S67" s="232"/>
      <c r="AH67" s="232"/>
    </row>
    <row r="68" spans="7:34" ht="7.5" customHeight="1" x14ac:dyDescent="0.25">
      <c r="G68" s="232"/>
      <c r="Q68" s="232"/>
      <c r="S68" s="232"/>
      <c r="AH68" s="232"/>
    </row>
    <row r="69" spans="7:34" ht="7.5" customHeight="1" x14ac:dyDescent="0.25">
      <c r="G69" s="232"/>
      <c r="Q69" s="232"/>
      <c r="S69" s="232"/>
      <c r="AH69" s="232"/>
    </row>
    <row r="70" spans="7:34" ht="7.5" customHeight="1" x14ac:dyDescent="0.25">
      <c r="G70" s="232"/>
      <c r="Q70" s="232"/>
      <c r="S70" s="232"/>
      <c r="AH70" s="232"/>
    </row>
    <row r="71" spans="7:34" ht="7.5" customHeight="1" x14ac:dyDescent="0.25">
      <c r="G71" s="232"/>
      <c r="Q71" s="232"/>
      <c r="S71" s="232"/>
      <c r="AH71" s="232"/>
    </row>
    <row r="72" spans="7:34" ht="7.5" customHeight="1" x14ac:dyDescent="0.25">
      <c r="G72" s="232"/>
      <c r="Q72" s="232"/>
      <c r="S72" s="232"/>
      <c r="AH72" s="232"/>
    </row>
    <row r="73" spans="7:34" ht="7.5" customHeight="1" x14ac:dyDescent="0.25">
      <c r="G73" s="232"/>
      <c r="Q73" s="232"/>
      <c r="S73" s="232"/>
      <c r="AH73" s="232"/>
    </row>
    <row r="74" spans="7:34" ht="7.5" customHeight="1" x14ac:dyDescent="0.25">
      <c r="G74" s="232"/>
      <c r="Q74" s="232"/>
      <c r="S74" s="232"/>
      <c r="AH74" s="232"/>
    </row>
    <row r="75" spans="7:34" ht="7.5" customHeight="1" x14ac:dyDescent="0.25">
      <c r="G75" s="232"/>
      <c r="Q75" s="232"/>
      <c r="S75" s="232"/>
      <c r="AH75" s="232"/>
    </row>
    <row r="76" spans="7:34" ht="7.5" customHeight="1" x14ac:dyDescent="0.25">
      <c r="G76" s="232"/>
      <c r="Q76" s="232"/>
      <c r="S76" s="232"/>
      <c r="AH76" s="232"/>
    </row>
    <row r="77" spans="7:34" ht="7.5" customHeight="1" x14ac:dyDescent="0.25">
      <c r="G77" s="232"/>
      <c r="Q77" s="232"/>
      <c r="S77" s="232"/>
      <c r="AH77" s="232"/>
    </row>
    <row r="78" spans="7:34" ht="7.5" customHeight="1" x14ac:dyDescent="0.25">
      <c r="G78" s="232"/>
      <c r="Q78" s="232"/>
      <c r="S78" s="232"/>
      <c r="AH78" s="232"/>
    </row>
    <row r="79" spans="7:34" ht="7.5" customHeight="1" x14ac:dyDescent="0.25">
      <c r="G79" s="232"/>
      <c r="Q79" s="232"/>
      <c r="S79" s="232"/>
      <c r="AH79" s="232"/>
    </row>
    <row r="80" spans="7:34" ht="7.5" customHeight="1" x14ac:dyDescent="0.25">
      <c r="G80" s="232"/>
      <c r="Q80" s="232"/>
      <c r="S80" s="232"/>
      <c r="AH80" s="232"/>
    </row>
    <row r="81" spans="7:34" ht="7.5" customHeight="1" x14ac:dyDescent="0.25">
      <c r="G81" s="232"/>
      <c r="Q81" s="232"/>
      <c r="S81" s="232"/>
      <c r="AH81" s="232"/>
    </row>
    <row r="82" spans="7:34" ht="7.5" customHeight="1" x14ac:dyDescent="0.25"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S82" s="232"/>
      <c r="T82" s="232"/>
      <c r="U82" s="232"/>
      <c r="V82" s="232"/>
      <c r="W82" s="232"/>
      <c r="X82" s="232"/>
      <c r="Y82" s="232"/>
      <c r="Z82" s="232"/>
      <c r="AA82" s="232"/>
      <c r="AB82" s="232"/>
      <c r="AC82" s="232"/>
      <c r="AD82" s="232"/>
      <c r="AE82" s="232"/>
      <c r="AF82" s="232"/>
      <c r="AG82" s="232"/>
      <c r="AH82" s="232"/>
    </row>
    <row r="83" spans="7:34" ht="7.5" customHeight="1" x14ac:dyDescent="0.25"/>
    <row r="84" spans="7:34" ht="7.5" customHeight="1" x14ac:dyDescent="0.25"/>
    <row r="85" spans="7:34" ht="7.5" customHeight="1" x14ac:dyDescent="0.25"/>
    <row r="86" spans="7:34" ht="7.5" customHeight="1" x14ac:dyDescent="0.25"/>
    <row r="87" spans="7:34" ht="7.5" customHeight="1" x14ac:dyDescent="0.25"/>
    <row r="88" spans="7:34" ht="7.5" customHeight="1" x14ac:dyDescent="0.25"/>
    <row r="89" spans="7:34" ht="7.5" customHeight="1" x14ac:dyDescent="0.25"/>
    <row r="90" spans="7:34" ht="7.5" customHeight="1" x14ac:dyDescent="0.25"/>
    <row r="91" spans="7:34" ht="7.5" customHeight="1" x14ac:dyDescent="0.25"/>
    <row r="92" spans="7:34" ht="7.5" customHeight="1" x14ac:dyDescent="0.25"/>
    <row r="93" spans="7:34" ht="7.5" customHeight="1" x14ac:dyDescent="0.25"/>
    <row r="94" spans="7:34" ht="7.5" customHeight="1" x14ac:dyDescent="0.25"/>
    <row r="95" spans="7:34" ht="7.5" customHeight="1" x14ac:dyDescent="0.25"/>
    <row r="96" spans="7:34" ht="7.5" customHeight="1" x14ac:dyDescent="0.25"/>
    <row r="97" ht="7.5" customHeight="1" x14ac:dyDescent="0.25"/>
    <row r="98" ht="7.5" customHeight="1" x14ac:dyDescent="0.25"/>
    <row r="99" ht="7.5" customHeight="1" x14ac:dyDescent="0.25"/>
    <row r="100" ht="7.5" customHeight="1" x14ac:dyDescent="0.25"/>
    <row r="101" ht="7.5" customHeight="1" x14ac:dyDescent="0.25"/>
    <row r="102" ht="7.5" customHeight="1" x14ac:dyDescent="0.25"/>
    <row r="103" ht="7.5" customHeight="1" x14ac:dyDescent="0.25"/>
    <row r="104" ht="7.5" customHeight="1" x14ac:dyDescent="0.25"/>
    <row r="105" ht="7.5" customHeight="1" x14ac:dyDescent="0.25"/>
    <row r="106" ht="7.5" customHeight="1" x14ac:dyDescent="0.25"/>
    <row r="107" ht="7.5" customHeight="1" x14ac:dyDescent="0.25"/>
    <row r="108" ht="7.5" customHeight="1" x14ac:dyDescent="0.25"/>
    <row r="109" ht="7.5" customHeight="1" x14ac:dyDescent="0.25"/>
    <row r="110" ht="7.5" customHeight="1" x14ac:dyDescent="0.25"/>
    <row r="111" ht="7.5" customHeight="1" x14ac:dyDescent="0.25"/>
    <row r="112" ht="7.5" customHeight="1" x14ac:dyDescent="0.25"/>
    <row r="113" ht="7.5" customHeight="1" x14ac:dyDescent="0.25"/>
    <row r="114" ht="7.5" customHeight="1" x14ac:dyDescent="0.25"/>
    <row r="115" ht="7.5" customHeight="1" x14ac:dyDescent="0.25"/>
    <row r="116" ht="7.5" customHeight="1" x14ac:dyDescent="0.25"/>
    <row r="117" ht="7.5" customHeight="1" x14ac:dyDescent="0.25"/>
    <row r="118" ht="7.5" customHeight="1" x14ac:dyDescent="0.25"/>
    <row r="119" ht="7.5" customHeight="1" x14ac:dyDescent="0.25"/>
    <row r="120" ht="7.5" customHeight="1" x14ac:dyDescent="0.25"/>
    <row r="121" ht="7.5" customHeight="1" x14ac:dyDescent="0.25"/>
  </sheetData>
  <mergeCells count="13">
    <mergeCell ref="A24:A27"/>
    <mergeCell ref="A21:A23"/>
    <mergeCell ref="A2:A4"/>
    <mergeCell ref="A5:A8"/>
    <mergeCell ref="A9:A12"/>
    <mergeCell ref="A17:A20"/>
    <mergeCell ref="A13:A16"/>
    <mergeCell ref="A44:A46"/>
    <mergeCell ref="A28:A30"/>
    <mergeCell ref="A31:A33"/>
    <mergeCell ref="A34:A36"/>
    <mergeCell ref="A37:A40"/>
    <mergeCell ref="A41:A4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MultiOpcoGraph">
                <anchor moveWithCells="1" sizeWithCells="1">
                  <from>
                    <xdr:col>0</xdr:col>
                    <xdr:colOff>171450</xdr:colOff>
                    <xdr:row>47</xdr:row>
                    <xdr:rowOff>85725</xdr:rowOff>
                  </from>
                  <to>
                    <xdr:col>5</xdr:col>
                    <xdr:colOff>0</xdr:colOff>
                    <xdr:row>56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tabColor rgb="FF92D050"/>
  </sheetPr>
  <dimension ref="B2:BW60"/>
  <sheetViews>
    <sheetView zoomScale="50" zoomScaleNormal="50" workbookViewId="0">
      <selection activeCell="N12" sqref="N12"/>
    </sheetView>
  </sheetViews>
  <sheetFormatPr baseColWidth="10" defaultColWidth="9.140625" defaultRowHeight="23.25" x14ac:dyDescent="0.35"/>
  <cols>
    <col min="1" max="1" width="1.42578125" style="193" customWidth="1"/>
    <col min="2" max="2" width="20.7109375" style="193" customWidth="1"/>
    <col min="3" max="3" width="21" style="193" bestFit="1" customWidth="1"/>
    <col min="4" max="4" width="1.42578125" style="193" customWidth="1"/>
    <col min="5" max="10" width="14.28515625" style="193" customWidth="1"/>
    <col min="11" max="11" width="0.7109375" style="193" customWidth="1"/>
    <col min="12" max="12" width="0.140625" style="193" customWidth="1"/>
    <col min="13" max="13" width="0.7109375" style="193" customWidth="1"/>
    <col min="14" max="17" width="14.28515625" style="193" customWidth="1"/>
    <col min="18" max="19" width="0.7109375" style="193" customWidth="1"/>
    <col min="20" max="23" width="14.28515625" style="193" customWidth="1"/>
    <col min="24" max="25" width="0.7109375" style="193" customWidth="1"/>
    <col min="26" max="33" width="14.28515625" style="193" customWidth="1"/>
    <col min="34" max="35" width="0.7109375" style="193" customWidth="1"/>
    <col min="36" max="43" width="14.28515625" style="193" customWidth="1"/>
    <col min="44" max="45" width="0.7109375" style="193" customWidth="1"/>
    <col min="46" max="53" width="14.28515625" style="193" customWidth="1"/>
    <col min="54" max="55" width="0.7109375" style="193" customWidth="1"/>
    <col min="56" max="63" width="14.28515625" style="193" customWidth="1"/>
    <col min="64" max="65" width="0.7109375" style="193" customWidth="1"/>
    <col min="66" max="75" width="14.28515625" style="193" customWidth="1"/>
    <col min="76" max="16384" width="9.140625" style="193"/>
  </cols>
  <sheetData>
    <row r="2" spans="2:75" ht="28.5" x14ac:dyDescent="0.45">
      <c r="E2" s="329" t="s">
        <v>588</v>
      </c>
      <c r="F2" s="330"/>
      <c r="G2" s="330"/>
      <c r="H2" s="330"/>
      <c r="I2" s="330"/>
      <c r="J2" s="331"/>
      <c r="M2" s="206"/>
      <c r="N2" s="329" t="s">
        <v>589</v>
      </c>
      <c r="O2" s="330"/>
      <c r="P2" s="330"/>
      <c r="Q2" s="330"/>
      <c r="R2" s="330"/>
      <c r="S2" s="330"/>
      <c r="T2" s="330"/>
      <c r="U2" s="330"/>
      <c r="V2" s="330"/>
      <c r="W2" s="330"/>
      <c r="X2" s="330"/>
      <c r="Y2" s="330"/>
      <c r="Z2" s="330"/>
      <c r="AA2" s="330"/>
      <c r="AB2" s="330"/>
      <c r="AC2" s="330"/>
      <c r="AD2" s="330"/>
      <c r="AE2" s="330"/>
      <c r="AF2" s="330"/>
      <c r="AG2" s="330"/>
      <c r="AH2" s="330"/>
      <c r="AI2" s="330"/>
      <c r="AJ2" s="330"/>
      <c r="AK2" s="330"/>
      <c r="AL2" s="330"/>
      <c r="AM2" s="330"/>
      <c r="AN2" s="330"/>
      <c r="AO2" s="330"/>
      <c r="AP2" s="330"/>
      <c r="AQ2" s="330"/>
      <c r="AR2" s="330"/>
      <c r="AS2" s="330"/>
      <c r="AT2" s="330"/>
      <c r="AU2" s="330"/>
      <c r="AV2" s="330"/>
      <c r="AW2" s="330"/>
      <c r="AX2" s="330"/>
      <c r="AY2" s="330"/>
      <c r="AZ2" s="330"/>
      <c r="BA2" s="330"/>
      <c r="BB2" s="330"/>
      <c r="BC2" s="330"/>
      <c r="BD2" s="330"/>
      <c r="BE2" s="330"/>
      <c r="BF2" s="330"/>
      <c r="BG2" s="330"/>
      <c r="BH2" s="330"/>
      <c r="BI2" s="330"/>
      <c r="BJ2" s="330"/>
      <c r="BK2" s="330"/>
      <c r="BL2" s="330"/>
      <c r="BM2" s="330"/>
      <c r="BN2" s="330"/>
      <c r="BO2" s="330"/>
      <c r="BP2" s="330"/>
      <c r="BQ2" s="330"/>
      <c r="BR2" s="330"/>
      <c r="BS2" s="330"/>
      <c r="BT2" s="330"/>
      <c r="BU2" s="330"/>
      <c r="BV2" s="330"/>
      <c r="BW2" s="331"/>
    </row>
    <row r="3" spans="2:75" x14ac:dyDescent="0.35">
      <c r="E3" s="254"/>
      <c r="F3" s="255"/>
      <c r="G3" s="254"/>
      <c r="H3" s="255"/>
      <c r="I3" s="199"/>
      <c r="J3" s="203"/>
      <c r="M3" s="224"/>
      <c r="N3" s="332" t="s">
        <v>601</v>
      </c>
      <c r="O3" s="332"/>
      <c r="P3" s="332"/>
      <c r="Q3" s="332"/>
      <c r="R3" s="256"/>
      <c r="S3" s="257"/>
      <c r="T3" s="332" t="s">
        <v>602</v>
      </c>
      <c r="U3" s="332"/>
      <c r="V3" s="332"/>
      <c r="W3" s="332"/>
      <c r="X3" s="256"/>
      <c r="Y3" s="257"/>
      <c r="Z3" s="332" t="s">
        <v>603</v>
      </c>
      <c r="AA3" s="332"/>
      <c r="AB3" s="332"/>
      <c r="AC3" s="332"/>
      <c r="AD3" s="332"/>
      <c r="AE3" s="332"/>
      <c r="AF3" s="332"/>
      <c r="AG3" s="332"/>
      <c r="AH3" s="256"/>
      <c r="AI3" s="257"/>
      <c r="AJ3" s="332" t="s">
        <v>604</v>
      </c>
      <c r="AK3" s="332"/>
      <c r="AL3" s="332"/>
      <c r="AM3" s="332"/>
      <c r="AN3" s="332"/>
      <c r="AO3" s="332"/>
      <c r="AP3" s="332"/>
      <c r="AQ3" s="332"/>
      <c r="AR3" s="256"/>
      <c r="AS3" s="257"/>
      <c r="AT3" s="332" t="s">
        <v>605</v>
      </c>
      <c r="AU3" s="332"/>
      <c r="AV3" s="332"/>
      <c r="AW3" s="332"/>
      <c r="AX3" s="332"/>
      <c r="AY3" s="332"/>
      <c r="AZ3" s="332"/>
      <c r="BA3" s="332"/>
      <c r="BB3" s="256"/>
      <c r="BC3" s="257"/>
      <c r="BD3" s="332" t="s">
        <v>606</v>
      </c>
      <c r="BE3" s="332"/>
      <c r="BF3" s="332"/>
      <c r="BG3" s="332"/>
      <c r="BH3" s="332"/>
      <c r="BI3" s="332"/>
      <c r="BJ3" s="332"/>
      <c r="BK3" s="332"/>
      <c r="BL3" s="256"/>
      <c r="BM3" s="257"/>
      <c r="BN3" s="333" t="s">
        <v>32</v>
      </c>
      <c r="BO3" s="332"/>
      <c r="BP3" s="332"/>
      <c r="BQ3" s="332"/>
      <c r="BR3" s="332"/>
      <c r="BS3" s="332"/>
      <c r="BT3" s="332"/>
      <c r="BU3" s="332"/>
      <c r="BV3" s="332"/>
      <c r="BW3" s="334"/>
    </row>
    <row r="4" spans="2:75" s="194" customFormat="1" ht="123" customHeight="1" x14ac:dyDescent="0.25">
      <c r="B4" s="258" t="s">
        <v>627</v>
      </c>
      <c r="C4" s="259" t="str">
        <f>"VF-" &amp; CONFIG!D3</f>
        <v>VF-ES</v>
      </c>
      <c r="E4" s="337" t="s">
        <v>21</v>
      </c>
      <c r="F4" s="338"/>
      <c r="G4" s="337" t="s">
        <v>609</v>
      </c>
      <c r="H4" s="338"/>
      <c r="I4" s="337" t="s">
        <v>610</v>
      </c>
      <c r="J4" s="338"/>
      <c r="K4" s="195"/>
      <c r="L4" s="195"/>
      <c r="M4" s="204"/>
      <c r="N4" s="339" t="s">
        <v>21</v>
      </c>
      <c r="O4" s="336"/>
      <c r="P4" s="335" t="s">
        <v>607</v>
      </c>
      <c r="Q4" s="339"/>
      <c r="R4" s="205"/>
      <c r="S4" s="204"/>
      <c r="T4" s="339" t="s">
        <v>21</v>
      </c>
      <c r="U4" s="336"/>
      <c r="V4" s="335" t="s">
        <v>608</v>
      </c>
      <c r="W4" s="339"/>
      <c r="X4" s="205"/>
      <c r="Y4" s="204"/>
      <c r="Z4" s="339" t="s">
        <v>21</v>
      </c>
      <c r="AA4" s="336"/>
      <c r="AB4" s="335" t="s">
        <v>611</v>
      </c>
      <c r="AC4" s="336"/>
      <c r="AD4" s="335" t="s">
        <v>612</v>
      </c>
      <c r="AE4" s="336"/>
      <c r="AF4" s="335" t="s">
        <v>613</v>
      </c>
      <c r="AG4" s="339"/>
      <c r="AH4" s="205"/>
      <c r="AI4" s="204"/>
      <c r="AJ4" s="339" t="s">
        <v>21</v>
      </c>
      <c r="AK4" s="336"/>
      <c r="AL4" s="335" t="s">
        <v>611</v>
      </c>
      <c r="AM4" s="336"/>
      <c r="AN4" s="335" t="s">
        <v>612</v>
      </c>
      <c r="AO4" s="336"/>
      <c r="AP4" s="335" t="s">
        <v>613</v>
      </c>
      <c r="AQ4" s="339"/>
      <c r="AR4" s="205"/>
      <c r="AS4" s="204"/>
      <c r="AT4" s="339" t="s">
        <v>21</v>
      </c>
      <c r="AU4" s="336"/>
      <c r="AV4" s="335" t="s">
        <v>614</v>
      </c>
      <c r="AW4" s="336"/>
      <c r="AX4" s="335" t="s">
        <v>615</v>
      </c>
      <c r="AY4" s="336"/>
      <c r="AZ4" s="335" t="s">
        <v>616</v>
      </c>
      <c r="BA4" s="339"/>
      <c r="BB4" s="205"/>
      <c r="BC4" s="204"/>
      <c r="BD4" s="339" t="s">
        <v>21</v>
      </c>
      <c r="BE4" s="336"/>
      <c r="BF4" s="335" t="s">
        <v>614</v>
      </c>
      <c r="BG4" s="336"/>
      <c r="BH4" s="335" t="s">
        <v>615</v>
      </c>
      <c r="BI4" s="336"/>
      <c r="BJ4" s="335" t="s">
        <v>616</v>
      </c>
      <c r="BK4" s="339"/>
      <c r="BL4" s="205"/>
      <c r="BM4" s="204"/>
      <c r="BN4" s="335" t="s">
        <v>21</v>
      </c>
      <c r="BO4" s="336"/>
      <c r="BP4" s="335" t="s">
        <v>617</v>
      </c>
      <c r="BQ4" s="336"/>
      <c r="BR4" s="335" t="s">
        <v>618</v>
      </c>
      <c r="BS4" s="336"/>
      <c r="BT4" s="335" t="s">
        <v>645</v>
      </c>
      <c r="BU4" s="336"/>
      <c r="BV4" s="335" t="s">
        <v>646</v>
      </c>
      <c r="BW4" s="336"/>
    </row>
    <row r="5" spans="2:75" x14ac:dyDescent="0.35">
      <c r="E5" s="260" t="s">
        <v>483</v>
      </c>
      <c r="F5" s="261" t="s">
        <v>647</v>
      </c>
      <c r="G5" s="260" t="s">
        <v>483</v>
      </c>
      <c r="H5" s="261" t="s">
        <v>647</v>
      </c>
      <c r="I5" s="262" t="s">
        <v>483</v>
      </c>
      <c r="J5" s="261" t="s">
        <v>647</v>
      </c>
      <c r="M5" s="202"/>
      <c r="N5" s="262" t="s">
        <v>483</v>
      </c>
      <c r="O5" s="261" t="s">
        <v>647</v>
      </c>
      <c r="P5" s="262" t="s">
        <v>483</v>
      </c>
      <c r="Q5" s="262" t="s">
        <v>647</v>
      </c>
      <c r="R5" s="203"/>
      <c r="S5" s="202"/>
      <c r="T5" s="262" t="s">
        <v>483</v>
      </c>
      <c r="U5" s="261" t="s">
        <v>647</v>
      </c>
      <c r="V5" s="262" t="s">
        <v>483</v>
      </c>
      <c r="W5" s="262" t="s">
        <v>647</v>
      </c>
      <c r="X5" s="203"/>
      <c r="Y5" s="202"/>
      <c r="Z5" s="262" t="s">
        <v>483</v>
      </c>
      <c r="AA5" s="261" t="s">
        <v>647</v>
      </c>
      <c r="AB5" s="260" t="s">
        <v>483</v>
      </c>
      <c r="AC5" s="261" t="s">
        <v>647</v>
      </c>
      <c r="AD5" s="260" t="s">
        <v>483</v>
      </c>
      <c r="AE5" s="261" t="s">
        <v>647</v>
      </c>
      <c r="AF5" s="262" t="s">
        <v>483</v>
      </c>
      <c r="AG5" s="262" t="s">
        <v>647</v>
      </c>
      <c r="AH5" s="203"/>
      <c r="AI5" s="202"/>
      <c r="AJ5" s="262" t="s">
        <v>483</v>
      </c>
      <c r="AK5" s="261" t="s">
        <v>647</v>
      </c>
      <c r="AL5" s="260" t="s">
        <v>483</v>
      </c>
      <c r="AM5" s="261" t="s">
        <v>647</v>
      </c>
      <c r="AN5" s="260" t="s">
        <v>483</v>
      </c>
      <c r="AO5" s="261" t="s">
        <v>647</v>
      </c>
      <c r="AP5" s="262" t="s">
        <v>483</v>
      </c>
      <c r="AQ5" s="262" t="s">
        <v>647</v>
      </c>
      <c r="AR5" s="203"/>
      <c r="AS5" s="202"/>
      <c r="AT5" s="262" t="s">
        <v>483</v>
      </c>
      <c r="AU5" s="261" t="s">
        <v>647</v>
      </c>
      <c r="AV5" s="260" t="s">
        <v>483</v>
      </c>
      <c r="AW5" s="261" t="s">
        <v>647</v>
      </c>
      <c r="AX5" s="260" t="s">
        <v>483</v>
      </c>
      <c r="AY5" s="261" t="s">
        <v>647</v>
      </c>
      <c r="AZ5" s="262" t="s">
        <v>483</v>
      </c>
      <c r="BA5" s="262" t="s">
        <v>647</v>
      </c>
      <c r="BB5" s="203"/>
      <c r="BC5" s="202"/>
      <c r="BD5" s="262" t="s">
        <v>483</v>
      </c>
      <c r="BE5" s="261" t="s">
        <v>647</v>
      </c>
      <c r="BF5" s="260" t="s">
        <v>483</v>
      </c>
      <c r="BG5" s="261" t="s">
        <v>647</v>
      </c>
      <c r="BH5" s="260" t="s">
        <v>483</v>
      </c>
      <c r="BI5" s="261" t="s">
        <v>647</v>
      </c>
      <c r="BJ5" s="262" t="s">
        <v>483</v>
      </c>
      <c r="BK5" s="262" t="s">
        <v>647</v>
      </c>
      <c r="BL5" s="203"/>
      <c r="BM5" s="202"/>
      <c r="BN5" s="260" t="s">
        <v>483</v>
      </c>
      <c r="BO5" s="261" t="s">
        <v>647</v>
      </c>
      <c r="BP5" s="260" t="s">
        <v>483</v>
      </c>
      <c r="BQ5" s="261" t="s">
        <v>647</v>
      </c>
      <c r="BR5" s="260" t="s">
        <v>483</v>
      </c>
      <c r="BS5" s="261" t="s">
        <v>647</v>
      </c>
      <c r="BT5" s="260" t="s">
        <v>483</v>
      </c>
      <c r="BU5" s="261" t="s">
        <v>647</v>
      </c>
      <c r="BV5" s="262" t="s">
        <v>483</v>
      </c>
      <c r="BW5" s="261" t="s">
        <v>647</v>
      </c>
    </row>
    <row r="6" spans="2:75" x14ac:dyDescent="0.35">
      <c r="C6" s="196" t="str">
        <f>CONFIG!$B$16</f>
        <v>VODAFONE</v>
      </c>
      <c r="D6" s="197"/>
      <c r="E6" s="207">
        <f>SUM(E11,E16,E21)</f>
        <v>255.75498104433086</v>
      </c>
      <c r="F6" s="269" t="s">
        <v>651</v>
      </c>
      <c r="G6" s="207">
        <f>SUM(G11,G16,G21)</f>
        <v>41.982293549136408</v>
      </c>
      <c r="H6" s="269" t="s">
        <v>651</v>
      </c>
      <c r="I6" s="207">
        <f>SUM(I11,I16,I21)</f>
        <v>51.993193375783946</v>
      </c>
      <c r="J6" s="269" t="s">
        <v>651</v>
      </c>
      <c r="K6" s="210"/>
      <c r="L6" s="210"/>
      <c r="M6" s="211"/>
      <c r="N6" s="207">
        <f>SUM(N11,N16,N21)</f>
        <v>86.388081410395117</v>
      </c>
      <c r="O6" s="269" t="s">
        <v>651</v>
      </c>
      <c r="P6" s="207">
        <f>SUM(P11,P16,P21)</f>
        <v>51.537952910680872</v>
      </c>
      <c r="Q6" s="269" t="s">
        <v>651</v>
      </c>
      <c r="R6" s="212"/>
      <c r="S6" s="211"/>
      <c r="T6" s="207">
        <f>SUM(T11,T16,T21)</f>
        <v>34.555232564158047</v>
      </c>
      <c r="U6" s="269" t="s">
        <v>651</v>
      </c>
      <c r="V6" s="207">
        <f>SUM(V11,V16,V21)</f>
        <v>15.87289716906154</v>
      </c>
      <c r="W6" s="269" t="s">
        <v>651</v>
      </c>
      <c r="X6" s="212"/>
      <c r="Y6" s="211"/>
      <c r="Z6" s="207">
        <f>SUM(Z11,Z16,Z21)</f>
        <v>35.25938819423429</v>
      </c>
      <c r="AA6" s="269" t="s">
        <v>651</v>
      </c>
      <c r="AB6" s="207">
        <f>SUM(AB11,AB16,AB21)</f>
        <v>7.1999999999999993</v>
      </c>
      <c r="AC6" s="269" t="s">
        <v>651</v>
      </c>
      <c r="AD6" s="207">
        <f>SUM(AD11,AD16,AD21)</f>
        <v>8.2935416957311059</v>
      </c>
      <c r="AE6" s="269" t="s">
        <v>651</v>
      </c>
      <c r="AF6" s="207">
        <f>SUM(AF11,AF16,AF21)</f>
        <v>2.9555876003153587</v>
      </c>
      <c r="AG6" s="269" t="s">
        <v>651</v>
      </c>
      <c r="AH6" s="212"/>
      <c r="AI6" s="211"/>
      <c r="AJ6" s="207">
        <f>SUM(AJ11,AJ16,AJ21)</f>
        <v>33.564332674328469</v>
      </c>
      <c r="AK6" s="269" t="s">
        <v>651</v>
      </c>
      <c r="AL6" s="207">
        <f>SUM(AL11,AL16,AL21)</f>
        <v>7.1971057319389917</v>
      </c>
      <c r="AM6" s="269" t="s">
        <v>651</v>
      </c>
      <c r="AN6" s="207">
        <f>SUM(AN11,AN16,AN21)</f>
        <v>7.0281483060639731</v>
      </c>
      <c r="AO6" s="269" t="s">
        <v>651</v>
      </c>
      <c r="AP6" s="207">
        <f>SUM(AP11,AP16,AP21)</f>
        <v>2.0786498635086756</v>
      </c>
      <c r="AQ6" s="269" t="s">
        <v>651</v>
      </c>
      <c r="AR6" s="212"/>
      <c r="AS6" s="211"/>
      <c r="AT6" s="207">
        <f>SUM(AT11,AT16,AT21)</f>
        <v>35.342017477845062</v>
      </c>
      <c r="AU6" s="269" t="s">
        <v>651</v>
      </c>
      <c r="AV6" s="207">
        <f>SUM(AV11,AV16,AV21)</f>
        <v>5.4674127805009958</v>
      </c>
      <c r="AW6" s="269" t="s">
        <v>651</v>
      </c>
      <c r="AX6" s="207">
        <f>SUM(AX11,AX16,AX21)</f>
        <v>8.1167771116273304</v>
      </c>
      <c r="AY6" s="269" t="s">
        <v>651</v>
      </c>
      <c r="AZ6" s="207">
        <f>SUM(AZ11,AZ16,AZ21)</f>
        <v>3.3282297587571419</v>
      </c>
      <c r="BA6" s="269" t="s">
        <v>651</v>
      </c>
      <c r="BB6" s="212"/>
      <c r="BC6" s="211"/>
      <c r="BD6" s="207">
        <f>SUM(BD11,BD16,BD21)</f>
        <v>34.870226418921803</v>
      </c>
      <c r="BE6" s="269" t="s">
        <v>651</v>
      </c>
      <c r="BF6" s="207">
        <f>SUM(BF11,BF16,BF21)</f>
        <v>5.7311292779703411</v>
      </c>
      <c r="BG6" s="269" t="s">
        <v>651</v>
      </c>
      <c r="BH6" s="207">
        <f>SUM(BH11,BH16,BH21)</f>
        <v>8.9210146053974402</v>
      </c>
      <c r="BI6" s="269" t="s">
        <v>651</v>
      </c>
      <c r="BJ6" s="207">
        <f>SUM(BJ11,BJ16,BJ21)</f>
        <v>4.1878283265406457</v>
      </c>
      <c r="BK6" s="269" t="s">
        <v>651</v>
      </c>
      <c r="BL6" s="212"/>
      <c r="BM6" s="211"/>
      <c r="BN6" s="207">
        <f>SUM(BN11,BN16,BN21)</f>
        <v>79.391731278362215</v>
      </c>
      <c r="BO6" s="269" t="s">
        <v>651</v>
      </c>
      <c r="BP6" s="207">
        <f>SUM(BP11,BP16,BP21)</f>
        <v>7.4077758324204037</v>
      </c>
      <c r="BQ6" s="269" t="s">
        <v>651</v>
      </c>
      <c r="BR6" s="207">
        <f>SUM(BR11,BR16,BR21)</f>
        <v>21.233158041194518</v>
      </c>
      <c r="BS6" s="269" t="s">
        <v>651</v>
      </c>
      <c r="BT6" s="207">
        <f>SUM(BT11,BT16,BT21)</f>
        <v>29.924767136053301</v>
      </c>
      <c r="BU6" s="269" t="s">
        <v>651</v>
      </c>
      <c r="BV6" s="207" t="e">
        <f>SUM(BV11,BV16,BV21)</f>
        <v>#REF!</v>
      </c>
      <c r="BW6" s="269" t="s">
        <v>651</v>
      </c>
    </row>
    <row r="7" spans="2:75" x14ac:dyDescent="0.35">
      <c r="C7" s="198" t="str">
        <f>CONFIG!$C$16</f>
        <v>MOVISTAR</v>
      </c>
      <c r="D7" s="199"/>
      <c r="E7" s="213">
        <f>SUM(E12,E17,E22)</f>
        <v>213.52088575032292</v>
      </c>
      <c r="F7" s="270" t="s">
        <v>651</v>
      </c>
      <c r="G7" s="213">
        <f>SUM(G12,G17,G22)</f>
        <v>24.220620310672686</v>
      </c>
      <c r="H7" s="270" t="s">
        <v>651</v>
      </c>
      <c r="I7" s="213">
        <f>SUM(I12,I17,I22)</f>
        <v>46.145444347833127</v>
      </c>
      <c r="J7" s="270" t="s">
        <v>651</v>
      </c>
      <c r="K7" s="216"/>
      <c r="L7" s="216"/>
      <c r="M7" s="217"/>
      <c r="N7" s="213">
        <f>SUM(N12,N17,N22)</f>
        <v>84.371156464264089</v>
      </c>
      <c r="O7" s="270" t="s">
        <v>651</v>
      </c>
      <c r="P7" s="213">
        <f>SUM(P12,P17,P22)</f>
        <v>50.355642431155317</v>
      </c>
      <c r="Q7" s="270" t="s">
        <v>651</v>
      </c>
      <c r="R7" s="218"/>
      <c r="S7" s="217"/>
      <c r="T7" s="213">
        <f>SUM(T12,T17,T22)</f>
        <v>33.748462585705639</v>
      </c>
      <c r="U7" s="270" t="s">
        <v>651</v>
      </c>
      <c r="V7" s="213">
        <f>SUM(V12,V17,V22)</f>
        <v>14.826334960462225</v>
      </c>
      <c r="W7" s="270" t="s">
        <v>651</v>
      </c>
      <c r="X7" s="218"/>
      <c r="Y7" s="217"/>
      <c r="Z7" s="213">
        <f>SUM(Z12,Z17,Z22)</f>
        <v>35.236860923709095</v>
      </c>
      <c r="AA7" s="270" t="s">
        <v>651</v>
      </c>
      <c r="AB7" s="213">
        <f>SUM(AB12,AB17,AB22)</f>
        <v>7.1999999999999993</v>
      </c>
      <c r="AC7" s="270" t="s">
        <v>651</v>
      </c>
      <c r="AD7" s="213">
        <f>SUM(AD12,AD17,AD22)</f>
        <v>7.9728181344243154</v>
      </c>
      <c r="AE7" s="270" t="s">
        <v>651</v>
      </c>
      <c r="AF7" s="213">
        <f>SUM(AF12,AF17,AF22)</f>
        <v>2.7162533137290947</v>
      </c>
      <c r="AG7" s="270" t="s">
        <v>651</v>
      </c>
      <c r="AH7" s="218"/>
      <c r="AI7" s="217"/>
      <c r="AJ7" s="213">
        <f>SUM(AJ12,AJ17,AJ22)</f>
        <v>34.104647556452463</v>
      </c>
      <c r="AK7" s="270" t="s">
        <v>651</v>
      </c>
      <c r="AL7" s="213">
        <f>SUM(AL12,AL17,AL22)</f>
        <v>7.1999473760662935</v>
      </c>
      <c r="AM7" s="270" t="s">
        <v>651</v>
      </c>
      <c r="AN7" s="213">
        <f>SUM(AN12,AN17,AN22)</f>
        <v>7.0742964929445442</v>
      </c>
      <c r="AO7" s="270" t="s">
        <v>651</v>
      </c>
      <c r="AP7" s="213">
        <f>SUM(AP12,AP17,AP22)</f>
        <v>2.1998011292656034</v>
      </c>
      <c r="AQ7" s="270" t="s">
        <v>651</v>
      </c>
      <c r="AR7" s="218"/>
      <c r="AS7" s="217"/>
      <c r="AT7" s="213">
        <f>SUM(AT12,AT17,AT22)</f>
        <v>34.970394480036518</v>
      </c>
      <c r="AU7" s="270" t="s">
        <v>651</v>
      </c>
      <c r="AV7" s="213">
        <f>SUM(AV12,AV17,AV22)</f>
        <v>4.5759110364173807</v>
      </c>
      <c r="AW7" s="270" t="s">
        <v>651</v>
      </c>
      <c r="AX7" s="213">
        <f>SUM(AX12,AX17,AX22)</f>
        <v>7.468158453663154</v>
      </c>
      <c r="AY7" s="270" t="s">
        <v>651</v>
      </c>
      <c r="AZ7" s="213">
        <f>SUM(AZ12,AZ17,AZ22)</f>
        <v>2.6350601299780876</v>
      </c>
      <c r="BA7" s="270" t="s">
        <v>651</v>
      </c>
      <c r="BB7" s="218"/>
      <c r="BC7" s="217"/>
      <c r="BD7" s="213">
        <f>SUM(BD12,BD17,BD22)</f>
        <v>34.440922699995632</v>
      </c>
      <c r="BE7" s="270" t="s">
        <v>651</v>
      </c>
      <c r="BF7" s="213">
        <f>SUM(BF12,BF17,BF22)</f>
        <v>5.131539765265444</v>
      </c>
      <c r="BG7" s="270" t="s">
        <v>651</v>
      </c>
      <c r="BH7" s="213">
        <f>SUM(BH12,BH17,BH22)</f>
        <v>9.0260625953534301</v>
      </c>
      <c r="BI7" s="270" t="s">
        <v>651</v>
      </c>
      <c r="BJ7" s="213">
        <f>SUM(BJ12,BJ17,BJ22)</f>
        <v>3.6009207558489567</v>
      </c>
      <c r="BK7" s="270" t="s">
        <v>651</v>
      </c>
      <c r="BL7" s="218"/>
      <c r="BM7" s="217"/>
      <c r="BN7" s="213">
        <f>SUM(BN12,BN17,BN22)</f>
        <v>78.822586228776828</v>
      </c>
      <c r="BO7" s="270" t="s">
        <v>651</v>
      </c>
      <c r="BP7" s="213">
        <f>SUM(BP12,BP17,BP22)</f>
        <v>7.425588398913038</v>
      </c>
      <c r="BQ7" s="270" t="s">
        <v>651</v>
      </c>
      <c r="BR7" s="213">
        <f>SUM(BR12,BR17,BR22)</f>
        <v>21.740770658770515</v>
      </c>
      <c r="BS7" s="270" t="s">
        <v>651</v>
      </c>
      <c r="BT7" s="213">
        <f>SUM(BT12,BT17,BT22)</f>
        <v>30.112896848683476</v>
      </c>
      <c r="BU7" s="270" t="s">
        <v>651</v>
      </c>
      <c r="BV7" s="213" t="e">
        <f>SUM(BV12,BV17,BV22)</f>
        <v>#REF!</v>
      </c>
      <c r="BW7" s="270" t="s">
        <v>651</v>
      </c>
    </row>
    <row r="8" spans="2:75" x14ac:dyDescent="0.35">
      <c r="C8" s="198" t="str">
        <f>CONFIG!$D$16</f>
        <v>ORANGE</v>
      </c>
      <c r="D8" s="199"/>
      <c r="E8" s="213">
        <f>SUM(E13,E18,E23)</f>
        <v>238.95885718982012</v>
      </c>
      <c r="F8" s="270" t="s">
        <v>651</v>
      </c>
      <c r="G8" s="213">
        <f>SUM(G13,G18,G23)</f>
        <v>29.917664304383898</v>
      </c>
      <c r="H8" s="270" t="s">
        <v>651</v>
      </c>
      <c r="I8" s="213">
        <f>SUM(I13,I18,I23)</f>
        <v>49.721379066532272</v>
      </c>
      <c r="J8" s="270" t="s">
        <v>651</v>
      </c>
      <c r="K8" s="216"/>
      <c r="L8" s="216"/>
      <c r="M8" s="217"/>
      <c r="N8" s="213">
        <f>SUM(N13,N18,N23)</f>
        <v>82.302145346990201</v>
      </c>
      <c r="O8" s="270" t="s">
        <v>651</v>
      </c>
      <c r="P8" s="213">
        <f>SUM(P13,P18,P23)</f>
        <v>49.139454507378552</v>
      </c>
      <c r="Q8" s="270" t="s">
        <v>651</v>
      </c>
      <c r="R8" s="218"/>
      <c r="S8" s="217"/>
      <c r="T8" s="213">
        <f>SUM(T13,T18,T23)</f>
        <v>32.920858138796078</v>
      </c>
      <c r="U8" s="270" t="s">
        <v>651</v>
      </c>
      <c r="V8" s="213">
        <f>SUM(V13,V18,V23)</f>
        <v>13.748512005249435</v>
      </c>
      <c r="W8" s="270" t="s">
        <v>651</v>
      </c>
      <c r="X8" s="218"/>
      <c r="Y8" s="217"/>
      <c r="Z8" s="213">
        <f>SUM(Z13,Z18,Z23)</f>
        <v>35.095209381663203</v>
      </c>
      <c r="AA8" s="270" t="s">
        <v>651</v>
      </c>
      <c r="AB8" s="213">
        <f>SUM(AB13,AB18,AB23)</f>
        <v>6.8959036697869802</v>
      </c>
      <c r="AC8" s="270" t="s">
        <v>651</v>
      </c>
      <c r="AD8" s="213">
        <f>SUM(AD13,AD18,AD23)</f>
        <v>5.8126884861440997</v>
      </c>
      <c r="AE8" s="270" t="s">
        <v>651</v>
      </c>
      <c r="AF8" s="213">
        <f>SUM(AF13,AF18,AF23)</f>
        <v>0</v>
      </c>
      <c r="AG8" s="270" t="s">
        <v>651</v>
      </c>
      <c r="AH8" s="218"/>
      <c r="AI8" s="217"/>
      <c r="AJ8" s="213">
        <f>SUM(AJ13,AJ18,AJ23)</f>
        <v>32.277783748455057</v>
      </c>
      <c r="AK8" s="270" t="s">
        <v>651</v>
      </c>
      <c r="AL8" s="213">
        <f>SUM(AL13,AL18,AL23)</f>
        <v>7.0867398985089718</v>
      </c>
      <c r="AM8" s="270" t="s">
        <v>651</v>
      </c>
      <c r="AN8" s="213">
        <f>SUM(AN13,AN18,AN23)</f>
        <v>4.969523178859772</v>
      </c>
      <c r="AO8" s="270" t="s">
        <v>651</v>
      </c>
      <c r="AP8" s="213">
        <f>SUM(AP13,AP18,AP23)</f>
        <v>0.4237532438848412</v>
      </c>
      <c r="AQ8" s="270" t="s">
        <v>651</v>
      </c>
      <c r="AR8" s="218"/>
      <c r="AS8" s="217"/>
      <c r="AT8" s="213">
        <f>SUM(AT13,AT18,AT23)</f>
        <v>34.780869536015359</v>
      </c>
      <c r="AU8" s="270" t="s">
        <v>651</v>
      </c>
      <c r="AV8" s="213">
        <f>SUM(AV13,AV18,AV23)</f>
        <v>4.349005184062487</v>
      </c>
      <c r="AW8" s="270" t="s">
        <v>651</v>
      </c>
      <c r="AX8" s="213">
        <f>SUM(AX13,AX18,AX23)</f>
        <v>6.6795525355008412</v>
      </c>
      <c r="AY8" s="270" t="s">
        <v>651</v>
      </c>
      <c r="AZ8" s="213">
        <f>SUM(AZ13,AZ18,AZ23)</f>
        <v>2.4628735366506866</v>
      </c>
      <c r="BA8" s="270" t="s">
        <v>651</v>
      </c>
      <c r="BB8" s="218"/>
      <c r="BC8" s="217"/>
      <c r="BD8" s="213">
        <f>SUM(BD13,BD18,BD23)</f>
        <v>34.100099465973592</v>
      </c>
      <c r="BE8" s="270" t="s">
        <v>651</v>
      </c>
      <c r="BF8" s="213">
        <f>SUM(BF13,BF18,BF23)</f>
        <v>4.7821100478571665</v>
      </c>
      <c r="BG8" s="270" t="s">
        <v>651</v>
      </c>
      <c r="BH8" s="213">
        <f>SUM(BH13,BH18,BH23)</f>
        <v>6.689698823630426</v>
      </c>
      <c r="BI8" s="270" t="s">
        <v>651</v>
      </c>
      <c r="BJ8" s="213">
        <f>SUM(BJ13,BJ18,BJ23)</f>
        <v>3.5848116035839483</v>
      </c>
      <c r="BK8" s="270" t="s">
        <v>651</v>
      </c>
      <c r="BL8" s="218"/>
      <c r="BM8" s="217"/>
      <c r="BN8" s="213">
        <f>SUM(BN13,BN18,BN23)</f>
        <v>75.766362015843143</v>
      </c>
      <c r="BO8" s="270" t="s">
        <v>651</v>
      </c>
      <c r="BP8" s="213">
        <f>SUM(BP13,BP18,BP23)</f>
        <v>7.4307824827580946</v>
      </c>
      <c r="BQ8" s="270" t="s">
        <v>651</v>
      </c>
      <c r="BR8" s="213">
        <f>SUM(BR13,BR18,BR23)</f>
        <v>21.211956179965288</v>
      </c>
      <c r="BS8" s="270" t="s">
        <v>651</v>
      </c>
      <c r="BT8" s="213">
        <f>SUM(BT13,BT18,BT23)</f>
        <v>30.320791130557605</v>
      </c>
      <c r="BU8" s="270" t="s">
        <v>651</v>
      </c>
      <c r="BV8" s="213" t="e">
        <f>SUM(BV13,BV18,BV23)</f>
        <v>#REF!</v>
      </c>
      <c r="BW8" s="270" t="s">
        <v>651</v>
      </c>
    </row>
    <row r="9" spans="2:75" x14ac:dyDescent="0.35">
      <c r="C9" s="200" t="str">
        <f>IF(CONFIG!$E$16 &lt;&gt; 0,CONFIG!$E$16,"")</f>
        <v>YOIGO</v>
      </c>
      <c r="D9" s="201"/>
      <c r="E9" s="219">
        <f>SUM(E14,E19,E24)</f>
        <v>177.09336450361113</v>
      </c>
      <c r="F9" s="271" t="s">
        <v>651</v>
      </c>
      <c r="G9" s="219">
        <f>SUM(G14,G19,G24)</f>
        <v>18.995654911626644</v>
      </c>
      <c r="H9" s="271" t="s">
        <v>651</v>
      </c>
      <c r="I9" s="219">
        <f>SUM(I14,I19,I24)</f>
        <v>34.033246878177728</v>
      </c>
      <c r="J9" s="271" t="s">
        <v>651</v>
      </c>
      <c r="K9" s="216"/>
      <c r="L9" s="216"/>
      <c r="M9" s="222"/>
      <c r="N9" s="219">
        <f>SUM(N14,N19,N24)</f>
        <v>72.013684841649109</v>
      </c>
      <c r="O9" s="271" t="s">
        <v>651</v>
      </c>
      <c r="P9" s="219">
        <f>SUM(P14,P19,P24)</f>
        <v>47.361450898125</v>
      </c>
      <c r="Q9" s="271" t="s">
        <v>651</v>
      </c>
      <c r="R9" s="223"/>
      <c r="S9" s="222"/>
      <c r="T9" s="219">
        <f>SUM(T14,T19,T24)</f>
        <v>28.805473936659642</v>
      </c>
      <c r="U9" s="271" t="s">
        <v>651</v>
      </c>
      <c r="V9" s="219">
        <f>SUM(V14,V19,V24)</f>
        <v>12.18333284602142</v>
      </c>
      <c r="W9" s="271" t="s">
        <v>651</v>
      </c>
      <c r="X9" s="223"/>
      <c r="Y9" s="222"/>
      <c r="Z9" s="219">
        <f>SUM(Z14,Z19,Z24)</f>
        <v>33.341348318695012</v>
      </c>
      <c r="AA9" s="271" t="s">
        <v>651</v>
      </c>
      <c r="AB9" s="219">
        <f>SUM(AB14,AB19,AB24)</f>
        <v>6.6964875328486491</v>
      </c>
      <c r="AC9" s="271" t="s">
        <v>651</v>
      </c>
      <c r="AD9" s="219">
        <f>SUM(AD14,AD19,AD24)</f>
        <v>4.404998270037483</v>
      </c>
      <c r="AE9" s="271" t="s">
        <v>651</v>
      </c>
      <c r="AF9" s="219">
        <f>SUM(AF14,AF19,AF24)</f>
        <v>0</v>
      </c>
      <c r="AG9" s="271" t="s">
        <v>651</v>
      </c>
      <c r="AH9" s="223"/>
      <c r="AI9" s="222"/>
      <c r="AJ9" s="219">
        <f>SUM(AJ14,AJ19,AJ24)</f>
        <v>27.794859797978624</v>
      </c>
      <c r="AK9" s="271" t="s">
        <v>651</v>
      </c>
      <c r="AL9" s="219">
        <f>SUM(AL14,AL19,AL24)</f>
        <v>7.0160501878827644</v>
      </c>
      <c r="AM9" s="271" t="s">
        <v>651</v>
      </c>
      <c r="AN9" s="219">
        <f>SUM(AN14,AN19,AN24)</f>
        <v>4.2619894515292085</v>
      </c>
      <c r="AO9" s="271" t="s">
        <v>651</v>
      </c>
      <c r="AP9" s="219">
        <f>SUM(AP14,AP19,AP24)</f>
        <v>0.38742718413767718</v>
      </c>
      <c r="AQ9" s="271" t="s">
        <v>651</v>
      </c>
      <c r="AR9" s="223"/>
      <c r="AS9" s="222"/>
      <c r="AT9" s="219">
        <f>SUM(AT14,AT19,AT24)</f>
        <v>33.174979005079003</v>
      </c>
      <c r="AU9" s="271" t="s">
        <v>651</v>
      </c>
      <c r="AV9" s="219">
        <f>SUM(AV14,AV19,AV24)</f>
        <v>2.6256632411609138</v>
      </c>
      <c r="AW9" s="271" t="s">
        <v>651</v>
      </c>
      <c r="AX9" s="219">
        <f>SUM(AX14,AX19,AX24)</f>
        <v>4.7148923057431285</v>
      </c>
      <c r="AY9" s="271" t="s">
        <v>651</v>
      </c>
      <c r="AZ9" s="219">
        <f>SUM(AZ14,AZ19,AZ24)</f>
        <v>1.0268063132175889</v>
      </c>
      <c r="BA9" s="271" t="s">
        <v>651</v>
      </c>
      <c r="BB9" s="223"/>
      <c r="BC9" s="222"/>
      <c r="BD9" s="219">
        <f>SUM(BD14,BD19,BD24)</f>
        <v>31.358981170478401</v>
      </c>
      <c r="BE9" s="271" t="s">
        <v>651</v>
      </c>
      <c r="BF9" s="219">
        <f>SUM(BF14,BF19,BF24)</f>
        <v>3.6732397487612278</v>
      </c>
      <c r="BG9" s="271" t="s">
        <v>651</v>
      </c>
      <c r="BH9" s="219">
        <f>SUM(BH14,BH19,BH24)</f>
        <v>5.2233019163861147</v>
      </c>
      <c r="BI9" s="271" t="s">
        <v>651</v>
      </c>
      <c r="BJ9" s="219">
        <f>SUM(BJ14,BJ19,BJ24)</f>
        <v>2.3924641603102654</v>
      </c>
      <c r="BK9" s="271" t="s">
        <v>651</v>
      </c>
      <c r="BL9" s="223"/>
      <c r="BM9" s="222"/>
      <c r="BN9" s="219">
        <f>SUM(BN14,BN19,BN24)</f>
        <v>71.564775755662978</v>
      </c>
      <c r="BO9" s="271" t="s">
        <v>651</v>
      </c>
      <c r="BP9" s="219">
        <f>SUM(BP14,BP19,BP24)</f>
        <v>7.3595862809013379</v>
      </c>
      <c r="BQ9" s="271" t="s">
        <v>651</v>
      </c>
      <c r="BR9" s="219">
        <f>SUM(BR14,BR19,BR24)</f>
        <v>20.146079087040622</v>
      </c>
      <c r="BS9" s="271" t="s">
        <v>651</v>
      </c>
      <c r="BT9" s="219">
        <f>SUM(BT14,BT19,BT24)</f>
        <v>22.888786621805519</v>
      </c>
      <c r="BU9" s="271" t="s">
        <v>651</v>
      </c>
      <c r="BV9" s="219" t="e">
        <f>SUM(BV14,BV19,BV24)</f>
        <v>#REF!</v>
      </c>
      <c r="BW9" s="271" t="s">
        <v>651</v>
      </c>
    </row>
    <row r="10" spans="2:75" x14ac:dyDescent="0.35">
      <c r="K10" s="199"/>
      <c r="L10" s="199"/>
    </row>
    <row r="11" spans="2:75" x14ac:dyDescent="0.35">
      <c r="B11" s="325" t="s">
        <v>648</v>
      </c>
      <c r="C11" s="196" t="str">
        <f>CONFIG!$B$16</f>
        <v>VODAFONE</v>
      </c>
      <c r="D11" s="197"/>
      <c r="E11" s="207">
        <f>IF(F11&lt;&gt;"",IF(F11&lt;=(0.9*MF_VF!$G$6+0.1*MF_VF!$H$6),0.1*MF_VF!$D$6*F11/(0.9*MF_VF!$G$6+0.1*MF_VF!$H$6),IF(F11&gt;=MF_VF!$H$6,MF_VF!$D$6,(F11-MF_VF!$G$6)/(MF_VF!$H$6-MF_VF!$G$6)*MF_VF!$D$6))*Service_Weights!$E$2,0)</f>
        <v>160.75329469665303</v>
      </c>
      <c r="F11" s="264">
        <f>MF_VF!$I$6</f>
        <v>99.439243042002914</v>
      </c>
      <c r="G11" s="207">
        <f>IF(AND(H11&lt;&gt;"",H11&lt;&gt;0),IF(H11&lt;=MF_VF!$G$7,MF_VF!$D$7,IF(H11&gt;=MF_VF!$H$7,0,MF_VF!$D$7-(H11-MF_VF!$G$7)/(MF_VF!$H$7-MF_VF!$G$7)*MF_VF!$D$7))*Service_Weights!$E$2,0)</f>
        <v>26.610419997968371</v>
      </c>
      <c r="H11" s="264">
        <f>MF_VF!$I$7</f>
        <v>5.195340833700155</v>
      </c>
      <c r="I11" s="207">
        <f>IF(J11&lt;&gt;"",IF(J11&lt;=MF_VF!$G$8,0,IF(J11&gt;=MF_VF!$H$8,MF_VF!$D$8,SQRT((J11-MF_VF!$G$8)/(MF_VF!$H$8-MF_VF!$G$8))*MF_VF!$D$8))*Service_Weights!$E$2,0)</f>
        <v>31.64429761971731</v>
      </c>
      <c r="J11" s="264">
        <f>MF_VF!$I$8</f>
        <v>3.6680455142792967</v>
      </c>
      <c r="K11" s="210"/>
      <c r="L11" s="210"/>
      <c r="M11" s="211"/>
      <c r="N11" s="208">
        <f>IF(O11&lt;&gt;"",IF(O11&lt;=(0.9*MF_VF!$G$17+0.1*MF_VF!$H$17),0.1*MF_VF!$D$17*O11/(0.9*MF_VF!$G$17+0.1*MF_VF!$H$17),IF(O11&gt;=MF_VF!$H$17,MF_VF!$D$17,(O11-MF_VF!$G$17)/(MF_VF!$H$17-MF_VF!$G$17)*MF_VF!$D$17))*Service_Weights!$E$7,0)</f>
        <v>53.083726668704017</v>
      </c>
      <c r="O11" s="264">
        <f>MF_VF!$I$17</f>
        <v>99.779415679502819</v>
      </c>
      <c r="P11" s="208">
        <f>IF(AND(Q11&lt;&gt;"",Q11&lt;&gt;0),IF(Q11&lt;=MF_VF!$G$18,MF_VF!$D$18,IF(Q11&gt;=MF_VF!$H$18,0,MF_VF!$D$18-(Q11-MF_VF!$G$18)/(MF_VF!$H$18-MF_VF!$G$18)*MF_VF!$D$18))*Service_Weights!$E$7,0)</f>
        <v>31.103923490112358</v>
      </c>
      <c r="Q11" s="264">
        <f>MF_VF!$I$18</f>
        <v>2.2240191274719114</v>
      </c>
      <c r="R11" s="212"/>
      <c r="S11" s="211"/>
      <c r="T11" s="208">
        <f>IF(U11&lt;&gt;"",IF(U11&lt;=(0.9*MF_VF!$G$24+0.1*MF_VF!$H$24),0.1*MF_VF!$D$24*U11/(0.9*MF_VF!$G$24+0.1*MF_VF!$H$24),IF(U11&gt;=MF_VF!$H$24,MF_VF!$D$24,(U11-MF_VF!$G$24)/(MF_VF!$H$24-MF_VF!$G$24)*MF_VF!$D$24))*Service_Weights!$E$6,0)</f>
        <v>21.233490667481608</v>
      </c>
      <c r="U11" s="264">
        <f>MF_VF!$I$24</f>
        <v>99.779415679502819</v>
      </c>
      <c r="V11" s="208">
        <f>IF(AND(W11&lt;&gt;"",W11&lt;&gt;0),IF(W11&lt;=MF_VF!$G$25,MF_VF!$D$25,IF(W11&gt;=MF_VF!$H$25,0,MF_VF!$D$25-(W11-MF_VF!$G$25)/(MF_VF!$H$25-MF_VF!$G$25)*MF_VF!$D$25))*Service_Weights!$E$6,0)</f>
        <v>9.9935311411011192</v>
      </c>
      <c r="W11" s="264">
        <f>MF_VF!$I$25</f>
        <v>2.2240191274719114</v>
      </c>
      <c r="X11" s="212"/>
      <c r="Y11" s="211"/>
      <c r="Z11" s="208">
        <f>IF(AA11&lt;&gt;"",IF(AA11&lt;=(0.9*MF_VF!$G$30+0.1*MF_VF!$H$30),0.1*MF_VF!$D$30*AA11/(0.9*MF_VF!$G$30+0.1*MF_VF!$H$30),IF(AA11&gt;=MF_VF!$H$30,MF_VF!$D$30,(AA11-MF_VF!$G$30)/(MF_VF!$H$30-MF_VF!$G$30)*MF_VF!$D$30))*Service_Weights!$E$8,0)</f>
        <v>21.216154929391291</v>
      </c>
      <c r="AA11" s="264">
        <f>MF_VF!$I$30</f>
        <v>99.768982133429944</v>
      </c>
      <c r="AB11" s="207">
        <f>IF(AND(AC11&lt;&gt;"",AC11&lt;&gt;0),IF(AC11&lt;=MF_VF!$G$31,MF_VF!$D$31,IF(AC11&gt;=MF_VF!$H$31,0,SQRT((AC11-MF_VF!$H$31)/(MF_VF!$G$31-MF_VF!$H$31))*MF_VF!$D$31))*Service_Weights!$E$8,0)</f>
        <v>4.32</v>
      </c>
      <c r="AC11" s="264">
        <f>MF_VF!$I$31</f>
        <v>0.84243562177544784</v>
      </c>
      <c r="AD11" s="207">
        <f>IF(AE11&lt;&gt;"",IF(AE11&lt;=MF_VF!$G$32,0,IF(AE11&gt;=MF_VF!$H$32,MF_VF!$D$32,SQRT((AE11-MF_VF!$G$32)/(MF_VF!$H$32-MF_VF!$G$32))*MF_VF!$D$32))*Service_Weights!$E$8,0)</f>
        <v>5.0715937979127226</v>
      </c>
      <c r="AE11" s="209">
        <f>MF_VF!$I$32</f>
        <v>12597.53593429158</v>
      </c>
      <c r="AF11" s="208">
        <f>IF(AG11&lt;&gt;"",IF(AG11&lt;=MF_VF!$G$33,0,IF(AG11&gt;=MF_VF!$H$33,MF_VF!$D$33,SQRT((AG11-MF_VF!$G$33)/(MF_VF!$H$33-MF_VF!$G$33))*MF_VF!$D$33))*Service_Weights!$E$8,0)</f>
        <v>1.7533249133427184</v>
      </c>
      <c r="AG11" s="209">
        <f>MF_VF!$I$33</f>
        <v>45384.615384615383</v>
      </c>
      <c r="AH11" s="212"/>
      <c r="AI11" s="211"/>
      <c r="AJ11" s="208">
        <f>IF(AK11&lt;&gt;"",IF(AK11&lt;=(0.9*MF_VF!$G$38+0.1*MF_VF!$H$38),0.1*MF_VF!$D$38*AK11/(0.9*MF_VF!$G$38+0.1*MF_VF!$H$38),IF(AK11&gt;=MF_VF!$H$38,MF_VF!$D$38,(AK11-MF_VF!$G$38)/(MF_VF!$H$38-MF_VF!$G$38)*MF_VF!$D$38))*Service_Weights!$E$9,0)</f>
        <v>21.000033309426481</v>
      </c>
      <c r="AK11" s="264">
        <f>MF_VF!$I$38</f>
        <v>99.638908936228901</v>
      </c>
      <c r="AL11" s="207">
        <f>IF(AND(AM11&lt;&gt;"",AM11&lt;&gt;0),IF(AM11&lt;=MF_VF!$G$39,MF_VF!$D$39,IF(AM11&gt;=MF_VF!$H$39,0,SQRT((AM11-MF_VF!$H$39)/(MF_VF!$G$39-MF_VF!$H$39))*MF_VF!$D$39))*Service_Weights!$E$9,0)</f>
        <v>4.32</v>
      </c>
      <c r="AM11" s="264">
        <f>MF_VF!$I$39</f>
        <v>0.96260162643078928</v>
      </c>
      <c r="AN11" s="207">
        <f>IF(AO11&lt;&gt;"",IF(AO11&lt;=MF_VF!$G$40,0,IF(AO11&gt;=MF_VF!$H$40,MF_VF!$D$40,SQRT((AO11-MF_VF!$G$40)/(MF_VF!$H$40-MF_VF!$G$40))*MF_VF!$D$40))*Service_Weights!$E$9,0)</f>
        <v>4.496289956911518</v>
      </c>
      <c r="AO11" s="209">
        <f>MF_VF!$I$40</f>
        <v>3354.096520763188</v>
      </c>
      <c r="AP11" s="208">
        <f>IF(AQ11&lt;&gt;"",IF(AQ11&lt;=MF_VF!$G$41,0,IF(AQ11&gt;=MF_VF!$H$41,MF_VF!$D$41,SQRT((AQ11-MF_VF!$G$41)/(MF_VF!$H$41-MF_VF!$G$41))*MF_VF!$D$41))*Service_Weights!$E$9,0)</f>
        <v>1.2014657714641734</v>
      </c>
      <c r="AQ11" s="209">
        <f>MF_VF!$I$41</f>
        <v>13480.709876543213</v>
      </c>
      <c r="AR11" s="212"/>
      <c r="AS11" s="211"/>
      <c r="AT11" s="208">
        <f>IF(AU11&lt;&gt;"",IF(AU11&lt;=(0.9*MF_VF!$G$46+0.1*MF_VF!$H$46),0.1*MF_VF!$D$46*AU11/(0.9*MF_VF!$G$46+0.1*MF_VF!$H$46),IF(AU11&gt;=MF_VF!$H$46,MF_VF!$D$46,(AU11-MF_VF!$G$46)/(MF_VF!$H$46-MF_VF!$G$46)*MF_VF!$D$46))*Service_Weights!$E$10,0)</f>
        <v>21.406540721167751</v>
      </c>
      <c r="AU11" s="264">
        <f>MF_VF!$I$46</f>
        <v>99.883566174776888</v>
      </c>
      <c r="AV11" s="207">
        <f>IF(AW11&lt;&gt;"",IF(AW11&lt;=MF_VF!$G$47,0,IF(AW11&gt;=MF_VF!$H$47,MF_VF!$D$47,SQRT((AW11-MF_VF!$G$47)/(MF_VF!$H$47-MF_VF!$G$47))*MF_VF!$D$47))*Service_Weights!$E$10,0)</f>
        <v>3.3847231511971736</v>
      </c>
      <c r="AW11" s="209">
        <f>MF_VF!$I$47</f>
        <v>52005.820995323957</v>
      </c>
      <c r="AX11" s="207">
        <f>IF(AY11&lt;&gt;"",IF(AY11&lt;=MF_VF!$G$48,0,IF(AY11&gt;=MF_VF!$H$48,MF_VF!$D$48,SQRT((AY11-MF_VF!$G$48)/(MF_VF!$H$48-MF_VF!$G$48))*MF_VF!$D$48))*Service_Weights!$E$10,0)</f>
        <v>4.9451023913480654</v>
      </c>
      <c r="AY11" s="209">
        <f>MF_VF!$I$48</f>
        <v>16577.868852459014</v>
      </c>
      <c r="AZ11" s="208">
        <f>IF(BA11&lt;&gt;"",IF(BA11&lt;=MF_VF!$G$49,0,IF(BA11&gt;=MF_VF!$H$49,MF_VF!$D$49,SQRT((BA11-MF_VF!$G$49)/(MF_VF!$H$49-MF_VF!$G$49))*MF_VF!$D$49))*Service_Weights!$E$10,0)</f>
        <v>1.9820726479034059</v>
      </c>
      <c r="BA11" s="209">
        <f>MF_VF!$I$49</f>
        <v>98415.178571428551</v>
      </c>
      <c r="BB11" s="212"/>
      <c r="BC11" s="211"/>
      <c r="BD11" s="208">
        <f>IF(BE11&lt;&gt;"",IF(BE11&lt;=(0.9*MF_VF!$G$54+0.1*MF_VF!$H$54),0.1*MF_VF!$D$54*BE11/(0.9*MF_VF!$G$54+0.1*MF_VF!$H$54),IF(BE11&gt;=MF_VF!$H$54,MF_VF!$D$54,(BE11-MF_VF!$G$54)/(MF_VF!$H$54-MF_VF!$G$54)*MF_VF!$D$54))*Service_Weights!$E$11,0)</f>
        <v>21.284213714870184</v>
      </c>
      <c r="BE11" s="264">
        <f>MF_VF!$I$54</f>
        <v>99.809943439505204</v>
      </c>
      <c r="BF11" s="207">
        <f>IF(BG11&lt;&gt;"",IF(BG11&lt;=MF_VF!$G$55,0,IF(BG11&gt;=MF_VF!$H$55,MF_VF!$D$55,SQRT((BG11-MF_VF!$G$55)/(MF_VF!$H$55-MF_VF!$G$55))*MF_VF!$D$55))*Service_Weights!$E$11,0)</f>
        <v>3.5107454992245968</v>
      </c>
      <c r="BG11" s="209">
        <f>MF_VF!$I$55</f>
        <v>24473.537849906697</v>
      </c>
      <c r="BH11" s="207">
        <f>IF(BI11&lt;&gt;"",IF(BI11&lt;=MF_VF!$G$56,0,IF(BI11&gt;=MF_VF!$H$56,MF_VF!$D$56,SQRT((BI11-MF_VF!$G$56)/(MF_VF!$H$56-MF_VF!$G$56))*MF_VF!$D$56))*Service_Weights!$E$11,0)</f>
        <v>5.6493753399105282</v>
      </c>
      <c r="BI11" s="209">
        <f>MF_VF!$I$56</f>
        <v>6181.1263318112624</v>
      </c>
      <c r="BJ11" s="208">
        <f>IF(BK11&lt;&gt;"",IF(BK11&lt;=MF_VF!$G$57,0,IF(BK11&gt;=MF_VF!$H$57,MF_VF!$D$57,SQRT((BK11-MF_VF!$G$57)/(MF_VF!$H$57-MF_VF!$G$57))*MF_VF!$D$57))*Service_Weights!$E$11,0)</f>
        <v>2.5507068655345151</v>
      </c>
      <c r="BK11" s="209">
        <f>MF_VF!$I$57</f>
        <v>42453.907815631253</v>
      </c>
      <c r="BL11" s="212"/>
      <c r="BM11" s="211"/>
      <c r="BN11" s="207">
        <f>IF(BO11&lt;&gt;"",IF(BO11&lt;=(0.9*MF_VF!$G$62+0.1*MF_VF!$H$62),0.1*MF_VF!$D$62*BO11/(0.9*MF_VF!$G$62+0.1*MF_VF!$H$62),IF(BO11&gt;=MF_VF!$H$62,MF_VF!$D$62,(BO11-MF_VF!$G$62)/(MF_VF!$H$62-MF_VF!$G$62)*MF_VF!$D$62))*Service_Weights!$E$12,0)</f>
        <v>47.291146224044674</v>
      </c>
      <c r="BO11" s="264">
        <f>MF_VF!$I$62</f>
        <v>99.330650370922626</v>
      </c>
      <c r="BP11" s="207">
        <f>IF(AND(BQ11&lt;&gt;"",BQ11&lt;&gt;0),IF(BQ11&lt;=MF_VF!$G$63,MF_VF!$D$63,IF(BQ11&gt;=MF_VF!$H$63,0,MF_VF!$D$63-(BQ11-MF_VF!$G$63)/(MF_VF!$H$63-MF_VF!$G$63)*MF_VF!$D$63))*Service_Weights!$E$12,0)</f>
        <v>4.4425868471878038</v>
      </c>
      <c r="BQ11" s="264">
        <f>MF_VF!$I$63</f>
        <v>1.044654674409486</v>
      </c>
      <c r="BR11" s="207">
        <f>IF(BS11&lt;&gt;"",IF(BS11&lt;=MF_VF!$G$64,0,IF(BS11&gt;=MF_VF!$H$64,MF_VF!$D$64,(BS11-MF_VF!$G$64)/(MF_VF!$H$64-MF_VF!$G$64)*MF_VF!$D$64))*Service_Weights!$E$12,0)</f>
        <v>12.765275226338465</v>
      </c>
      <c r="BS11" s="264">
        <f>MF_VF!$I$64</f>
        <v>99.455759426917382</v>
      </c>
      <c r="BT11" s="207">
        <f>IF(BU11&lt;&gt;"",IF(BU11&lt;=MF_VF!$G$65,0,IF(BU11&gt;=MF_VF!$H$65,MF_VF!$D$65,(BU11-MF_VF!$G$65)/(MF_VF!$H$65-MF_VF!$G$65)*MF_VF!$D$65))*Service_Weights!$E$12,0)</f>
        <v>19.219008930142323</v>
      </c>
      <c r="BU11" s="264">
        <f>MF_VF!$I$65</f>
        <v>641.87879764208742</v>
      </c>
      <c r="BV11" s="208" t="e">
        <f>IF(BW11&lt;&gt;"",IF(BW11&lt;=MF_VF!#REF!,0,IF(BW11&gt;=MF_VF!#REF!,MF_VF!#REF!,(BW11-MF_VF!#REF!)/(MF_VF!#REF!-MF_VF!#REF!)*MF_VF!#REF!))*Service_Weights!$E$12,0)</f>
        <v>#REF!</v>
      </c>
      <c r="BW11" s="264" t="e">
        <f>MF_VF!#REF!</f>
        <v>#REF!</v>
      </c>
    </row>
    <row r="12" spans="2:75" x14ac:dyDescent="0.35">
      <c r="B12" s="326"/>
      <c r="C12" s="198" t="str">
        <f>CONFIG!$C$16</f>
        <v>MOVISTAR</v>
      </c>
      <c r="D12" s="199"/>
      <c r="E12" s="213">
        <f>IF(F12&lt;&gt;"",IF(F12&lt;=(0.9*MF_VF!$G$6+0.1*MF_VF!$H$6),0.1*MF_VF!$D$6*F12/(0.9*MF_VF!$G$6+0.1*MF_VF!$H$6),IF(F12&gt;=MF_VF!$H$6,MF_VF!$D$6,(F12-MF_VF!$G$6)/(MF_VF!$H$6-MF_VF!$G$6)*MF_VF!$D$6))*Service_Weights!$E$2,0)</f>
        <v>130.46954146030077</v>
      </c>
      <c r="F12" s="265">
        <f>MF_OP1!$I$6</f>
        <v>97.095857374904227</v>
      </c>
      <c r="G12" s="213">
        <f>IF(AND(H12&lt;&gt;"",H12&lt;&gt;0),IF(H12&lt;=MF_VF!$G$7,MF_VF!$D$7,IF(H12&gt;=MF_VF!$H$7,0,MF_VF!$D$7-(H12-MF_VF!$G$7)/(MF_VF!$H$7-MF_VF!$G$7)*MF_VF!$D$7))*Service_Weights!$E$2,0)</f>
        <v>12.716562518621032</v>
      </c>
      <c r="H12" s="265">
        <f>MF_OP1!$I$7</f>
        <v>7.7039539896934253</v>
      </c>
      <c r="I12" s="214">
        <f>IF(J12&lt;&gt;"",IF(J12&lt;=MF_VF!$G$8,0,IF(J12&gt;=MF_VF!$H$8,MF_VF!$D$8,SQRT((J12-MF_VF!$G$8)/(MF_VF!$H$8-MF_VF!$G$8))*MF_VF!$D$8))*Service_Weights!$E$2,0)</f>
        <v>27.359218657979074</v>
      </c>
      <c r="J12" s="265">
        <f>MF_OP1!$I$8</f>
        <v>3.2973773199017824</v>
      </c>
      <c r="K12" s="216"/>
      <c r="L12" s="216"/>
      <c r="M12" s="217"/>
      <c r="N12" s="214">
        <f>IF(O12&lt;&gt;"",IF(O12&lt;=(0.9*MF_VF!$G$17+0.1*MF_VF!$H$17),0.1*MF_VF!$D$17*O12/(0.9*MF_VF!$G$17+0.1*MF_VF!$H$17),IF(O12&gt;=MF_VF!$H$17,MF_VF!$D$17,(O12-MF_VF!$G$17)/(MF_VF!$H$17-MF_VF!$G$17)*MF_VF!$D$17))*Service_Weights!$E$7,0)</f>
        <v>52.399339175804322</v>
      </c>
      <c r="O12" s="265">
        <f>MF_OP1!$I$17</f>
        <v>99.614655727508449</v>
      </c>
      <c r="P12" s="214">
        <f>IF(AND(Q12&lt;&gt;"",Q12&lt;&gt;0),IF(Q12&lt;=MF_VF!$G$18,MF_VF!$D$18,IF(Q12&gt;=MF_VF!$H$18,0,MF_VF!$D$18-(Q12-MF_VF!$G$18)/(MF_VF!$H$18-MF_VF!$G$18)*MF_VF!$D$18))*Service_Weights!$E$7,0)</f>
        <v>30.400136451985301</v>
      </c>
      <c r="Q12" s="265">
        <f>MF_OP1!$I$18</f>
        <v>2.3999658870036753</v>
      </c>
      <c r="R12" s="218"/>
      <c r="S12" s="217"/>
      <c r="T12" s="214">
        <f>IF(U12&lt;&gt;"",IF(U12&lt;=(0.9*MF_VF!$G$24+0.1*MF_VF!$H$24),0.1*MF_VF!$D$24*U12/(0.9*MF_VF!$G$24+0.1*MF_VF!$H$24),IF(U12&gt;=MF_VF!$H$24,MF_VF!$D$24,(U12-MF_VF!$G$24)/(MF_VF!$H$24-MF_VF!$G$24)*MF_VF!$D$24))*Service_Weights!$E$6,0)</f>
        <v>20.959735670321731</v>
      </c>
      <c r="U12" s="265">
        <f>MF_OP1!$I$24</f>
        <v>99.614655727508449</v>
      </c>
      <c r="V12" s="214">
        <f>IF(AND(W12&lt;&gt;"",W12&lt;&gt;0),IF(W12&lt;=MF_VF!$G$25,MF_VF!$D$25,IF(W12&gt;=MF_VF!$H$25,0,MF_VF!$D$25-(W12-MF_VF!$G$25)/(MF_VF!$H$25-MF_VF!$G$25)*MF_VF!$D$25))*Service_Weights!$E$6,0)</f>
        <v>9.3601228067867677</v>
      </c>
      <c r="W12" s="265">
        <f>MF_OP1!$I$25</f>
        <v>2.3999658870036753</v>
      </c>
      <c r="X12" s="218"/>
      <c r="Y12" s="217"/>
      <c r="Z12" s="214">
        <f>IF(AA12&lt;&gt;"",IF(AA12&lt;=(0.9*MF_VF!$G$30+0.1*MF_VF!$H$30),0.1*MF_VF!$D$30*AA12/(0.9*MF_VF!$G$30+0.1*MF_VF!$H$30),IF(AA12&gt;=MF_VF!$H$30,MF_VF!$D$30,(AA12-MF_VF!$G$30)/(MF_VF!$H$30-MF_VF!$G$30)*MF_VF!$D$30))*Service_Weights!$E$8,0)</f>
        <v>21.409249515281292</v>
      </c>
      <c r="AA12" s="265">
        <f>MF_OP1!$I$30</f>
        <v>99.885196467530406</v>
      </c>
      <c r="AB12" s="213">
        <f>IF(AND(AC12&lt;&gt;"",AC12&lt;&gt;0),IF(AC12&lt;=MF_VF!$G$31,MF_VF!$D$31,IF(AC12&gt;=MF_VF!$H$31,0,SQRT((AC12-MF_VF!$H$31)/(MF_VF!$G$31-MF_VF!$H$31))*MF_VF!$D$31))*Service_Weights!$E$8,0)</f>
        <v>4.32</v>
      </c>
      <c r="AC12" s="265">
        <f>MF_OP1!$I$31</f>
        <v>0.95088803391943211</v>
      </c>
      <c r="AD12" s="213">
        <f>IF(AE12&lt;&gt;"",IF(AE12&lt;=MF_VF!$G$32,0,IF(AE12&gt;=MF_VF!$H$32,MF_VF!$D$32,SQRT((AE12-MF_VF!$G$32)/(MF_VF!$H$32-MF_VF!$G$32))*MF_VF!$D$32))*Service_Weights!$E$8,0)</f>
        <v>4.7707094558690191</v>
      </c>
      <c r="AE12" s="215">
        <f>MF_OP1!$I$32</f>
        <v>11191.330343796713</v>
      </c>
      <c r="AF12" s="214">
        <f>IF(AG12&lt;&gt;"",IF(AG12&lt;=MF_VF!$G$33,0,IF(AG12&gt;=MF_VF!$H$33,MF_VF!$D$33,SQRT((AG12-MF_VF!$G$33)/(MF_VF!$H$33-MF_VF!$G$33))*MF_VF!$D$33))*Service_Weights!$E$8,0)</f>
        <v>1.5853353246272974</v>
      </c>
      <c r="AG12" s="215">
        <f>MF_OP1!$I$33</f>
        <v>41665.562913907292</v>
      </c>
      <c r="AH12" s="218"/>
      <c r="AI12" s="217"/>
      <c r="AJ12" s="214">
        <f>IF(AK12&lt;&gt;"",IF(AK12&lt;=(0.9*MF_VF!$G$38+0.1*MF_VF!$H$38),0.1*MF_VF!$D$38*AK12/(0.9*MF_VF!$G$38+0.1*MF_VF!$H$38),IF(AK12&gt;=MF_VF!$H$38,MF_VF!$D$38,(AK12-MF_VF!$G$38)/(MF_VF!$H$38-MF_VF!$G$38)*MF_VF!$D$38))*Service_Weights!$E$9,0)</f>
        <v>20.948583710714608</v>
      </c>
      <c r="AK12" s="265">
        <f>MF_OP1!$I$38</f>
        <v>99.607943899967125</v>
      </c>
      <c r="AL12" s="213">
        <f>IF(AND(AM12&lt;&gt;"",AM12&lt;&gt;0),IF(AM12&lt;=MF_VF!$G$39,MF_VF!$D$39,IF(AM12&gt;=MF_VF!$H$39,0,SQRT((AM12-MF_VF!$H$39)/(MF_VF!$G$39-MF_VF!$H$39))*MF_VF!$D$39))*Service_Weights!$E$9,0)</f>
        <v>4.32</v>
      </c>
      <c r="AM12" s="265">
        <f>MF_OP1!$I$39</f>
        <v>0.91981554482369476</v>
      </c>
      <c r="AN12" s="213">
        <f>IF(AO12&lt;&gt;"",IF(AO12&lt;=MF_VF!$G$40,0,IF(AO12&gt;=MF_VF!$H$40,MF_VF!$D$40,SQRT((AO12-MF_VF!$G$40)/(MF_VF!$H$40-MF_VF!$G$40))*MF_VF!$D$40))*Service_Weights!$E$9,0)</f>
        <v>4.5157702165628217</v>
      </c>
      <c r="AO12" s="215">
        <f>MF_OP1!$I$40</f>
        <v>3379.8882681564246</v>
      </c>
      <c r="AP12" s="214">
        <f>IF(AQ12&lt;&gt;"",IF(AQ12&lt;=MF_VF!$G$41,0,IF(AQ12&gt;=MF_VF!$H$41,MF_VF!$D$41,SQRT((AQ12-MF_VF!$G$41)/(MF_VF!$H$41-MF_VF!$G$41))*MF_VF!$D$41))*Service_Weights!$E$9,0)</f>
        <v>1.2681925213206469</v>
      </c>
      <c r="AQ12" s="215">
        <f>MF_OP1!$I$41</f>
        <v>13878.067783404753</v>
      </c>
      <c r="AR12" s="218"/>
      <c r="AS12" s="217"/>
      <c r="AT12" s="214">
        <f>IF(AU12&lt;&gt;"",IF(AU12&lt;=(0.9*MF_VF!$G$46+0.1*MF_VF!$H$46),0.1*MF_VF!$D$46*AU12/(0.9*MF_VF!$G$46+0.1*MF_VF!$H$46),IF(AU12&gt;=MF_VF!$H$46,MF_VF!$D$46,(AU12-MF_VF!$G$46)/(MF_VF!$H$46-MF_VF!$G$46)*MF_VF!$D$46))*Service_Weights!$E$10,0)</f>
        <v>21.238222750493069</v>
      </c>
      <c r="AU12" s="265">
        <f>MF_OP1!$I$46</f>
        <v>99.782263692426383</v>
      </c>
      <c r="AV12" s="213">
        <f>IF(AW12&lt;&gt;"",IF(AW12&lt;=MF_VF!$G$47,0,IF(AW12&gt;=MF_VF!$H$47,MF_VF!$D$47,SQRT((AW12-MF_VF!$G$47)/(MF_VF!$H$47-MF_VF!$G$47))*MF_VF!$D$47))*Service_Weights!$E$10,0)</f>
        <v>2.7236656639388812</v>
      </c>
      <c r="AW12" s="215">
        <f>MF_OP1!$I$47</f>
        <v>36318.946761760177</v>
      </c>
      <c r="AX12" s="213">
        <f>IF(AY12&lt;&gt;"",IF(AY12&lt;=MF_VF!$G$48,0,IF(AY12&gt;=MF_VF!$H$48,MF_VF!$D$48,SQRT((AY12-MF_VF!$G$48)/(MF_VF!$H$48-MF_VF!$G$48))*MF_VF!$D$48))*Service_Weights!$E$10,0)</f>
        <v>4.3543215480498185</v>
      </c>
      <c r="AY12" s="215">
        <f>MF_OP1!$I$48</f>
        <v>12882.189239332096</v>
      </c>
      <c r="AZ12" s="214">
        <f>IF(BA12&lt;&gt;"",IF(BA12&lt;=MF_VF!$G$49,0,IF(BA12&gt;=MF_VF!$H$49,MF_VF!$D$49,SQRT((BA12-MF_VF!$G$49)/(MF_VF!$H$49-MF_VF!$G$49))*MF_VF!$D$49))*Service_Weights!$E$10,0)</f>
        <v>1.5414624278334803</v>
      </c>
      <c r="BA12" s="215">
        <f>MF_OP1!$I$49</f>
        <v>69403.030303030289</v>
      </c>
      <c r="BB12" s="218"/>
      <c r="BC12" s="217"/>
      <c r="BD12" s="214">
        <f>IF(BE12&lt;&gt;"",IF(BE12&lt;=(0.9*MF_VF!$G$54+0.1*MF_VF!$H$54),0.1*MF_VF!$D$54*BE12/(0.9*MF_VF!$G$54+0.1*MF_VF!$H$54),IF(BE12&gt;=MF_VF!$H$54,MF_VF!$D$54,(BE12-MF_VF!$G$54)/(MF_VF!$H$54-MF_VF!$G$54)*MF_VF!$D$54))*Service_Weights!$E$11,0)</f>
        <v>21.040402821120676</v>
      </c>
      <c r="BE12" s="265">
        <f>MF_OP1!$I$54</f>
        <v>99.663205401600408</v>
      </c>
      <c r="BF12" s="213">
        <f>IF(BG12&lt;&gt;"",IF(BG12&lt;=MF_VF!$G$55,0,IF(BG12&gt;=MF_VF!$H$55,MF_VF!$D$55,SQRT((BG12-MF_VF!$G$55)/(MF_VF!$H$55-MF_VF!$G$55))*MF_VF!$D$55))*Service_Weights!$E$11,0)</f>
        <v>3.0969420994699504</v>
      </c>
      <c r="BG12" s="215">
        <f>MF_OP1!$I$55</f>
        <v>19931.635877033488</v>
      </c>
      <c r="BH12" s="213">
        <f>IF(BI12&lt;&gt;"",IF(BI12&lt;=MF_VF!$G$56,0,IF(BI12&gt;=MF_VF!$H$56,MF_VF!$D$56,SQRT((BI12-MF_VF!$G$56)/(MF_VF!$H$56-MF_VF!$G$56))*MF_VF!$D$56))*Service_Weights!$E$11,0)</f>
        <v>5.8020402874837522</v>
      </c>
      <c r="BI12" s="215">
        <f>MF_OP1!$I$56</f>
        <v>6516.2037037037044</v>
      </c>
      <c r="BJ12" s="214">
        <f>IF(BK12&lt;&gt;"",IF(BK12&lt;=MF_VF!$G$57,0,IF(BK12&gt;=MF_VF!$H$57,MF_VF!$D$57,SQRT((BK12-MF_VF!$G$57)/(MF_VF!$H$57-MF_VF!$G$57))*MF_VF!$D$57))*Service_Weights!$E$11,0)</f>
        <v>2.1932518572849298</v>
      </c>
      <c r="BK12" s="215">
        <f>MF_OP1!$I$57</f>
        <v>35298.319327731093</v>
      </c>
      <c r="BL12" s="218"/>
      <c r="BM12" s="217"/>
      <c r="BN12" s="213">
        <f>IF(BO12&lt;&gt;"",IF(BO12&lt;=(0.9*MF_VF!$G$62+0.1*MF_VF!$H$62),0.1*MF_VF!$D$62*BO12/(0.9*MF_VF!$G$62+0.1*MF_VF!$H$62),IF(BO12&gt;=MF_VF!$H$62,MF_VF!$D$62,(BO12-MF_VF!$G$62)/(MF_VF!$H$62-MF_VF!$G$62)*MF_VF!$D$62))*Service_Weights!$E$12,0)</f>
        <v>48.674962399741197</v>
      </c>
      <c r="BO12" s="265">
        <f>MF_OP1!$I$62</f>
        <v>99.749988605982182</v>
      </c>
      <c r="BP12" s="213">
        <f>IF(AND(BQ12&lt;&gt;"",BQ12&lt;&gt;0),IF(BQ12&lt;=MF_VF!$G$63,MF_VF!$D$63,IF(BQ12&gt;=MF_VF!$H$63,0,MF_VF!$D$63-(BQ12-MF_VF!$G$63)/(MF_VF!$H$63-MF_VF!$G$63)*MF_VF!$D$63))*Service_Weights!$E$12,0)</f>
        <v>4.4657473819913012</v>
      </c>
      <c r="BQ12" s="265">
        <f>MF_OP1!$I$63</f>
        <v>1.0266409251178767</v>
      </c>
      <c r="BR12" s="213">
        <f>IF(BS12&lt;&gt;"",IF(BS12&lt;=MF_VF!$G$64,0,IF(BS12&gt;=MF_VF!$H$64,MF_VF!$D$64,(BS12-MF_VF!$G$64)/(MF_VF!$H$64-MF_VF!$G$64)*MF_VF!$D$64))*Service_Weights!$E$12,0)</f>
        <v>13.100925780181642</v>
      </c>
      <c r="BS12" s="265">
        <f>MF_OP1!$I$64</f>
        <v>99.704389466801217</v>
      </c>
      <c r="BT12" s="213">
        <f>IF(BU12&lt;&gt;"",IF(BU12&lt;=MF_VF!$G$65,0,IF(BU12&gt;=MF_VF!$H$65,MF_VF!$D$65,(BU12-MF_VF!$G$65)/(MF_VF!$H$65-MF_VF!$G$65)*MF_VF!$D$65))*Service_Weights!$E$12,0)</f>
        <v>18.608437105727376</v>
      </c>
      <c r="BU12" s="265">
        <f>MF_OP1!$I$65</f>
        <v>632.92374421733484</v>
      </c>
      <c r="BV12" s="214" t="e">
        <f>IF(BW12&lt;&gt;"",IF(BW12&lt;=MF_VF!#REF!,0,IF(BW12&gt;=MF_VF!#REF!,MF_VF!#REF!,(BW12-MF_VF!#REF!)/(MF_VF!#REF!-MF_VF!#REF!)*MF_VF!#REF!))*Service_Weights!$E$12,0)</f>
        <v>#REF!</v>
      </c>
      <c r="BW12" s="265" t="e">
        <f>MF_OP1!#REF!</f>
        <v>#REF!</v>
      </c>
    </row>
    <row r="13" spans="2:75" x14ac:dyDescent="0.35">
      <c r="B13" s="326"/>
      <c r="C13" s="198" t="str">
        <f>CONFIG!$D$16</f>
        <v>ORANGE</v>
      </c>
      <c r="D13" s="199"/>
      <c r="E13" s="213">
        <f>IF(F13&lt;&gt;"",IF(F13&lt;=(0.9*MF_VF!$G$6+0.1*MF_VF!$H$6),0.1*MF_VF!$D$6*F13/(0.9*MF_VF!$G$6+0.1*MF_VF!$H$6),IF(F13&gt;=MF_VF!$H$6,MF_VF!$D$6,(F13-MF_VF!$G$6)/(MF_VF!$H$6-MF_VF!$G$6)*MF_VF!$D$6))*Service_Weights!$E$2,0)</f>
        <v>154.69619619750171</v>
      </c>
      <c r="F13" s="265">
        <f>MF_OP2!$I$6</f>
        <v>98.970538991473347</v>
      </c>
      <c r="G13" s="213">
        <f>IF(AND(H13&lt;&gt;"",H13&lt;&gt;0),IF(H13&lt;=MF_VF!$G$7,MF_VF!$D$7,IF(H13&gt;=MF_VF!$H$7,0,MF_VF!$D$7-(H13-MF_VF!$G$7)/(MF_VF!$H$7-MF_VF!$G$7)*MF_VF!$D$7))*Service_Weights!$E$2,0)</f>
        <v>16.807561139073712</v>
      </c>
      <c r="H13" s="265">
        <f>MF_OP2!$I$7</f>
        <v>6.9653014610005792</v>
      </c>
      <c r="I13" s="214">
        <f>IF(J13&lt;&gt;"",IF(J13&lt;=MF_VF!$G$8,0,IF(J13&gt;=MF_VF!$H$8,MF_VF!$D$8,SQRT((J13-MF_VF!$G$8)/(MF_VF!$H$8-MF_VF!$G$8))*MF_VF!$D$8))*Service_Weights!$E$2,0)</f>
        <v>29.726316312604293</v>
      </c>
      <c r="J13" s="265">
        <f>MF_OP2!$I$8</f>
        <v>3.4954802275326449</v>
      </c>
      <c r="K13" s="216"/>
      <c r="L13" s="216"/>
      <c r="M13" s="217"/>
      <c r="N13" s="214">
        <f>IF(O13&lt;&gt;"",IF(O13&lt;=(0.9*MF_VF!$G$17+0.1*MF_VF!$H$17),0.1*MF_VF!$D$17*O13/(0.9*MF_VF!$G$17+0.1*MF_VF!$H$17),IF(O13&gt;=MF_VF!$H$17,MF_VF!$D$17,(O13-MF_VF!$G$17)/(MF_VF!$H$17-MF_VF!$G$17)*MF_VF!$D$17))*Service_Weights!$E$7,0)</f>
        <v>51.792309960704003</v>
      </c>
      <c r="O13" s="265">
        <f>MF_OP2!$I$17</f>
        <v>99.468519064613929</v>
      </c>
      <c r="P13" s="214">
        <f>IF(AND(Q13&lt;&gt;"",Q13&lt;&gt;0),IF(Q13&lt;=MF_VF!$G$18,MF_VF!$D$18,IF(Q13&gt;=MF_VF!$H$18,0,MF_VF!$D$18-(Q13-MF_VF!$G$18)/(MF_VF!$H$18-MF_VF!$G$18)*MF_VF!$D$18))*Service_Weights!$E$7,0)</f>
        <v>29.777443223437064</v>
      </c>
      <c r="Q13" s="265">
        <f>MF_OP2!$I$18</f>
        <v>2.5556391941407344</v>
      </c>
      <c r="R13" s="218"/>
      <c r="S13" s="217"/>
      <c r="T13" s="214">
        <f>IF(U13&lt;&gt;"",IF(U13&lt;=(0.9*MF_VF!$G$24+0.1*MF_VF!$H$24),0.1*MF_VF!$D$24*U13/(0.9*MF_VF!$G$24+0.1*MF_VF!$H$24),IF(U13&gt;=MF_VF!$H$24,MF_VF!$D$24,(U13-MF_VF!$G$24)/(MF_VF!$H$24-MF_VF!$G$24)*MF_VF!$D$24))*Service_Weights!$E$6,0)</f>
        <v>20.716923984281603</v>
      </c>
      <c r="U13" s="265">
        <f>MF_OP2!$I$24</f>
        <v>99.468519064613929</v>
      </c>
      <c r="V13" s="214">
        <f>IF(AND(W13&lt;&gt;"",W13&lt;&gt;0),IF(W13&lt;=MF_VF!$G$25,MF_VF!$D$25,IF(W13&gt;=MF_VF!$H$25,0,MF_VF!$D$25-(W13-MF_VF!$G$25)/(MF_VF!$H$25-MF_VF!$G$25)*MF_VF!$D$25))*Service_Weights!$E$6,0)</f>
        <v>8.7996989010933575</v>
      </c>
      <c r="W13" s="265">
        <f>MF_OP2!$I$25</f>
        <v>2.5556391941407344</v>
      </c>
      <c r="X13" s="218"/>
      <c r="Y13" s="217"/>
      <c r="Z13" s="214">
        <f>IF(AA13&lt;&gt;"",IF(AA13&lt;=(0.9*MF_VF!$G$30+0.1*MF_VF!$H$30),0.1*MF_VF!$D$30*AA13/(0.9*MF_VF!$G$30+0.1*MF_VF!$H$30),IF(AA13&gt;=MF_VF!$H$30,MF_VF!$D$30,(AA13-MF_VF!$G$30)/(MF_VF!$H$30-MF_VF!$G$30)*MF_VF!$D$30))*Service_Weights!$E$8,0)</f>
        <v>21.410513678781253</v>
      </c>
      <c r="AA13" s="265">
        <f>MF_OP2!$I$30</f>
        <v>99.885957306673902</v>
      </c>
      <c r="AB13" s="213">
        <f>IF(AND(AC13&lt;&gt;"",AC13&lt;&gt;0),IF(AC13&lt;=MF_VF!$G$31,MF_VF!$D$31,IF(AC13&gt;=MF_VF!$H$31,0,SQRT((AC13-MF_VF!$H$31)/(MF_VF!$G$31-MF_VF!$H$31))*MF_VF!$D$31))*Service_Weights!$E$8,0)</f>
        <v>4.1466784977662687</v>
      </c>
      <c r="AC13" s="265">
        <f>MF_OP2!$I$31</f>
        <v>1.9042652882733802</v>
      </c>
      <c r="AD13" s="213">
        <f>IF(AE13&lt;&gt;"",IF(AE13&lt;=MF_VF!$G$32,0,IF(AE13&gt;=MF_VF!$H$32,MF_VF!$D$32,SQRT((AE13-MF_VF!$G$32)/(MF_VF!$H$32-MF_VF!$G$32))*MF_VF!$D$32))*Service_Weights!$E$8,0)</f>
        <v>3.7251039032519278</v>
      </c>
      <c r="AE13" s="215">
        <f>MF_OP2!$I$32</f>
        <v>6973.1481481481469</v>
      </c>
      <c r="AF13" s="214">
        <f>IF(AG13&lt;&gt;"",IF(AG13&lt;=MF_VF!$G$33,0,IF(AG13&gt;=MF_VF!$H$33,MF_VF!$D$33,SQRT((AG13-MF_VF!$G$33)/(MF_VF!$H$33-MF_VF!$G$33))*MF_VF!$D$33))*Service_Weights!$E$8,0)</f>
        <v>0</v>
      </c>
      <c r="AG13" s="215">
        <f>MF_OP2!$I$33</f>
        <v>18239.600665557406</v>
      </c>
      <c r="AH13" s="218"/>
      <c r="AI13" s="217"/>
      <c r="AJ13" s="214">
        <f>IF(AK13&lt;&gt;"",IF(AK13&lt;=(0.9*MF_VF!$G$38+0.1*MF_VF!$H$38),0.1*MF_VF!$D$38*AK13/(0.9*MF_VF!$G$38+0.1*MF_VF!$H$38),IF(AK13&gt;=MF_VF!$H$38,MF_VF!$D$38,(AK13-MF_VF!$G$38)/(MF_VF!$H$38-MF_VF!$G$38)*MF_VF!$D$38))*Service_Weights!$E$9,0)</f>
        <v>20.604910037619174</v>
      </c>
      <c r="AK13" s="265">
        <f>MF_OP2!$I$38</f>
        <v>99.401103263381913</v>
      </c>
      <c r="AL13" s="213">
        <f>IF(AND(AM13&lt;&gt;"",AM13&lt;&gt;0),IF(AM13&lt;=MF_VF!$G$39,MF_VF!$D$39,IF(AM13&gt;=MF_VF!$H$39,0,SQRT((AM13-MF_VF!$H$39)/(MF_VF!$G$39-MF_VF!$H$39))*MF_VF!$D$39))*Service_Weights!$E$9,0)</f>
        <v>4.2697426794889841</v>
      </c>
      <c r="AM13" s="265">
        <f>MF_OP2!$I$39</f>
        <v>1.2081874281202893</v>
      </c>
      <c r="AN13" s="213">
        <f>IF(AO13&lt;&gt;"",IF(AO13&lt;=MF_VF!$G$40,0,IF(AO13&gt;=MF_VF!$H$40,MF_VF!$D$40,SQRT((AO13-MF_VF!$G$40)/(MF_VF!$H$40-MF_VF!$G$40))*MF_VF!$D$40))*Service_Weights!$E$9,0)</f>
        <v>3.2796957537316662</v>
      </c>
      <c r="AO13" s="215">
        <f>MF_OP2!$I$40</f>
        <v>1964.2618570474281</v>
      </c>
      <c r="AP13" s="214">
        <f>IF(AQ13&lt;&gt;"",IF(AQ13&lt;=MF_VF!$G$41,0,IF(AQ13&gt;=MF_VF!$H$41,MF_VF!$D$41,SQRT((AQ13-MF_VF!$G$41)/(MF_VF!$H$41-MF_VF!$G$41))*MF_VF!$D$41))*Service_Weights!$E$9,0)</f>
        <v>0</v>
      </c>
      <c r="AQ13" s="215">
        <f>MF_OP2!$I$41</f>
        <v>9941.2913303827154</v>
      </c>
      <c r="AR13" s="218"/>
      <c r="AS13" s="217"/>
      <c r="AT13" s="214">
        <f>IF(AU13&lt;&gt;"",IF(AU13&lt;=(0.9*MF_VF!$G$46+0.1*MF_VF!$H$46),0.1*MF_VF!$D$46*AU13/(0.9*MF_VF!$G$46+0.1*MF_VF!$H$46),IF(AU13&gt;=MF_VF!$H$46,MF_VF!$D$46,(AU13-MF_VF!$G$46)/(MF_VF!$H$46-MF_VF!$G$46)*MF_VF!$D$46))*Service_Weights!$E$10,0)</f>
        <v>21.383673578540613</v>
      </c>
      <c r="AU13" s="265">
        <f>MF_OP2!$I$46</f>
        <v>99.869803542640184</v>
      </c>
      <c r="AV13" s="213">
        <f>IF(AW13&lt;&gt;"",IF(AW13&lt;=MF_VF!$G$47,0,IF(AW13&gt;=MF_VF!$H$47,MF_VF!$D$47,SQRT((AW13-MF_VF!$G$47)/(MF_VF!$H$47-MF_VF!$G$47))*MF_VF!$D$47))*Service_Weights!$E$10,0)</f>
        <v>2.7320409359871993</v>
      </c>
      <c r="AW13" s="215">
        <f>MF_OP2!$I$47</f>
        <v>36496.455788294181</v>
      </c>
      <c r="AX13" s="213">
        <f>IF(AY13&lt;&gt;"",IF(AY13&lt;=MF_VF!$G$48,0,IF(AY13&gt;=MF_VF!$H$48,MF_VF!$D$48,SQRT((AY13-MF_VF!$G$48)/(MF_VF!$H$48-MF_VF!$G$48))*MF_VF!$D$48))*Service_Weights!$E$10,0)</f>
        <v>4.166182116636266</v>
      </c>
      <c r="AY13" s="215">
        <f>MF_OP2!$I$48</f>
        <v>11803.846153846154</v>
      </c>
      <c r="AZ13" s="214">
        <f>IF(BA13&lt;&gt;"",IF(BA13&lt;=MF_VF!$G$49,0,IF(BA13&gt;=MF_VF!$H$49,MF_VF!$D$49,SQRT((BA13-MF_VF!$G$49)/(MF_VF!$H$49-MF_VF!$G$49))*MF_VF!$D$49))*Service_Weights!$E$10,0)</f>
        <v>1.5010938101944384</v>
      </c>
      <c r="BA13" s="215">
        <f>MF_OP2!$I$49</f>
        <v>67107.784431137741</v>
      </c>
      <c r="BB13" s="218"/>
      <c r="BC13" s="217"/>
      <c r="BD13" s="214">
        <f>IF(BE13&lt;&gt;"",IF(BE13&lt;=(0.9*MF_VF!$G$54+0.1*MF_VF!$H$54),0.1*MF_VF!$D$54*BE13/(0.9*MF_VF!$G$54+0.1*MF_VF!$H$54),IF(BE13&gt;=MF_VF!$H$54,MF_VF!$D$54,(BE13-MF_VF!$G$54)/(MF_VF!$H$54-MF_VF!$G$54)*MF_VF!$D$54))*Service_Weights!$E$11,0)</f>
        <v>21.229748845708912</v>
      </c>
      <c r="BE13" s="265">
        <f>MF_OP2!$I$54</f>
        <v>99.777163657139624</v>
      </c>
      <c r="BF13" s="213">
        <f>IF(BG13&lt;&gt;"",IF(BG13&lt;=MF_VF!$G$55,0,IF(BG13&gt;=MF_VF!$H$55,MF_VF!$D$55,SQRT((BG13-MF_VF!$G$55)/(MF_VF!$H$55-MF_VF!$G$55))*MF_VF!$D$55))*Service_Weights!$E$11,0)</f>
        <v>2.9181044674416161</v>
      </c>
      <c r="BG13" s="215">
        <f>MF_OP2!$I$55</f>
        <v>18144.769384965719</v>
      </c>
      <c r="BH13" s="213">
        <f>IF(BI13&lt;&gt;"",IF(BI13&lt;=MF_VF!$G$56,0,IF(BI13&gt;=MF_VF!$H$56,MF_VF!$D$56,SQRT((BI13-MF_VF!$G$56)/(MF_VF!$H$56-MF_VF!$G$56))*MF_VF!$D$56))*Service_Weights!$E$11,0)</f>
        <v>4.2739689657380886</v>
      </c>
      <c r="BI13" s="215">
        <f>MF_OP2!$I$56</f>
        <v>3565.1387213510247</v>
      </c>
      <c r="BJ13" s="214">
        <f>IF(BK13&lt;&gt;"",IF(BK13&lt;=MF_VF!$G$57,0,IF(BK13&gt;=MF_VF!$H$57,MF_VF!$D$57,SQRT((BK13-MF_VF!$G$57)/(MF_VF!$H$57-MF_VF!$G$57))*MF_VF!$D$57))*Service_Weights!$E$11,0)</f>
        <v>2.1927559602697935</v>
      </c>
      <c r="BK13" s="215">
        <f>MF_OP2!$I$57</f>
        <v>35289.141414141421</v>
      </c>
      <c r="BL13" s="218"/>
      <c r="BM13" s="217"/>
      <c r="BN13" s="213">
        <f>IF(BO13&lt;&gt;"",IF(BO13&lt;=(0.9*MF_VF!$G$62+0.1*MF_VF!$H$62),0.1*MF_VF!$D$62*BO13/(0.9*MF_VF!$G$62+0.1*MF_VF!$H$62),IF(BO13&gt;=MF_VF!$H$62,MF_VF!$D$62,(BO13-MF_VF!$G$62)/(MF_VF!$H$62-MF_VF!$G$62)*MF_VF!$D$62))*Service_Weights!$E$12,0)</f>
        <v>45.500370748263101</v>
      </c>
      <c r="BO13" s="265">
        <f>MF_OP2!$I$62</f>
        <v>98.787991135837302</v>
      </c>
      <c r="BP13" s="213">
        <f>IF(AND(BQ13&lt;&gt;"",BQ13&lt;&gt;0),IF(BQ13&lt;=MF_VF!$G$63,MF_VF!$D$63,IF(BQ13&gt;=MF_VF!$H$63,0,MF_VF!$D$63-(BQ13-MF_VF!$G$63)/(MF_VF!$H$63-MF_VF!$G$63)*MF_VF!$D$63))*Service_Weights!$E$12,0)</f>
        <v>4.4759017317345995</v>
      </c>
      <c r="BQ13" s="265">
        <f>MF_OP2!$I$63</f>
        <v>1.0187430975397564</v>
      </c>
      <c r="BR13" s="213">
        <f>IF(BS13&lt;&gt;"",IF(BS13&lt;=MF_VF!$G$64,0,IF(BS13&gt;=MF_VF!$H$64,MF_VF!$D$64,(BS13-MF_VF!$G$64)/(MF_VF!$H$64-MF_VF!$G$64)*MF_VF!$D$64))*Service_Weights!$E$12,0)</f>
        <v>12.862016302162424</v>
      </c>
      <c r="BS13" s="265">
        <f>MF_OP2!$I$64</f>
        <v>99.527419483083278</v>
      </c>
      <c r="BT13" s="213">
        <f>IF(BU13&lt;&gt;"",IF(BU13&lt;=MF_VF!$G$65,0,IF(BU13&gt;=MF_VF!$H$65,MF_VF!$D$65,(BU13-MF_VF!$G$65)/(MF_VF!$H$65-MF_VF!$G$65)*MF_VF!$D$65))*Service_Weights!$E$12,0)</f>
        <v>19.702812368575792</v>
      </c>
      <c r="BU13" s="265">
        <f>MF_OP2!$I$65</f>
        <v>648.97458140577828</v>
      </c>
      <c r="BV13" s="214" t="e">
        <f>IF(BW13&lt;&gt;"",IF(BW13&lt;=MF_VF!#REF!,0,IF(BW13&gt;=MF_VF!#REF!,MF_VF!#REF!,(BW13-MF_VF!#REF!)/(MF_VF!#REF!-MF_VF!#REF!)*MF_VF!#REF!))*Service_Weights!$E$12,0)</f>
        <v>#REF!</v>
      </c>
      <c r="BW13" s="265" t="e">
        <f>MF_OP2!#REF!</f>
        <v>#REF!</v>
      </c>
    </row>
    <row r="14" spans="2:75" x14ac:dyDescent="0.35">
      <c r="B14" s="327"/>
      <c r="C14" s="200" t="str">
        <f>IF(CONFIG!$E$16 &lt;&gt; 0,CONFIG!$E$16,"")</f>
        <v>YOIGO</v>
      </c>
      <c r="D14" s="201"/>
      <c r="E14" s="219">
        <f>IF(F14&lt;&gt;"",IF(F14&lt;=(0.9*MF_VF!$G$6+0.1*MF_VF!$H$6),0.1*MF_VF!$D$6*F14/(0.9*MF_VF!$G$6+0.1*MF_VF!$H$6),IF(F14&gt;=MF_VF!$H$6,MF_VF!$D$6,(F14-MF_VF!$G$6)/(MF_VF!$H$6-MF_VF!$G$6)*MF_VF!$D$6))*Service_Weights!$E$2,0)</f>
        <v>123.65323986074361</v>
      </c>
      <c r="F14" s="266">
        <f>MF_OP3!$I$6</f>
        <v>96.568405465414685</v>
      </c>
      <c r="G14" s="219">
        <f>IF(AND(H14&lt;&gt;"",H14&lt;&gt;0),IF(H14&lt;=MF_VF!$G$7,MF_VF!$D$7,IF(H14&gt;=MF_VF!$H$7,0,MF_VF!$D$7-(H14-MF_VF!$G$7)/(MF_VF!$H$7-MF_VF!$G$7)*MF_VF!$D$7))*Service_Weights!$E$2,0)</f>
        <v>10.831453917593656</v>
      </c>
      <c r="H14" s="266">
        <f>MF_OP3!$I$7</f>
        <v>8.0443208204344785</v>
      </c>
      <c r="I14" s="220">
        <f>IF(J14&lt;&gt;"",IF(J14&lt;=MF_VF!$G$8,0,IF(J14&gt;=MF_VF!$H$8,MF_VF!$D$8,SQRT((J14-MF_VF!$G$8)/(MF_VF!$H$8-MF_VF!$G$8))*MF_VF!$D$8))*Service_Weights!$E$2,0)</f>
        <v>21.485093734623309</v>
      </c>
      <c r="J14" s="266">
        <f>MF_OP3!$I$8</f>
        <v>2.8767419601022719</v>
      </c>
      <c r="K14" s="216"/>
      <c r="L14" s="216"/>
      <c r="M14" s="222"/>
      <c r="N14" s="220">
        <f>IF(O14&lt;&gt;"",IF(O14&lt;=(0.9*MF_VF!$G$17+0.1*MF_VF!$H$17),0.1*MF_VF!$D$17*O14/(0.9*MF_VF!$G$17+0.1*MF_VF!$H$17),IF(O14&gt;=MF_VF!$H$17,MF_VF!$D$17,(O14-MF_VF!$G$17)/(MF_VF!$H$17-MF_VF!$G$17)*MF_VF!$D$17))*Service_Weights!$E$7,0)</f>
        <v>46.686152597749732</v>
      </c>
      <c r="O14" s="266">
        <f>MF_OP3!$I$17</f>
        <v>98.239258958717528</v>
      </c>
      <c r="P14" s="220">
        <f>IF(AND(Q14&lt;&gt;"",Q14&lt;&gt;0),IF(Q14&lt;=MF_VF!$G$18,MF_VF!$D$18,IF(Q14&gt;=MF_VF!$H$18,0,MF_VF!$D$18-(Q14-MF_VF!$G$18)/(MF_VF!$H$18-MF_VF!$G$18)*MF_VF!$D$18))*Service_Weights!$E$7,0)</f>
        <v>28.972025772747958</v>
      </c>
      <c r="Q14" s="266">
        <f>MF_OP3!$I$18</f>
        <v>2.7569935568130104</v>
      </c>
      <c r="R14" s="223"/>
      <c r="S14" s="222"/>
      <c r="T14" s="220">
        <f>IF(U14&lt;&gt;"",IF(U14&lt;=(0.9*MF_VF!$G$24+0.1*MF_VF!$H$24),0.1*MF_VF!$D$24*U14/(0.9*MF_VF!$G$24+0.1*MF_VF!$H$24),IF(U14&gt;=MF_VF!$H$24,MF_VF!$D$24,(U14-MF_VF!$G$24)/(MF_VF!$H$24-MF_VF!$G$24)*MF_VF!$D$24))*Service_Weights!$E$6,0)</f>
        <v>18.674461039099892</v>
      </c>
      <c r="U14" s="266">
        <f>MF_OP3!$I$24</f>
        <v>98.239258958717528</v>
      </c>
      <c r="V14" s="220">
        <f>IF(AND(W14&lt;&gt;"",W14&lt;&gt;0),IF(W14&lt;=MF_VF!$G$25,MF_VF!$D$25,IF(W14&gt;=MF_VF!$H$25,0,MF_VF!$D$25-(W14-MF_VF!$G$25)/(MF_VF!$H$25-MF_VF!$G$25)*MF_VF!$D$25))*Service_Weights!$E$6,0)</f>
        <v>8.0748231954731633</v>
      </c>
      <c r="W14" s="266">
        <f>MF_OP3!$I$25</f>
        <v>2.7569935568130104</v>
      </c>
      <c r="X14" s="223"/>
      <c r="Y14" s="222"/>
      <c r="Z14" s="220">
        <f>IF(AA14&lt;&gt;"",IF(AA14&lt;=(0.9*MF_VF!$G$30+0.1*MF_VF!$H$30),0.1*MF_VF!$D$30*AA14/(0.9*MF_VF!$G$30+0.1*MF_VF!$H$30),IF(AA14&gt;=MF_VF!$H$30,MF_VF!$D$30,(AA14-MF_VF!$G$30)/(MF_VF!$H$30-MF_VF!$G$30)*MF_VF!$D$30))*Service_Weights!$E$8,0)</f>
        <v>20.472952969019669</v>
      </c>
      <c r="AA14" s="266">
        <f>MF_OP3!$I$30</f>
        <v>99.321684657280358</v>
      </c>
      <c r="AB14" s="219">
        <f>IF(AND(AC14&lt;&gt;"",AC14&lt;&gt;0),IF(AC14&lt;=MF_VF!$G$31,MF_VF!$D$31,IF(AC14&gt;=MF_VF!$H$31,0,SQRT((AC14-MF_VF!$H$31)/(MF_VF!$G$31-MF_VF!$H$31))*MF_VF!$D$31))*Service_Weights!$E$8,0)</f>
        <v>4.0335944863683482</v>
      </c>
      <c r="AC14" s="266">
        <f>MF_OP3!$I$31</f>
        <v>2.4742974362727677</v>
      </c>
      <c r="AD14" s="219">
        <f>IF(AE14&lt;&gt;"",IF(AE14&lt;=MF_VF!$G$32,0,IF(AE14&gt;=MF_VF!$H$32,MF_VF!$D$32,SQRT((AE14-MF_VF!$G$32)/(MF_VF!$H$32-MF_VF!$G$32))*MF_VF!$D$32))*Service_Weights!$E$8,0)</f>
        <v>2.7869011373531145</v>
      </c>
      <c r="AE14" s="221">
        <f>MF_OP3!$I$32</f>
        <v>4072.0399429386594</v>
      </c>
      <c r="AF14" s="220">
        <f>IF(AG14&lt;&gt;"",IF(AG14&lt;=MF_VF!$G$33,0,IF(AG14&gt;=MF_VF!$H$33,MF_VF!$D$33,SQRT((AG14-MF_VF!$G$33)/(MF_VF!$H$33-MF_VF!$G$33))*MF_VF!$D$33))*Service_Weights!$E$8,0)</f>
        <v>0</v>
      </c>
      <c r="AG14" s="221">
        <f>MF_OP3!$I$33</f>
        <v>14691.206968063048</v>
      </c>
      <c r="AH14" s="223"/>
      <c r="AI14" s="222"/>
      <c r="AJ14" s="220">
        <f>IF(AK14&lt;&gt;"",IF(AK14&lt;=(0.9*MF_VF!$G$38+0.1*MF_VF!$H$38),0.1*MF_VF!$D$38*AK14/(0.9*MF_VF!$G$38+0.1*MF_VF!$H$38),IF(AK14&gt;=MF_VF!$H$38,MF_VF!$D$38,(AK14-MF_VF!$G$38)/(MF_VF!$H$38-MF_VF!$G$38)*MF_VF!$D$38))*Service_Weights!$E$9,0)</f>
        <v>17.581872658270321</v>
      </c>
      <c r="AK14" s="266">
        <f>MF_OP3!$I$38</f>
        <v>97.581682618403434</v>
      </c>
      <c r="AL14" s="219">
        <f>IF(AND(AM14&lt;&gt;"",AM14&lt;&gt;0),IF(AM14&lt;=MF_VF!$G$39,MF_VF!$D$39,IF(AM14&gt;=MF_VF!$H$39,0,SQRT((AM14-MF_VF!$H$39)/(MF_VF!$G$39-MF_VF!$H$39))*MF_VF!$D$39))*Service_Weights!$E$9,0)</f>
        <v>4.2350429298750472</v>
      </c>
      <c r="AM14" s="266">
        <f>MF_OP3!$I$39</f>
        <v>1.3505070322701467</v>
      </c>
      <c r="AN14" s="219">
        <f>IF(AO14&lt;&gt;"",IF(AO14&lt;=MF_VF!$G$40,0,IF(AO14&gt;=MF_VF!$H$40,MF_VF!$D$40,SQRT((AO14-MF_VF!$G$40)/(MF_VF!$H$40-MF_VF!$G$40))*MF_VF!$D$40))*Service_Weights!$E$9,0)</f>
        <v>2.8420048939065907</v>
      </c>
      <c r="AO14" s="221">
        <f>MF_OP3!$I$40</f>
        <v>1570.6197854588795</v>
      </c>
      <c r="AP14" s="220">
        <f>IF(AQ14&lt;&gt;"",IF(AQ14&lt;=MF_VF!$G$41,0,IF(AQ14&gt;=MF_VF!$H$41,MF_VF!$D$41,SQRT((AQ14-MF_VF!$G$41)/(MF_VF!$H$41-MF_VF!$G$41))*MF_VF!$D$41))*Service_Weights!$E$9,0)</f>
        <v>0</v>
      </c>
      <c r="AQ14" s="221">
        <f>MF_OP3!$I$41</f>
        <v>9660.8391608391612</v>
      </c>
      <c r="AR14" s="223"/>
      <c r="AS14" s="222"/>
      <c r="AT14" s="220">
        <f>IF(AU14&lt;&gt;"",IF(AU14&lt;=(0.9*MF_VF!$G$46+0.1*MF_VF!$H$46),0.1*MF_VF!$D$46*AU14/(0.9*MF_VF!$G$46+0.1*MF_VF!$H$46),IF(AU14&gt;=MF_VF!$H$46,MF_VF!$D$46,(AU14-MF_VF!$G$46)/(MF_VF!$H$46-MF_VF!$G$46)*MF_VF!$D$46))*Service_Weights!$E$10,0)</f>
        <v>20.386983719933166</v>
      </c>
      <c r="AU14" s="266">
        <f>MF_OP3!$I$46</f>
        <v>99.269943905515333</v>
      </c>
      <c r="AV14" s="219">
        <f>IF(AW14&lt;&gt;"",IF(AW14&lt;=MF_VF!$G$47,0,IF(AW14&gt;=MF_VF!$H$47,MF_VF!$D$47,SQRT((AW14-MF_VF!$G$47)/(MF_VF!$H$47-MF_VF!$G$47))*MF_VF!$D$47))*Service_Weights!$E$10,0)</f>
        <v>1.5178383370133137</v>
      </c>
      <c r="AW14" s="221">
        <f>MF_OP3!$I$47</f>
        <v>16449.969363789347</v>
      </c>
      <c r="AX14" s="219">
        <f>IF(AY14&lt;&gt;"",IF(AY14&lt;=MF_VF!$G$48,0,IF(AY14&gt;=MF_VF!$H$48,MF_VF!$D$48,SQRT((AY14-MF_VF!$G$48)/(MF_VF!$H$48-MF_VF!$G$48))*MF_VF!$D$48))*Service_Weights!$E$10,0)</f>
        <v>2.8182742669373084</v>
      </c>
      <c r="AY14" s="221">
        <f>MF_OP3!$I$48</f>
        <v>5470.916334661355</v>
      </c>
      <c r="AZ14" s="220">
        <f>IF(BA14&lt;&gt;"",IF(BA14&lt;=MF_VF!$G$49,0,IF(BA14&gt;=MF_VF!$H$49,MF_VF!$D$49,SQRT((BA14-MF_VF!$G$49)/(MF_VF!$H$49-MF_VF!$G$49))*MF_VF!$D$49))*Service_Weights!$E$10,0)</f>
        <v>0.50407131953766826</v>
      </c>
      <c r="BA14" s="221">
        <f>MF_OP3!$I$49</f>
        <v>29748.218527315916</v>
      </c>
      <c r="BB14" s="223"/>
      <c r="BC14" s="222"/>
      <c r="BD14" s="220">
        <f>IF(BE14&lt;&gt;"",IF(BE14&lt;=(0.9*MF_VF!$G$54+0.1*MF_VF!$H$54),0.1*MF_VF!$D$54*BE14/(0.9*MF_VF!$G$54+0.1*MF_VF!$H$54),IF(BE14&gt;=MF_VF!$H$54,MF_VF!$D$54,(BE14-MF_VF!$G$54)/(MF_VF!$H$54-MF_VF!$G$54)*MF_VF!$D$54))*Service_Weights!$E$11,0)</f>
        <v>19.795333446531068</v>
      </c>
      <c r="BE14" s="266">
        <f>MF_OP3!$I$54</f>
        <v>98.913858092819623</v>
      </c>
      <c r="BF14" s="219">
        <f>IF(BG14&lt;&gt;"",IF(BG14&lt;=MF_VF!$G$55,0,IF(BG14&gt;=MF_VF!$H$55,MF_VF!$D$55,SQRT((BG14-MF_VF!$G$55)/(MF_VF!$H$55-MF_VF!$G$55))*MF_VF!$D$55))*Service_Weights!$E$11,0)</f>
        <v>2.2118178882718205</v>
      </c>
      <c r="BG14" s="221">
        <f>MF_OP3!$I$55</f>
        <v>12126.301520557683</v>
      </c>
      <c r="BH14" s="219">
        <f>IF(BI14&lt;&gt;"",IF(BI14&lt;=MF_VF!$G$56,0,IF(BI14&gt;=MF_VF!$H$56,MF_VF!$D$56,SQRT((BI14-MF_VF!$G$56)/(MF_VF!$H$56-MF_VF!$G$56))*MF_VF!$D$56))*Service_Weights!$E$11,0)</f>
        <v>3.2458669371853563</v>
      </c>
      <c r="BI14" s="221">
        <f>MF_OP3!$I$56</f>
        <v>2083.3333333333335</v>
      </c>
      <c r="BJ14" s="220">
        <f>IF(BK14&lt;&gt;"",IF(BK14&lt;=MF_VF!$G$57,0,IF(BK14&gt;=MF_VF!$H$57,MF_VF!$D$57,SQRT((BK14-MF_VF!$G$57)/(MF_VF!$H$57-MF_VF!$G$57))*MF_VF!$D$57))*Service_Weights!$E$11,0)</f>
        <v>1.3678791841642057</v>
      </c>
      <c r="BK14" s="221">
        <f>MF_OP3!$I$57</f>
        <v>22895.480225988696</v>
      </c>
      <c r="BL14" s="223"/>
      <c r="BM14" s="222"/>
      <c r="BN14" s="219">
        <f>IF(BO14&lt;&gt;"",IF(BO14&lt;=(0.9*MF_VF!$G$62+0.1*MF_VF!$H$62),0.1*MF_VF!$D$62*BO14/(0.9*MF_VF!$G$62+0.1*MF_VF!$H$62),IF(BO14&gt;=MF_VF!$H$62,MF_VF!$D$62,(BO14-MF_VF!$G$62)/(MF_VF!$H$62-MF_VF!$G$62)*MF_VF!$D$62))*Service_Weights!$E$12,0)</f>
        <v>41.213926724579174</v>
      </c>
      <c r="BO14" s="266">
        <f>MF_OP3!$I$62</f>
        <v>97.489068704417932</v>
      </c>
      <c r="BP14" s="219">
        <f>IF(AND(BQ14&lt;&gt;"",BQ14&lt;&gt;0),IF(BQ14&lt;=MF_VF!$G$63,MF_VF!$D$63,IF(BQ14&gt;=MF_VF!$H$63,0,MF_VF!$D$63-(BQ14-MF_VF!$G$63)/(MF_VF!$H$63-MF_VF!$G$63)*MF_VF!$D$63))*Service_Weights!$E$12,0)</f>
        <v>4.4134476072120998</v>
      </c>
      <c r="BQ14" s="266">
        <f>MF_OP3!$I$63</f>
        <v>1.0673185277239223</v>
      </c>
      <c r="BR14" s="219">
        <f>IF(BS14&lt;&gt;"",IF(BS14&lt;=MF_VF!$G$64,0,IF(BS14&gt;=MF_VF!$H$64,MF_VF!$D$64,(BS14-MF_VF!$G$64)/(MF_VF!$H$64-MF_VF!$G$64)*MF_VF!$D$64))*Service_Weights!$E$12,0)</f>
        <v>11.827560176489133</v>
      </c>
      <c r="BS14" s="266">
        <f>MF_OP3!$I$64</f>
        <v>98.761155686288248</v>
      </c>
      <c r="BT14" s="219">
        <f>IF(BU14&lt;&gt;"",IF(BU14&lt;=MF_VF!$G$65,0,IF(BU14&gt;=MF_VF!$H$65,MF_VF!$D$65,(BU14-MF_VF!$G$65)/(MF_VF!$H$65-MF_VF!$G$65)*MF_VF!$D$65))*Service_Weights!$E$12,0)</f>
        <v>14.563982980830293</v>
      </c>
      <c r="BU14" s="266">
        <f>MF_OP3!$I$65</f>
        <v>573.6050837188443</v>
      </c>
      <c r="BV14" s="220" t="e">
        <f>IF(BW14&lt;&gt;"",IF(BW14&lt;=MF_VF!#REF!,0,IF(BW14&gt;=MF_VF!#REF!,MF_VF!#REF!,(BW14-MF_VF!#REF!)/(MF_VF!#REF!-MF_VF!#REF!)*MF_VF!#REF!))*Service_Weights!$E$12,0)</f>
        <v>#REF!</v>
      </c>
      <c r="BW14" s="266" t="e">
        <f>MF_OP3!#REF!</f>
        <v>#REF!</v>
      </c>
    </row>
    <row r="15" spans="2:75" x14ac:dyDescent="0.35">
      <c r="O15" s="267"/>
      <c r="Q15" s="267"/>
      <c r="U15" s="267"/>
      <c r="W15" s="267"/>
      <c r="AA15" s="267"/>
      <c r="AC15" s="267"/>
      <c r="AE15" s="268"/>
      <c r="AG15" s="268"/>
      <c r="AK15" s="267"/>
      <c r="AM15" s="267"/>
      <c r="AU15" s="267"/>
      <c r="BE15" s="267"/>
      <c r="BO15" s="267"/>
      <c r="BQ15" s="267"/>
      <c r="BS15" s="267"/>
      <c r="BU15" s="267"/>
      <c r="BW15" s="267"/>
    </row>
    <row r="16" spans="2:75" x14ac:dyDescent="0.35">
      <c r="B16" s="325" t="s">
        <v>649</v>
      </c>
      <c r="C16" s="196" t="str">
        <f>CONFIG!$B$16</f>
        <v>VODAFONE</v>
      </c>
      <c r="D16" s="197"/>
      <c r="E16" s="207">
        <f>IF(F16&lt;&gt;"",IF(F16&lt;=(0.9*MF_VF!$K$6+0.1*MF_VF!$L$6),0.1*MF_VF!$D$6*F16/(0.9*MF_VF!$K$6+0.1*MF_VF!$L$6),IF(F16&gt;=MF_VF!$L$6,MF_VF!$D$6,(F16-MF_VF!$K$6)/(MF_VF!$L$6-MF_VF!$K$6)*MF_VF!$D$6))*Service_Weights!$F$2,0)</f>
        <v>53.107768674116507</v>
      </c>
      <c r="F16" s="264">
        <f>MF_VF!$M$6</f>
        <v>99.328589156491333</v>
      </c>
      <c r="G16" s="207">
        <f>IF(AND(H16&lt;&gt;"",H16&lt;&gt;0),IF(H16&lt;=MF_VF!$K$7,MF_VF!$D$7,IF(H16&gt;=MF_VF!$L$7,0,MF_VF!$D$7-(H16-MF_VF!$K$7)/(MF_VF!$L$7-MF_VF!$K$7)*MF_VF!$D$7))*Service_Weights!$F$2,0)</f>
        <v>7.6760515666952216</v>
      </c>
      <c r="H16" s="264">
        <f>MF_VF!$M$7</f>
        <v>5.8421387347067553</v>
      </c>
      <c r="I16" s="208">
        <f>IF(J16&lt;&gt;"",IF(J16&lt;=MF_VF!$K$8,0,IF(J16&gt;=MF_VF!$L$8,MF_VF!$D$8,SQRT((J16-MF_VF!$K$8)/(MF_VF!$L$8-MF_VF!$K$8))*MF_VF!$D$8))*Service_Weights!$F$2,0)</f>
        <v>10.221385071956487</v>
      </c>
      <c r="J16" s="264">
        <f>MF_VF!$M$8</f>
        <v>3.5785121826354742</v>
      </c>
      <c r="K16" s="210"/>
      <c r="L16" s="210"/>
      <c r="M16" s="211"/>
      <c r="N16" s="208">
        <f>IF(O16&lt;&gt;"",IF(O16&lt;=(0.9*MF_VF!$K$17+0.1*MF_VF!$L$17),0.1*MF_VF!$D$17*O16/(0.9*MF_VF!$K$17+0.1*MF_VF!$L$17),IF(O16&gt;=MF_VF!$L$17,MF_VF!$D$17,(O16-MF_VF!$K$17)/(MF_VF!$L$17-MF_VF!$K$17)*MF_VF!$D$17))*Service_Weights!$F$7,0)</f>
        <v>17.84346582370982</v>
      </c>
      <c r="O16" s="264">
        <f>MF_VF!$M$17</f>
        <v>99.886947539345982</v>
      </c>
      <c r="P16" s="208">
        <f>IF(AND(Q16&lt;&gt;"",Q16&lt;&gt;0),IF(Q16&lt;=MF_VF!$K$18,MF_VF!$D$18,IF(Q16&gt;=MF_VF!$L$18,0,MF_VF!$D$18-(Q16-MF_VF!$K$18)/(MF_VF!$L$18-MF_VF!$K$18)*MF_VF!$D$18))*Service_Weights!$F$7,0)</f>
        <v>10.208820409543712</v>
      </c>
      <c r="Q16" s="264">
        <f>MF_VF!$M$18</f>
        <v>2.3433846928422168</v>
      </c>
      <c r="R16" s="212"/>
      <c r="S16" s="211"/>
      <c r="T16" s="208">
        <f>IF(U16&lt;&gt;"",IF(U16&lt;=(0.9*MF_VF!$K$24+0.1*MF_VF!$L$24),0.1*MF_VF!$D$24*U16/(0.9*MF_VF!$K$24+0.1*MF_VF!$L$24),IF(U16&gt;=MF_VF!$L$24,MF_VF!$D$24,(U16-MF_VF!$K$24)/(MF_VF!$L$24-MF_VF!$K$24)*MF_VF!$D$24))*Service_Weights!$F$6,0)</f>
        <v>7.1373863294839293</v>
      </c>
      <c r="U16" s="264">
        <f>MF_VF!$M$24</f>
        <v>99.886947539345982</v>
      </c>
      <c r="V16" s="208">
        <f>IF(AND(W16&lt;&gt;"",W16&lt;&gt;0),IF(W16&lt;=MF_VF!$K$25,MF_VF!$D$25,IF(W16&gt;=MF_VF!$L$25,0,MF_VF!$D$25-(W16-MF_VF!$K$25)/(MF_VF!$L$25-MF_VF!$K$25)*MF_VF!$D$25))*Service_Weights!$F$6,0)</f>
        <v>3.1879383685893403</v>
      </c>
      <c r="W16" s="264">
        <f>MF_VF!$M$25</f>
        <v>2.3433846928422168</v>
      </c>
      <c r="X16" s="212"/>
      <c r="Y16" s="211"/>
      <c r="Z16" s="208">
        <f>IF(AA16&lt;&gt;"",IF(AA16&lt;=(0.9*MF_VF!$K$30+0.1*MF_VF!$L$30),0.1*MF_VF!$D$30*AA16/(0.9*MF_VF!$K$30+0.1*MF_VF!$L$30),IF(AA16&gt;=MF_VF!$L$30,MF_VF!$D$30,(AA16-MF_VF!$K$30)/(MF_VF!$L$30-MF_VF!$K$30)*MF_VF!$D$30))*Service_Weights!$F$8,0)</f>
        <v>7.1823227467896213</v>
      </c>
      <c r="AA16" s="264">
        <f>MF_VF!$M$30</f>
        <v>99.968082737259039</v>
      </c>
      <c r="AB16" s="207">
        <f>IF(AND(AC16&lt;&gt;"",AC16&lt;&gt;0),IF(AC16&lt;=MF_VF!$K$31,MF_VF!$D$31,IF(AC16&gt;=MF_VF!$L$31,0,SQRT((AC16-MF_VF!$L$31)/(MF_VF!$K$31-MF_VF!$L$31))*MF_VF!$D$31))*Service_Weights!$F$8,0)</f>
        <v>1.44</v>
      </c>
      <c r="AC16" s="264">
        <f>MF_VF!$M$31</f>
        <v>0.87497898501108884</v>
      </c>
      <c r="AD16" s="207">
        <f>IF(AE16&lt;&gt;"",IF(AE16&lt;=MF_VF!$K$32,0,IF(AE16&gt;=MF_VF!$L$32,MF_VF!$D$32,SQRT((AE16-MF_VF!$K$32)/(MF_VF!$L$32-MF_VF!$K$32))*MF_VF!$D$32))*Service_Weights!$F$8,0)</f>
        <v>1.7717300461348957</v>
      </c>
      <c r="AE16" s="209">
        <f>MF_VF!$M$32</f>
        <v>13798.982188295166</v>
      </c>
      <c r="AF16" s="208">
        <f>IF(AG16&lt;&gt;"",IF(AG16&lt;=MF_VF!$K$33,0,IF(AG16&gt;=MF_VF!$L$33,MF_VF!$D$33,SQRT((AG16-MF_VF!$K$33)/(MF_VF!$L$33-MF_VF!$K$33))*MF_VF!$D$33))*Service_Weights!$F$8,0)</f>
        <v>0.54839316899932633</v>
      </c>
      <c r="AG16" s="209">
        <f>MF_VF!$M$33</f>
        <v>42947.513812154735</v>
      </c>
      <c r="AH16" s="212"/>
      <c r="AI16" s="211"/>
      <c r="AJ16" s="208">
        <f>IF(AK16&lt;&gt;"",IF(AK16&lt;=(0.9*MF_VF!$K$38+0.1*MF_VF!$L$38),0.1*MF_VF!$D$38*AK16/(0.9*MF_VF!$K$38+0.1*MF_VF!$L$38),IF(AK16&gt;=MF_VF!$L$38,MF_VF!$D$38,(AK16-MF_VF!$K$38)/(MF_VF!$L$38-MF_VF!$K$38)*MF_VF!$D$38))*Service_Weights!$F$9,0)</f>
        <v>7.1180971647972235</v>
      </c>
      <c r="AK16" s="264">
        <f>MF_VF!$M$38</f>
        <v>99.852119880883876</v>
      </c>
      <c r="AL16" s="207">
        <f>IF(AND(AM16&lt;&gt;"",AM16&lt;&gt;0),IF(AM16&lt;=MF_VF!$K$39,MF_VF!$D$39,IF(AM16&gt;=MF_VF!$L$39,0,SQRT((AM16-MF_VF!$L$39)/(MF_VF!$K$39-MF_VF!$L$39))*MF_VF!$D$39))*Service_Weights!$F$9,0)</f>
        <v>1.437105731938991</v>
      </c>
      <c r="AM16" s="264">
        <f>MF_VF!$M$39</f>
        <v>1.0361419931775024</v>
      </c>
      <c r="AN16" s="207">
        <f>IF(AO16&lt;&gt;"",IF(AO16&lt;=MF_VF!$K$40,0,IF(AO16&gt;=MF_VF!$L$40,MF_VF!$D$40,SQRT((AO16-MF_VF!$K$40)/(MF_VF!$L$40-MF_VF!$K$40))*MF_VF!$D$40))*Service_Weights!$F$9,0)</f>
        <v>1.6252565848398675</v>
      </c>
      <c r="AO16" s="209">
        <f>MF_VF!$M$40</f>
        <v>3876.5957446808502</v>
      </c>
      <c r="AP16" s="208">
        <f>IF(AQ16&lt;&gt;"",IF(AQ16&lt;=MF_VF!$K$41,0,IF(AQ16&gt;=MF_VF!$L$41,MF_VF!$D$41,SQRT((AQ16-MF_VF!$K$41)/(MF_VF!$L$41-MF_VF!$K$41))*MF_VF!$D$41))*Service_Weights!$F$9,0)</f>
        <v>0.3348703239106206</v>
      </c>
      <c r="AQ16" s="209">
        <f>MF_VF!$M$41</f>
        <v>12433.553251649391</v>
      </c>
      <c r="AR16" s="212"/>
      <c r="AS16" s="211"/>
      <c r="AT16" s="208">
        <f>IF(AU16&lt;&gt;"",IF(AU16&lt;=(0.9*MF_VF!$K$46+0.1*MF_VF!$L$46),0.1*MF_VF!$D$46*AU16/(0.9*MF_VF!$K$46+0.1*MF_VF!$L$46),IF(AU16&gt;=MF_VF!$L$46,MF_VF!$D$46,(AU16-MF_VF!$K$46)/(MF_VF!$L$46-MF_VF!$K$46)*MF_VF!$D$46))*Service_Weights!$F$10,0)</f>
        <v>7.1875960659394718</v>
      </c>
      <c r="AU16" s="264">
        <f>MF_VF!$M$46</f>
        <v>99.977604007946269</v>
      </c>
      <c r="AV16" s="207">
        <f>IF(AW16&lt;&gt;"",IF(AW16&lt;=MF_VF!$K$47,0,IF(AW16&gt;=MF_VF!$L$47,MF_VF!$D$47,SQRT((AW16-MF_VF!$K$47)/(MF_VF!$L$47-MF_VF!$K$47))*MF_VF!$D$47))*Service_Weights!$F$10,0)</f>
        <v>1.0739981316714733</v>
      </c>
      <c r="AW16" s="209">
        <f>MF_VF!$M$47</f>
        <v>47829.24336682658</v>
      </c>
      <c r="AX16" s="207">
        <f>IF(AY16&lt;&gt;"",IF(AY16&lt;=MF_VF!$K$48,0,IF(AY16&gt;=MF_VF!$L$48,MF_VF!$D$48,SQRT((AY16-MF_VF!$K$48)/(MF_VF!$L$48-MF_VF!$K$48))*MF_VF!$D$48))*Service_Weights!$F$10,0)</f>
        <v>1.6697812754519914</v>
      </c>
      <c r="AY16" s="209">
        <f>MF_VF!$M$48</f>
        <v>17008.042895442359</v>
      </c>
      <c r="AZ16" s="208">
        <f>IF(BA16&lt;&gt;"",IF(BA16&lt;=MF_VF!$K$49,0,IF(BA16&gt;=MF_VF!$L$49,MF_VF!$D$49,SQRT((BA16-MF_VF!$K$49)/(MF_VF!$L$49-MF_VF!$K$49))*MF_VF!$D$49))*Service_Weights!$F$10,0)</f>
        <v>0.62344535478985297</v>
      </c>
      <c r="BA16" s="209">
        <f>MF_VF!$M$49</f>
        <v>90371.134020618571</v>
      </c>
      <c r="BB16" s="212"/>
      <c r="BC16" s="211"/>
      <c r="BD16" s="208">
        <f>IF(BE16&lt;&gt;"",IF(BE16&lt;=(0.9*MF_VF!$K$54+0.1*MF_VF!$L$54),0.1*MF_VF!$D$54*BE16/(0.9*MF_VF!$K$54+0.1*MF_VF!$L$54),IF(BE16&gt;=MF_VF!$L$54,MF_VF!$D$54,(BE16-MF_VF!$K$54)/(MF_VF!$L$54-MF_VF!$K$54)*MF_VF!$D$54))*Service_Weights!$F$11,0)</f>
        <v>7.1682116569311969</v>
      </c>
      <c r="BE16" s="264">
        <f>MF_VF!$M$54</f>
        <v>99.942604380570216</v>
      </c>
      <c r="BF16" s="207">
        <f>IF(BG16&lt;&gt;"",IF(BG16&lt;=MF_VF!$K$55,0,IF(BG16&gt;=MF_VF!$L$55,MF_VF!$D$55,SQRT((BG16-MF_VF!$K$55)/(MF_VF!$L$55-MF_VF!$K$55))*MF_VF!$D$55))*Service_Weights!$F$11,0)</f>
        <v>1.2135232957062074</v>
      </c>
      <c r="BG16" s="209">
        <f>MF_VF!$M$55</f>
        <v>26015.722639791336</v>
      </c>
      <c r="BH16" s="207">
        <f>IF(BI16&lt;&gt;"",IF(BI16&lt;=MF_VF!$K$56,0,IF(BI16&gt;=MF_VF!$L$56,MF_VF!$D$56,SQRT((BI16-MF_VF!$K$56)/(MF_VF!$L$56-MF_VF!$K$56))*MF_VF!$D$56))*Service_Weights!$F$11,0)</f>
        <v>2.0280769657937388</v>
      </c>
      <c r="BI16" s="209">
        <f>MF_VF!$M$56</f>
        <v>7159.0909090909108</v>
      </c>
      <c r="BJ16" s="208">
        <f>IF(BK16&lt;&gt;"",IF(BK16&lt;=MF_VF!$K$57,0,IF(BK16&gt;=MF_VF!$L$57,MF_VF!$D$57,SQRT((BK16-MF_VF!$K$57)/(MF_VF!$L$57-MF_VF!$K$57))*MF_VF!$D$57))*Service_Weights!$F$11,0)</f>
        <v>0.85671175050829462</v>
      </c>
      <c r="BK16" s="209">
        <f>MF_VF!$M$57</f>
        <v>42873.725934314803</v>
      </c>
      <c r="BL16" s="212"/>
      <c r="BM16" s="211"/>
      <c r="BN16" s="207">
        <f>IF(BO16&lt;&gt;"",IF(BO16&lt;=(0.9*MF_VF!$K$62+0.1*MF_VF!$L$62),0.1*MF_VF!$D$62*BO16/(0.9*MF_VF!$K$62+0.1*MF_VF!$L$62),IF(BO16&gt;=MF_VF!$L$62,MF_VF!$D$62,(BO16-MF_VF!$K$62)/(MF_VF!$L$62-MF_VF!$K$62)*MF_VF!$D$62))*Service_Weights!$F$12,0)</f>
        <v>16.467818969974864</v>
      </c>
      <c r="BO16" s="264">
        <f>MF_VF!$M$62</f>
        <v>99.970744518158966</v>
      </c>
      <c r="BP16" s="207">
        <f>IF(AND(BQ16&lt;&gt;"",BQ16&lt;&gt;0),IF(BQ16&lt;=MF_VF!$K$63,MF_VF!$D$63,IF(BQ16&gt;=MF_VF!$L$63,0,MF_VF!$D$63-(BQ16-MF_VF!$K$63)/(MF_VF!$L$63-MF_VF!$K$63)*MF_VF!$D$63))*Service_Weights!$F$12,0)</f>
        <v>1.4651889852325999</v>
      </c>
      <c r="BQ16" s="264">
        <f>MF_VF!$M$63</f>
        <v>1.0812257011239335</v>
      </c>
      <c r="BR16" s="207">
        <f>IF(BS16&lt;&gt;"",IF(BS16&lt;=MF_VF!$K$64,0,IF(BS16&gt;=MF_VF!$L$64,MF_VF!$D$64,(BS16-MF_VF!$K$64)/(MF_VF!$L$64-MF_VF!$K$64)*MF_VF!$D$64))*Service_Weights!$F$12,0)</f>
        <v>4.4077101052543242</v>
      </c>
      <c r="BS16" s="264">
        <f>MF_VF!$M$64</f>
        <v>99.794911345009609</v>
      </c>
      <c r="BT16" s="207">
        <f>IF(BU16&lt;&gt;"",IF(BU16&lt;=MF_VF!$K$65,0,IF(BU16&gt;=MF_VF!$L$65,MF_VF!$D$65,(BU16-MF_VF!$K$65)/(MF_VF!$L$65-MF_VF!$K$65)*MF_VF!$D$65))*Service_Weights!$F$12,0)</f>
        <v>6.1603036604564325</v>
      </c>
      <c r="BU16" s="264">
        <f>MF_VF!$M$65</f>
        <v>631.05336106008303</v>
      </c>
      <c r="BV16" s="208" t="e">
        <f>IF(BW16&lt;&gt;"",IF(BW16&lt;=MF_VF!#REF!,0,IF(BW16&gt;=MF_VF!#REF!,MF_VF!#REF!,(BW16-MF_VF!#REF!)/(MF_VF!#REF!-MF_VF!#REF!)*MF_VF!#REF!))*Service_Weights!$F$12,0)</f>
        <v>#REF!</v>
      </c>
      <c r="BW16" s="264" t="e">
        <f>MF_VF!#REF!</f>
        <v>#REF!</v>
      </c>
    </row>
    <row r="17" spans="2:75" x14ac:dyDescent="0.35">
      <c r="B17" s="326"/>
      <c r="C17" s="198" t="str">
        <f>CONFIG!$C$16</f>
        <v>MOVISTAR</v>
      </c>
      <c r="D17" s="199"/>
      <c r="E17" s="213">
        <f>IF(F17&lt;&gt;"",IF(F17&lt;=(0.9*MF_VF!$K$6+0.1*MF_VF!$L$6),0.1*MF_VF!$D$6*F17/(0.9*MF_VF!$K$6+0.1*MF_VF!$L$6),IF(F17&gt;=MF_VF!$L$6,MF_VF!$D$6,(F17-MF_VF!$K$6)/(MF_VF!$L$6-MF_VF!$K$6)*MF_VF!$D$6))*Service_Weights!$F$2,0)</f>
        <v>41.15742661646081</v>
      </c>
      <c r="F17" s="265">
        <f>MF_OP1!$M$6</f>
        <v>96.554402607392689</v>
      </c>
      <c r="G17" s="213">
        <f>IF(AND(H17&lt;&gt;"",H17&lt;&gt;0),IF(H17&lt;=MF_VF!$K$7,MF_VF!$D$7,IF(H17&gt;=MF_VF!$L$7,0,MF_VF!$D$7-(H17-MF_VF!$K$7)/(MF_VF!$L$7-MF_VF!$K$7)*MF_VF!$D$7))*Service_Weights!$F$2,0)</f>
        <v>3.8082358075788401</v>
      </c>
      <c r="H17" s="265">
        <f>MF_OP1!$M$7</f>
        <v>7.9372056042281276</v>
      </c>
      <c r="I17" s="214">
        <f>IF(J17&lt;&gt;"",IF(J17&lt;=MF_VF!$K$8,0,IF(J17&gt;=MF_VF!$L$8,MF_VF!$D$8,SQRT((J17-MF_VF!$K$8)/(MF_VF!$L$8-MF_VF!$K$8))*MF_VF!$D$8))*Service_Weights!$F$2,0)</f>
        <v>8.658715005743904</v>
      </c>
      <c r="J17" s="265">
        <f>MF_OP1!$M$8</f>
        <v>3.1892316426827767</v>
      </c>
      <c r="K17" s="216"/>
      <c r="L17" s="216"/>
      <c r="M17" s="217"/>
      <c r="N17" s="214">
        <f>IF(O17&lt;&gt;"",IF(O17&lt;=(0.9*MF_VF!$K$17+0.1*MF_VF!$L$17),0.1*MF_VF!$D$17*O17/(0.9*MF_VF!$K$17+0.1*MF_VF!$L$17),IF(O17&gt;=MF_VF!$L$17,MF_VF!$D$17,(O17-MF_VF!$K$17)/(MF_VF!$L$17-MF_VF!$K$17)*MF_VF!$D$17))*Service_Weights!$F$7,0)</f>
        <v>17.558650432614126</v>
      </c>
      <c r="O17" s="265">
        <f>MF_OP1!$M$17</f>
        <v>99.681247534665758</v>
      </c>
      <c r="P17" s="214">
        <f>IF(AND(Q17&lt;&gt;"",Q17&lt;&gt;0),IF(Q17&lt;=MF_VF!$K$18,MF_VF!$D$18,IF(Q17&gt;=MF_VF!$L$18,0,MF_VF!$D$18-(Q17-MF_VF!$K$18)/(MF_VF!$L$18-MF_VF!$K$18)*MF_VF!$D$18))*Service_Weights!$F$7,0)</f>
        <v>10.080641427618932</v>
      </c>
      <c r="Q17" s="265">
        <f>MF_OP1!$M$18</f>
        <v>2.4395189292858013</v>
      </c>
      <c r="R17" s="218"/>
      <c r="S17" s="217"/>
      <c r="T17" s="214">
        <f>IF(U17&lt;&gt;"",IF(U17&lt;=(0.9*MF_VF!$K$24+0.1*MF_VF!$L$24),0.1*MF_VF!$D$24*U17/(0.9*MF_VF!$K$24+0.1*MF_VF!$L$24),IF(U17&gt;=MF_VF!$L$24,MF_VF!$D$24,(U17-MF_VF!$K$24)/(MF_VF!$L$24-MF_VF!$K$24)*MF_VF!$D$24))*Service_Weights!$F$6,0)</f>
        <v>7.0234601730456507</v>
      </c>
      <c r="U17" s="265">
        <f>MF_OP1!$M$24</f>
        <v>99.681247534665758</v>
      </c>
      <c r="V17" s="214">
        <f>IF(AND(W17&lt;&gt;"",W17&lt;&gt;0),IF(W17&lt;=MF_VF!$K$25,MF_VF!$D$25,IF(W17&gt;=MF_VF!$L$25,0,MF_VF!$D$25-(W17-MF_VF!$K$25)/(MF_VF!$L$25-MF_VF!$K$25)*MF_VF!$D$25))*Service_Weights!$F$6,0)</f>
        <v>3.0725772848570387</v>
      </c>
      <c r="W17" s="265">
        <f>MF_OP1!$M$25</f>
        <v>2.4395189292858013</v>
      </c>
      <c r="X17" s="218"/>
      <c r="Y17" s="217"/>
      <c r="Z17" s="214">
        <f>IF(AA17&lt;&gt;"",IF(AA17&lt;=(0.9*MF_VF!$K$30+0.1*MF_VF!$L$30),0.1*MF_VF!$D$30*AA17/(0.9*MF_VF!$K$30+0.1*MF_VF!$L$30),IF(AA17&gt;=MF_VF!$L$30,MF_VF!$D$30,(AA17-MF_VF!$K$30)/(MF_VF!$L$30-MF_VF!$K$30)*MF_VF!$D$30))*Service_Weights!$F$8,0)</f>
        <v>7.1450092904247819</v>
      </c>
      <c r="AA17" s="265">
        <f>MF_OP1!$M$30</f>
        <v>99.900711218822522</v>
      </c>
      <c r="AB17" s="213">
        <f>IF(AND(AC17&lt;&gt;"",AC17&lt;&gt;0),IF(AC17&lt;=MF_VF!$K$31,MF_VF!$D$31,IF(AC17&gt;=MF_VF!$L$31,0,SQRT((AC17-MF_VF!$L$31)/(MF_VF!$K$31-MF_VF!$L$31))*MF_VF!$D$31))*Service_Weights!$F$8,0)</f>
        <v>1.44</v>
      </c>
      <c r="AC17" s="265">
        <f>MF_OP1!$M$31</f>
        <v>0.89226761128511012</v>
      </c>
      <c r="AD17" s="213">
        <f>IF(AE17&lt;&gt;"",IF(AE17&lt;=MF_VF!$K$32,0,IF(AE17&gt;=MF_VF!$L$32,MF_VF!$D$32,SQRT((AE17-MF_VF!$K$32)/(MF_VF!$L$32-MF_VF!$K$32))*MF_VF!$D$32))*Service_Weights!$F$8,0)</f>
        <v>1.7392621021277348</v>
      </c>
      <c r="AE17" s="215">
        <f>MF_OP1!$M$32</f>
        <v>13311.813186813184</v>
      </c>
      <c r="AF17" s="214">
        <f>IF(AG17&lt;&gt;"",IF(AG17&lt;=MF_VF!$K$33,0,IF(AG17&gt;=MF_VF!$L$33,MF_VF!$D$33,SQRT((AG17-MF_VF!$K$33)/(MF_VF!$L$33-MF_VF!$K$33))*MF_VF!$D$33))*Service_Weights!$F$8,0)</f>
        <v>0.51765582431530033</v>
      </c>
      <c r="AG17" s="215">
        <f>MF_OP1!$M$33</f>
        <v>40991.987179487216</v>
      </c>
      <c r="AH17" s="218"/>
      <c r="AI17" s="217"/>
      <c r="AJ17" s="214">
        <f>IF(AK17&lt;&gt;"",IF(AK17&lt;=(0.9*MF_VF!$K$38+0.1*MF_VF!$L$38),0.1*MF_VF!$D$38*AK17/(0.9*MF_VF!$K$38+0.1*MF_VF!$L$38),IF(AK17&gt;=MF_VF!$L$38,MF_VF!$D$38,(AK17-MF_VF!$K$38)/(MF_VF!$L$38-MF_VF!$K$38)*MF_VF!$D$38))*Service_Weights!$F$9,0)</f>
        <v>7.0111421681228983</v>
      </c>
      <c r="AK17" s="265">
        <f>MF_OP1!$M$38</f>
        <v>99.659006692444123</v>
      </c>
      <c r="AL17" s="213">
        <f>IF(AND(AM17&lt;&gt;"",AM17&lt;&gt;0),IF(AM17&lt;=MF_VF!$K$39,MF_VF!$D$39,IF(AM17&gt;=MF_VF!$L$39,0,SQRT((AM17-MF_VF!$L$39)/(MF_VF!$K$39-MF_VF!$L$39))*MF_VF!$D$39))*Service_Weights!$F$9,0)</f>
        <v>1.44</v>
      </c>
      <c r="AM17" s="265">
        <f>MF_OP1!$M$39</f>
        <v>0.99893211631706658</v>
      </c>
      <c r="AN17" s="213">
        <f>IF(AO17&lt;&gt;"",IF(AO17&lt;=MF_VF!$K$40,0,IF(AO17&gt;=MF_VF!$L$40,MF_VF!$D$40,SQRT((AO17-MF_VF!$K$40)/(MF_VF!$L$40-MF_VF!$K$40))*MF_VF!$D$40))*Service_Weights!$F$9,0)</f>
        <v>1.7431353958896487</v>
      </c>
      <c r="AO17" s="215">
        <f>MF_OP1!$M$40</f>
        <v>4401.6000000000013</v>
      </c>
      <c r="AP17" s="214">
        <f>IF(AQ17&lt;&gt;"",IF(AQ17&lt;=MF_VF!$K$41,0,IF(AQ17&gt;=MF_VF!$L$41,MF_VF!$D$41,SQRT((AQ17-MF_VF!$K$41)/(MF_VF!$L$41-MF_VF!$K$41))*MF_VF!$D$41))*Service_Weights!$F$9,0)</f>
        <v>0.38463518427680243</v>
      </c>
      <c r="AQ17" s="215">
        <f>MF_OP1!$M$41</f>
        <v>13210.595160235454</v>
      </c>
      <c r="AR17" s="218"/>
      <c r="AS17" s="217"/>
      <c r="AT17" s="214">
        <f>IF(AU17&lt;&gt;"",IF(AU17&lt;=(0.9*MF_VF!$K$46+0.1*MF_VF!$L$46),0.1*MF_VF!$D$46*AU17/(0.9*MF_VF!$K$46+0.1*MF_VF!$L$46),IF(AU17&gt;=MF_VF!$L$46,MF_VF!$D$46,(AU17-MF_VF!$K$46)/(MF_VF!$L$46-MF_VF!$K$46)*MF_VF!$D$46))*Service_Weights!$F$10,0)</f>
        <v>7.0857386566924241</v>
      </c>
      <c r="AU17" s="265">
        <f>MF_OP1!$M$46</f>
        <v>99.793694796805767</v>
      </c>
      <c r="AV17" s="213">
        <f>IF(AW17&lt;&gt;"",IF(AW17&lt;=MF_VF!$K$47,0,IF(AW17&gt;=MF_VF!$L$47,MF_VF!$D$47,SQRT((AW17-MF_VF!$K$47)/(MF_VF!$L$47-MF_VF!$K$47))*MF_VF!$D$47))*Service_Weights!$F$10,0)</f>
        <v>0.99667287912224034</v>
      </c>
      <c r="AW17" s="215">
        <f>MF_OP1!$M$47</f>
        <v>42231.081225111731</v>
      </c>
      <c r="AX17" s="213">
        <f>IF(AY17&lt;&gt;"",IF(AY17&lt;=MF_VF!$K$48,0,IF(AY17&gt;=MF_VF!$L$48,MF_VF!$D$48,SQRT((AY17-MF_VF!$K$48)/(MF_VF!$L$48-MF_VF!$K$48))*MF_VF!$D$48))*Service_Weights!$F$10,0)</f>
        <v>1.6676647619355101</v>
      </c>
      <c r="AY17" s="215">
        <f>MF_OP1!$M$48</f>
        <v>16965.27777777777</v>
      </c>
      <c r="AZ17" s="214">
        <f>IF(BA17&lt;&gt;"",IF(BA17&lt;=MF_VF!$K$49,0,IF(BA17&gt;=MF_VF!$L$49,MF_VF!$D$49,SQRT((BA17-MF_VF!$K$49)/(MF_VF!$L$49-MF_VF!$K$49))*MF_VF!$D$49))*Service_Weights!$F$10,0)</f>
        <v>0.53325344164387656</v>
      </c>
      <c r="BA17" s="215">
        <f>MF_OP1!$M$49</f>
        <v>72825.174825174807</v>
      </c>
      <c r="BB17" s="218"/>
      <c r="BC17" s="217"/>
      <c r="BD17" s="214">
        <f>IF(BE17&lt;&gt;"",IF(BE17&lt;=(0.9*MF_VF!$K$54+0.1*MF_VF!$L$54),0.1*MF_VF!$D$54*BE17/(0.9*MF_VF!$K$54+0.1*MF_VF!$L$54),IF(BE17&gt;=MF_VF!$L$54,MF_VF!$D$54,(BE17-MF_VF!$K$54)/(MF_VF!$L$54-MF_VF!$K$54)*MF_VF!$D$54))*Service_Weights!$F$11,0)</f>
        <v>7.1340546220773771</v>
      </c>
      <c r="BE17" s="265">
        <f>MF_OP1!$M$54</f>
        <v>99.880931956528599</v>
      </c>
      <c r="BF17" s="213">
        <f>IF(BG17&lt;&gt;"",IF(BG17&lt;=MF_VF!$K$55,0,IF(BG17&gt;=MF_VF!$L$55,MF_VF!$D$55,SQRT((BG17-MF_VF!$K$55)/(MF_VF!$L$55-MF_VF!$K$55))*MF_VF!$D$55))*Service_Weights!$F$11,0)</f>
        <v>1.1550423895125614</v>
      </c>
      <c r="BG17" s="215">
        <f>MF_OP1!$M$55</f>
        <v>23944.931794317865</v>
      </c>
      <c r="BH17" s="213">
        <f>IF(BI17&lt;&gt;"",IF(BI17&lt;=MF_VF!$K$56,0,IF(BI17&gt;=MF_VF!$L$56,MF_VF!$D$56,SQRT((BI17-MF_VF!$K$56)/(MF_VF!$L$56-MF_VF!$K$56))*MF_VF!$D$56))*Service_Weights!$F$11,0)</f>
        <v>2.0711146105273626</v>
      </c>
      <c r="BI17" s="215">
        <f>MF_OP1!$M$56</f>
        <v>7463.4146341463411</v>
      </c>
      <c r="BJ17" s="214">
        <f>IF(BK17&lt;&gt;"",IF(BK17&lt;=MF_VF!$K$57,0,IF(BK17&gt;=MF_VF!$L$57,MF_VF!$D$57,SQRT((BK17-MF_VF!$K$57)/(MF_VF!$L$57-MF_VF!$K$57))*MF_VF!$D$57))*Service_Weights!$F$11,0)</f>
        <v>0.77329703279518602</v>
      </c>
      <c r="BK17" s="215">
        <f>MF_OP1!$M$57</f>
        <v>37710.059171597619</v>
      </c>
      <c r="BL17" s="218"/>
      <c r="BM17" s="217"/>
      <c r="BN17" s="213">
        <f>IF(BO17&lt;&gt;"",IF(BO17&lt;=(0.9*MF_VF!$K$62+0.1*MF_VF!$L$62),0.1*MF_VF!$D$62*BO17/(0.9*MF_VF!$K$62+0.1*MF_VF!$L$62),IF(BO17&gt;=MF_VF!$L$62,MF_VF!$D$62,(BO17-MF_VF!$K$62)/(MF_VF!$L$62-MF_VF!$K$62)*MF_VF!$D$62))*Service_Weights!$F$12,0)</f>
        <v>15.906684391601381</v>
      </c>
      <c r="BO17" s="265">
        <f>MF_OP1!$M$62</f>
        <v>99.460622174183072</v>
      </c>
      <c r="BP17" s="213">
        <f>IF(AND(BQ17&lt;&gt;"",BQ17&lt;&gt;0),IF(BQ17&lt;=MF_VF!$K$63,MF_VF!$D$63,IF(BQ17&gt;=MF_VF!$L$63,0,MF_VF!$D$63-(BQ17-MF_VF!$K$63)/(MF_VF!$L$63-MF_VF!$K$63)*MF_VF!$D$63))*Service_Weights!$F$12,0)</f>
        <v>1.4598410169217366</v>
      </c>
      <c r="BQ17" s="265">
        <f>MF_OP1!$M$63</f>
        <v>1.0937042938492814</v>
      </c>
      <c r="BR17" s="213">
        <f>IF(BS17&lt;&gt;"",IF(BS17&lt;=MF_VF!$K$64,0,IF(BS17&gt;=MF_VF!$L$64,MF_VF!$D$64,(BS17-MF_VF!$K$64)/(MF_VF!$L$64-MF_VF!$K$64)*MF_VF!$D$64))*Service_Weights!$F$12,0)</f>
        <v>4.4218801894666528</v>
      </c>
      <c r="BS17" s="265">
        <f>MF_OP1!$M$64</f>
        <v>99.826400421037008</v>
      </c>
      <c r="BT17" s="213">
        <f>IF(BU17&lt;&gt;"",IF(BU17&lt;=MF_VF!$K$65,0,IF(BU17&gt;=MF_VF!$L$65,MF_VF!$D$65,(BU17-MF_VF!$K$65)/(MF_VF!$L$65-MF_VF!$K$65)*MF_VF!$D$65))*Service_Weights!$F$12,0)</f>
        <v>6.689524678021038</v>
      </c>
      <c r="BU17" s="265">
        <f>MF_OP1!$M$65</f>
        <v>654.33908583292566</v>
      </c>
      <c r="BV17" s="214" t="e">
        <f>IF(BW17&lt;&gt;"",IF(BW17&lt;=MF_VF!#REF!,0,IF(BW17&gt;=MF_VF!#REF!,MF_VF!#REF!,(BW17-MF_VF!#REF!)/(MF_VF!#REF!-MF_VF!#REF!)*MF_VF!#REF!))*Service_Weights!$F$12,0)</f>
        <v>#REF!</v>
      </c>
      <c r="BW17" s="265" t="e">
        <f>MF_OP1!#REF!</f>
        <v>#REF!</v>
      </c>
    </row>
    <row r="18" spans="2:75" x14ac:dyDescent="0.35">
      <c r="B18" s="326"/>
      <c r="C18" s="198" t="str">
        <f>CONFIG!$D$16</f>
        <v>ORANGE</v>
      </c>
      <c r="D18" s="199"/>
      <c r="E18" s="213">
        <f>IF(F18&lt;&gt;"",IF(F18&lt;=(0.9*MF_VF!$K$6+0.1*MF_VF!$L$6),0.1*MF_VF!$D$6*F18/(0.9*MF_VF!$K$6+0.1*MF_VF!$L$6),IF(F18&gt;=MF_VF!$L$6,MF_VF!$D$6,(F18-MF_VF!$K$6)/(MF_VF!$L$6-MF_VF!$K$6)*MF_VF!$D$6))*Service_Weights!$F$2,0)</f>
        <v>50.973835427490371</v>
      </c>
      <c r="F18" s="265">
        <f>MF_OP2!$M$6</f>
        <v>98.83321179566741</v>
      </c>
      <c r="G18" s="213">
        <f>IF(AND(H18&lt;&gt;"",H18&lt;&gt;0),IF(H18&lt;=MF_VF!$K$7,MF_VF!$D$7,IF(H18&gt;=MF_VF!$L$7,0,MF_VF!$D$7-(H18-MF_VF!$K$7)/(MF_VF!$L$7-MF_VF!$K$7)*MF_VF!$D$7))*Service_Weights!$F$2,0)</f>
        <v>6.967616375190012</v>
      </c>
      <c r="H18" s="265">
        <f>MF_OP2!$M$7</f>
        <v>6.2258744634387435</v>
      </c>
      <c r="I18" s="214">
        <f>IF(J18&lt;&gt;"",IF(J18&lt;=MF_VF!$K$8,0,IF(J18&gt;=MF_VF!$L$8,MF_VF!$D$8,SQRT((J18-MF_VF!$K$8)/(MF_VF!$L$8-MF_VF!$K$8))*MF_VF!$D$8))*Service_Weights!$F$2,0)</f>
        <v>10.103713725331344</v>
      </c>
      <c r="J18" s="265">
        <f>MF_OP2!$M$8</f>
        <v>3.5469552707121741</v>
      </c>
      <c r="K18" s="216"/>
      <c r="L18" s="216"/>
      <c r="M18" s="217"/>
      <c r="N18" s="214">
        <f>IF(O18&lt;&gt;"",IF(O18&lt;=(0.9*MF_VF!$K$17+0.1*MF_VF!$L$17),0.1*MF_VF!$D$17*O18/(0.9*MF_VF!$K$17+0.1*MF_VF!$L$17),IF(O18&gt;=MF_VF!$L$17,MF_VF!$D$17,(O18-MF_VF!$K$17)/(MF_VF!$L$17-MF_VF!$K$17)*MF_VF!$D$17))*Service_Weights!$F$7,0)</f>
        <v>16.97073586021984</v>
      </c>
      <c r="O18" s="265">
        <f>MF_OP2!$M$17</f>
        <v>99.25664256571433</v>
      </c>
      <c r="P18" s="214">
        <f>IF(AND(Q18&lt;&gt;"",Q18&lt;&gt;0),IF(Q18&lt;=MF_VF!$K$18,MF_VF!$D$18,IF(Q18&gt;=MF_VF!$L$18,0,MF_VF!$D$18-(Q18-MF_VF!$K$18)/(MF_VF!$L$18-MF_VF!$K$18)*MF_VF!$D$18))*Service_Weights!$F$7,0)</f>
        <v>9.8220702561161755</v>
      </c>
      <c r="Q18" s="265">
        <f>MF_OP2!$M$18</f>
        <v>2.6334473079128689</v>
      </c>
      <c r="R18" s="218"/>
      <c r="S18" s="217"/>
      <c r="T18" s="214">
        <f>IF(U18&lt;&gt;"",IF(U18&lt;=(0.9*MF_VF!$K$24+0.1*MF_VF!$L$24),0.1*MF_VF!$D$24*U18/(0.9*MF_VF!$K$24+0.1*MF_VF!$L$24),IF(U18&gt;=MF_VF!$L$24,MF_VF!$D$24,(U18-MF_VF!$K$24)/(MF_VF!$L$24-MF_VF!$K$24)*MF_VF!$D$24))*Service_Weights!$F$6,0)</f>
        <v>6.7882943440879364</v>
      </c>
      <c r="U18" s="265">
        <f>MF_OP2!$M$24</f>
        <v>99.25664256571433</v>
      </c>
      <c r="V18" s="214">
        <f>IF(AND(W18&lt;&gt;"",W18&lt;&gt;0),IF(W18&lt;=MF_VF!$K$25,MF_VF!$D$25,IF(W18&gt;=MF_VF!$L$25,0,MF_VF!$D$25-(W18-MF_VF!$K$25)/(MF_VF!$L$25-MF_VF!$K$25)*MF_VF!$D$25))*Service_Weights!$F$6,0)</f>
        <v>2.8398632305045575</v>
      </c>
      <c r="W18" s="265">
        <f>MF_OP2!$M$25</f>
        <v>2.6334473079128689</v>
      </c>
      <c r="X18" s="218"/>
      <c r="Y18" s="217"/>
      <c r="Z18" s="214">
        <f>IF(AA18&lt;&gt;"",IF(AA18&lt;=(0.9*MF_VF!$K$30+0.1*MF_VF!$L$30),0.1*MF_VF!$D$30*AA18/(0.9*MF_VF!$K$30+0.1*MF_VF!$L$30),IF(AA18&gt;=MF_VF!$L$30,MF_VF!$D$30,(AA18-MF_VF!$K$30)/(MF_VF!$L$30-MF_VF!$K$30)*MF_VF!$D$30))*Service_Weights!$F$8,0)</f>
        <v>7.0535658635350984</v>
      </c>
      <c r="AA18" s="265">
        <f>MF_OP2!$M$30</f>
        <v>99.735605031382818</v>
      </c>
      <c r="AB18" s="213">
        <f>IF(AND(AC18&lt;&gt;"",AC18&lt;&gt;0),IF(AC18&lt;=MF_VF!$K$31,MF_VF!$D$31,IF(AC18&gt;=MF_VF!$L$31,0,SQRT((AC18-MF_VF!$L$31)/(MF_VF!$K$31-MF_VF!$L$31))*MF_VF!$D$31))*Service_Weights!$F$8,0)</f>
        <v>1.360754695586575</v>
      </c>
      <c r="AC18" s="265">
        <f>MF_OP2!$M$31</f>
        <v>2.230896302107209</v>
      </c>
      <c r="AD18" s="213">
        <f>IF(AE18&lt;&gt;"",IF(AE18&lt;=MF_VF!$K$32,0,IF(AE18&gt;=MF_VF!$L$32,MF_VF!$D$32,SQRT((AE18-MF_VF!$K$32)/(MF_VF!$L$32-MF_VF!$K$32))*MF_VF!$D$32))*Service_Weights!$F$8,0)</f>
        <v>1.1380233766465304</v>
      </c>
      <c r="AE18" s="215">
        <f>MF_OP2!$M$32</f>
        <v>5918.7418086500666</v>
      </c>
      <c r="AF18" s="214">
        <f>IF(AG18&lt;&gt;"",IF(AG18&lt;=MF_VF!$K$33,0,IF(AG18&gt;=MF_VF!$L$33,MF_VF!$D$33,SQRT((AG18-MF_VF!$K$33)/(MF_VF!$L$33-MF_VF!$K$33))*MF_VF!$D$33))*Service_Weights!$F$8,0)</f>
        <v>0</v>
      </c>
      <c r="AG18" s="215">
        <f>MF_OP2!$M$33</f>
        <v>15075.09881422925</v>
      </c>
      <c r="AH18" s="218"/>
      <c r="AI18" s="217"/>
      <c r="AJ18" s="214">
        <f>IF(AK18&lt;&gt;"",IF(AK18&lt;=(0.9*MF_VF!$K$38+0.1*MF_VF!$L$38),0.1*MF_VF!$D$38*AK18/(0.9*MF_VF!$K$38+0.1*MF_VF!$L$38),IF(AK18&gt;=MF_VF!$L$38,MF_VF!$D$38,(AK18-MF_VF!$K$38)/(MF_VF!$L$38-MF_VF!$K$38)*MF_VF!$D$38))*Service_Weights!$F$9,0)</f>
        <v>6.5977748966066336</v>
      </c>
      <c r="AK18" s="265">
        <f>MF_OP2!$M$38</f>
        <v>98.912649118873091</v>
      </c>
      <c r="AL18" s="213">
        <f>IF(AND(AM18&lt;&gt;"",AM18&lt;&gt;0),IF(AM18&lt;=MF_VF!$K$39,MF_VF!$D$39,IF(AM18&gt;=MF_VF!$L$39,0,SQRT((AM18-MF_VF!$L$39)/(MF_VF!$K$39-MF_VF!$L$39))*MF_VF!$D$39))*Service_Weights!$F$9,0)</f>
        <v>1.405127286428083</v>
      </c>
      <c r="AM18" s="265">
        <f>MF_OP2!$M$39</f>
        <v>1.4306306811425842</v>
      </c>
      <c r="AN18" s="213">
        <f>IF(AO18&lt;&gt;"",IF(AO18&lt;=MF_VF!$K$40,0,IF(AO18&gt;=MF_VF!$L$40,MF_VF!$D$40,SQRT((AO18-MF_VF!$K$40)/(MF_VF!$L$40-MF_VF!$K$40))*MF_VF!$D$40))*Service_Weights!$F$9,0)</f>
        <v>1.0204078217671164</v>
      </c>
      <c r="AO18" s="215">
        <f>MF_OP2!$M$40</f>
        <v>1760.7402511566424</v>
      </c>
      <c r="AP18" s="214">
        <f>IF(AQ18&lt;&gt;"",IF(AQ18&lt;=MF_VF!$K$41,0,IF(AQ18&gt;=MF_VF!$L$41,MF_VF!$D$41,SQRT((AQ18-MF_VF!$K$41)/(MF_VF!$L$41-MF_VF!$K$41))*MF_VF!$D$41))*Service_Weights!$F$9,0)</f>
        <v>0</v>
      </c>
      <c r="AQ18" s="215">
        <f>MF_OP2!$M$41</f>
        <v>9369.2758253461161</v>
      </c>
      <c r="AR18" s="218"/>
      <c r="AS18" s="217"/>
      <c r="AT18" s="214">
        <f>IF(AU18&lt;&gt;"",IF(AU18&lt;=(0.9*MF_VF!$K$46+0.1*MF_VF!$L$46),0.1*MF_VF!$D$46*AU18/(0.9*MF_VF!$K$46+0.1*MF_VF!$L$46),IF(AU18&gt;=MF_VF!$L$46,MF_VF!$D$46,(AU18-MF_VF!$K$46)/(MF_VF!$L$46-MF_VF!$K$46)*MF_VF!$D$46))*Service_Weights!$F$10,0)</f>
        <v>7.0773221404400424</v>
      </c>
      <c r="AU18" s="265">
        <f>MF_OP2!$M$46</f>
        <v>99.778498309127855</v>
      </c>
      <c r="AV18" s="213">
        <f>IF(AW18&lt;&gt;"",IF(AW18&lt;=MF_VF!$K$47,0,IF(AW18&gt;=MF_VF!$L$47,MF_VF!$D$47,SQRT((AW18-MF_VF!$K$47)/(MF_VF!$L$47-MF_VF!$K$47))*MF_VF!$D$47))*Service_Weights!$F$10,0)</f>
        <v>0.83909600292291653</v>
      </c>
      <c r="AW18" s="215">
        <f>MF_OP2!$M$47</f>
        <v>32117.068095962622</v>
      </c>
      <c r="AX18" s="213">
        <f>IF(AY18&lt;&gt;"",IF(AY18&lt;=MF_VF!$K$48,0,IF(AY18&gt;=MF_VF!$L$48,MF_VF!$D$48,SQRT((AY18-MF_VF!$K$48)/(MF_VF!$L$48-MF_VF!$K$48))*MF_VF!$D$48))*Service_Weights!$F$10,0)</f>
        <v>1.3566665644640308</v>
      </c>
      <c r="AY18" s="215">
        <f>MF_OP2!$M$48</f>
        <v>11270.961145194275</v>
      </c>
      <c r="AZ18" s="214">
        <f>IF(BA18&lt;&gt;"",IF(BA18&lt;=MF_VF!$K$49,0,IF(BA18&gt;=MF_VF!$L$49,MF_VF!$D$49,SQRT((BA18-MF_VF!$K$49)/(MF_VF!$L$49-MF_VF!$K$49))*MF_VF!$D$49))*Service_Weights!$F$10,0)</f>
        <v>0.44118519453465099</v>
      </c>
      <c r="BA18" s="215">
        <f>MF_OP2!$M$49</f>
        <v>57736.413043478264</v>
      </c>
      <c r="BB18" s="218"/>
      <c r="BC18" s="217"/>
      <c r="BD18" s="214">
        <f>IF(BE18&lt;&gt;"",IF(BE18&lt;=(0.9*MF_VF!$K$54+0.1*MF_VF!$L$54),0.1*MF_VF!$D$54*BE18/(0.9*MF_VF!$K$54+0.1*MF_VF!$L$54),IF(BE18&gt;=MF_VF!$L$54,MF_VF!$D$54,(BE18-MF_VF!$K$54)/(MF_VF!$L$54-MF_VF!$K$54)*MF_VF!$D$54))*Service_Weights!$F$11,0)</f>
        <v>7.0797042723929007</v>
      </c>
      <c r="BE18" s="265">
        <f>MF_OP2!$M$54</f>
        <v>99.782799380709406</v>
      </c>
      <c r="BF18" s="213">
        <f>IF(BG18&lt;&gt;"",IF(BG18&lt;=MF_VF!$K$55,0,IF(BG18&gt;=MF_VF!$L$55,MF_VF!$D$55,SQRT((BG18-MF_VF!$K$55)/(MF_VF!$L$55-MF_VF!$K$55))*MF_VF!$D$55))*Service_Weights!$F$11,0)</f>
        <v>1.0309359562545668</v>
      </c>
      <c r="BG18" s="215">
        <f>MF_OP2!$M$55</f>
        <v>19889.12872437021</v>
      </c>
      <c r="BH18" s="213">
        <f>IF(BI18&lt;&gt;"",IF(BI18&lt;=MF_VF!$K$56,0,IF(BI18&gt;=MF_VF!$L$56,MF_VF!$D$56,SQRT((BI18-MF_VF!$K$56)/(MF_VF!$L$56-MF_VF!$K$56))*MF_VF!$D$56))*Service_Weights!$F$11,0)</f>
        <v>1.382493560763588</v>
      </c>
      <c r="BI18" s="215">
        <f>MF_OP2!$M$56</f>
        <v>3360.9725685785529</v>
      </c>
      <c r="BJ18" s="214">
        <f>IF(BK18&lt;&gt;"",IF(BK18&lt;=MF_VF!$K$57,0,IF(BK18&gt;=MF_VF!$L$57,MF_VF!$D$57,SQRT((BK18-MF_VF!$K$57)/(MF_VF!$L$57-MF_VF!$K$57))*MF_VF!$D$57))*Service_Weights!$F$11,0)</f>
        <v>0.76392515043555198</v>
      </c>
      <c r="BK18" s="215">
        <f>MF_OP2!$M$57</f>
        <v>37162.931034482775</v>
      </c>
      <c r="BL18" s="218"/>
      <c r="BM18" s="217"/>
      <c r="BN18" s="213">
        <f>IF(BO18&lt;&gt;"",IF(BO18&lt;=(0.9*MF_VF!$K$62+0.1*MF_VF!$L$62),0.1*MF_VF!$D$62*BO18/(0.9*MF_VF!$K$62+0.1*MF_VF!$L$62),IF(BO18&gt;=MF_VF!$L$62,MF_VF!$D$62,(BO18-MF_VF!$K$62)/(MF_VF!$L$62-MF_VF!$K$62)*MF_VF!$D$62))*Service_Weights!$F$12,0)</f>
        <v>15.144637491338825</v>
      </c>
      <c r="BO18" s="265">
        <f>MF_OP2!$M$62</f>
        <v>98.767852264853474</v>
      </c>
      <c r="BP18" s="213">
        <f>IF(AND(BQ18&lt;&gt;"",BQ18&lt;&gt;0),IF(BQ18&lt;=MF_VF!$K$63,MF_VF!$D$63,IF(BQ18&gt;=MF_VF!$L$63,0,MF_VF!$D$63-(BQ18-MF_VF!$K$63)/(MF_VF!$L$63-MF_VF!$K$63)*MF_VF!$D$63))*Service_Weights!$F$12,0)</f>
        <v>1.4548807510234949</v>
      </c>
      <c r="BQ18" s="265">
        <f>MF_OP2!$M$63</f>
        <v>1.1052782476118455</v>
      </c>
      <c r="BR18" s="213">
        <f>IF(BS18&lt;&gt;"",IF(BS18&lt;=MF_VF!$K$64,0,IF(BS18&gt;=MF_VF!$L$64,MF_VF!$D$64,(BS18-MF_VF!$K$64)/(MF_VF!$L$64-MF_VF!$K$64)*MF_VF!$D$64))*Service_Weights!$F$12,0)</f>
        <v>4.4305998642195528</v>
      </c>
      <c r="BS18" s="265">
        <f>MF_OP2!$M$64</f>
        <v>99.845777476043452</v>
      </c>
      <c r="BT18" s="213">
        <f>IF(BU18&lt;&gt;"",IF(BU18&lt;=MF_VF!$K$65,0,IF(BU18&gt;=MF_VF!$L$65,MF_VF!$D$65,(BU18-MF_VF!$K$65)/(MF_VF!$L$65-MF_VF!$K$65)*MF_VF!$D$65))*Service_Weights!$F$12,0)</f>
        <v>6.3484982425012948</v>
      </c>
      <c r="BU18" s="265">
        <f>MF_OP2!$M$65</f>
        <v>639.33392267005695</v>
      </c>
      <c r="BV18" s="214" t="e">
        <f>IF(BW18&lt;&gt;"",IF(BW18&lt;=MF_VF!#REF!,0,IF(BW18&gt;=MF_VF!#REF!,MF_VF!#REF!,(BW18-MF_VF!#REF!)/(MF_VF!#REF!-MF_VF!#REF!)*MF_VF!#REF!))*Service_Weights!$F$12,0)</f>
        <v>#REF!</v>
      </c>
      <c r="BW18" s="265" t="e">
        <f>MF_OP2!#REF!</f>
        <v>#REF!</v>
      </c>
    </row>
    <row r="19" spans="2:75" x14ac:dyDescent="0.35">
      <c r="B19" s="327"/>
      <c r="C19" s="200" t="str">
        <f>IF(CONFIG!$E$16 &lt;&gt; 0,CONFIG!$E$16,"")</f>
        <v>YOIGO</v>
      </c>
      <c r="D19" s="201"/>
      <c r="E19" s="219">
        <f>IF(F19&lt;&gt;"",IF(F19&lt;=(0.9*MF_VF!$K$6+0.1*MF_VF!$L$6),0.1*MF_VF!$D$6*F19/(0.9*MF_VF!$K$6+0.1*MF_VF!$L$6),IF(F19&gt;=MF_VF!$L$6,MF_VF!$D$6,(F19-MF_VF!$K$6)/(MF_VF!$L$6-MF_VF!$K$6)*MF_VF!$D$6))*Service_Weights!$F$2,0)</f>
        <v>46.133235290049122</v>
      </c>
      <c r="F19" s="266">
        <f>MF_OP3!$M$6</f>
        <v>97.709501049475691</v>
      </c>
      <c r="G19" s="219">
        <f>IF(AND(H19&lt;&gt;"",H19&lt;&gt;0),IF(H19&lt;=MF_VF!$K$7,MF_VF!$D$7,IF(H19&gt;=MF_VF!$L$7,0,MF_VF!$D$7-(H19-MF_VF!$K$7)/(MF_VF!$L$7-MF_VF!$K$7)*MF_VF!$D$7))*Service_Weights!$F$2,0)</f>
        <v>4.1740197922861295</v>
      </c>
      <c r="H19" s="266">
        <f>MF_OP3!$M$7</f>
        <v>7.7390726125116798</v>
      </c>
      <c r="I19" s="220">
        <f>IF(J19&lt;&gt;"",IF(J19&lt;=MF_VF!$K$8,0,IF(J19&gt;=MF_VF!$L$8,MF_VF!$D$8,SQRT((J19-MF_VF!$K$8)/(MF_VF!$L$8-MF_VF!$K$8))*MF_VF!$D$8))*Service_Weights!$F$2,0)</f>
        <v>7.0256286634850973</v>
      </c>
      <c r="J19" s="266">
        <f>MF_OP3!$M$8</f>
        <v>2.8512706279350586</v>
      </c>
      <c r="K19" s="216"/>
      <c r="L19" s="216"/>
      <c r="M19" s="222"/>
      <c r="N19" s="220">
        <f>IF(O19&lt;&gt;"",IF(O19&lt;=(0.9*MF_VF!$K$17+0.1*MF_VF!$L$17),0.1*MF_VF!$D$17*O19/(0.9*MF_VF!$K$17+0.1*MF_VF!$L$17),IF(O19&gt;=MF_VF!$L$17,MF_VF!$D$17,(O19-MF_VF!$K$17)/(MF_VF!$L$17-MF_VF!$K$17)*MF_VF!$D$17))*Service_Weights!$F$7,0)</f>
        <v>15.92976272717075</v>
      </c>
      <c r="O19" s="266">
        <f>MF_OP3!$M$17</f>
        <v>98.504828636289986</v>
      </c>
      <c r="P19" s="220">
        <f>IF(AND(Q19&lt;&gt;"",Q19&lt;&gt;0),IF(Q19&lt;=MF_VF!$K$18,MF_VF!$D$18,IF(Q19&gt;=MF_VF!$L$18,0,MF_VF!$D$18-(Q19-MF_VF!$K$18)/(MF_VF!$L$18-MF_VF!$K$18)*MF_VF!$D$18))*Service_Weights!$F$7,0)</f>
        <v>9.5499658795553977</v>
      </c>
      <c r="Q19" s="266">
        <f>MF_OP3!$M$18</f>
        <v>2.8375255903334518</v>
      </c>
      <c r="R19" s="223"/>
      <c r="S19" s="222"/>
      <c r="T19" s="220">
        <f>IF(U19&lt;&gt;"",IF(U19&lt;=(0.9*MF_VF!$K$24+0.1*MF_VF!$L$24),0.1*MF_VF!$D$24*U19/(0.9*MF_VF!$K$24+0.1*MF_VF!$L$24),IF(U19&gt;=MF_VF!$L$24,MF_VF!$D$24,(U19-MF_VF!$K$24)/(MF_VF!$L$24-MF_VF!$K$24)*MF_VF!$D$24))*Service_Weights!$F$6,0)</f>
        <v>6.3719050908682995</v>
      </c>
      <c r="U19" s="266">
        <f>MF_OP3!$M$24</f>
        <v>98.504828636289986</v>
      </c>
      <c r="V19" s="220">
        <f>IF(AND(W19&lt;&gt;"",W19&lt;&gt;0),IF(W19&lt;=MF_VF!$K$25,MF_VF!$D$25,IF(W19&gt;=MF_VF!$L$25,0,MF_VF!$D$25-(W19-MF_VF!$K$25)/(MF_VF!$L$25-MF_VF!$K$25)*MF_VF!$D$25))*Service_Weights!$F$6,0)</f>
        <v>2.5949692915998579</v>
      </c>
      <c r="W19" s="266">
        <f>MF_OP3!$M$25</f>
        <v>2.8375255903334518</v>
      </c>
      <c r="X19" s="223"/>
      <c r="Y19" s="222"/>
      <c r="Z19" s="220">
        <f>IF(AA19&lt;&gt;"",IF(AA19&lt;=(0.9*MF_VF!$K$30+0.1*MF_VF!$L$30),0.1*MF_VF!$D$30*AA19/(0.9*MF_VF!$K$30+0.1*MF_VF!$L$30),IF(AA19&gt;=MF_VF!$L$30,MF_VF!$D$30,(AA19-MF_VF!$K$30)/(MF_VF!$L$30-MF_VF!$K$30)*MF_VF!$D$30))*Service_Weights!$F$8,0)</f>
        <v>6.7867033470315832</v>
      </c>
      <c r="AA19" s="266">
        <f>MF_OP3!$M$30</f>
        <v>99.253769932140358</v>
      </c>
      <c r="AB19" s="219">
        <f>IF(AND(AC19&lt;&gt;"",AC19&lt;&gt;0),IF(AC19&lt;=MF_VF!$K$31,MF_VF!$D$31,IF(AC19&gt;=MF_VF!$L$31,0,SQRT((AC19-MF_VF!$L$31)/(MF_VF!$K$31-MF_VF!$L$31))*MF_VF!$D$31))*Service_Weights!$F$8,0)</f>
        <v>1.3173756936651575</v>
      </c>
      <c r="AC19" s="266">
        <f>MF_OP3!$M$31</f>
        <v>2.8751903645895154</v>
      </c>
      <c r="AD19" s="219">
        <f>IF(AE19&lt;&gt;"",IF(AE19&lt;=MF_VF!$K$32,0,IF(AE19&gt;=MF_VF!$L$32,MF_VF!$D$32,SQRT((AE19-MF_VF!$K$32)/(MF_VF!$L$32-MF_VF!$K$32))*MF_VF!$D$32))*Service_Weights!$F$8,0)</f>
        <v>0.819531471462843</v>
      </c>
      <c r="AE19" s="221">
        <f>MF_OP3!$M$32</f>
        <v>3254.293262879788</v>
      </c>
      <c r="AF19" s="220">
        <f>IF(AG19&lt;&gt;"",IF(AG19&lt;=MF_VF!$K$33,0,IF(AG19&gt;=MF_VF!$L$33,MF_VF!$D$33,SQRT((AG19-MF_VF!$K$33)/(MF_VF!$L$33-MF_VF!$K$33))*MF_VF!$D$33))*Service_Weights!$F$8,0)</f>
        <v>0</v>
      </c>
      <c r="AG19" s="221">
        <f>MF_OP3!$M$33</f>
        <v>13871.521035598706</v>
      </c>
      <c r="AH19" s="223"/>
      <c r="AI19" s="222"/>
      <c r="AJ19" s="220">
        <f>IF(AK19&lt;&gt;"",IF(AK19&lt;=(0.9*MF_VF!$K$38+0.1*MF_VF!$L$38),0.1*MF_VF!$D$38*AK19/(0.9*MF_VF!$K$38+0.1*MF_VF!$L$38),IF(AK19&gt;=MF_VF!$L$38,MF_VF!$D$38,(AK19-MF_VF!$K$38)/(MF_VF!$L$38-MF_VF!$K$38)*MF_VF!$D$38))*Service_Weights!$F$9,0)</f>
        <v>5.7941542484616217</v>
      </c>
      <c r="AK19" s="266">
        <f>MF_OP3!$M$38</f>
        <v>97.461667393055706</v>
      </c>
      <c r="AL19" s="219">
        <f>IF(AND(AM19&lt;&gt;"",AM19&lt;&gt;0),IF(AM19&lt;=MF_VF!$K$39,MF_VF!$D$39,IF(AM19&gt;=MF_VF!$L$39,0,SQRT((AM19-MF_VF!$L$39)/(MF_VF!$K$39-MF_VF!$L$39))*MF_VF!$D$39))*Service_Weights!$F$9,0)</f>
        <v>1.3989030557425821</v>
      </c>
      <c r="AM19" s="266">
        <f>MF_OP3!$M$39</f>
        <v>1.5063812527520233</v>
      </c>
      <c r="AN19" s="219">
        <f>IF(AO19&lt;&gt;"",IF(AO19&lt;=MF_VF!$K$40,0,IF(AO19&gt;=MF_VF!$L$40,MF_VF!$D$40,SQRT((AO19-MF_VF!$K$40)/(MF_VF!$L$40-MF_VF!$K$40))*MF_VF!$D$40))*Service_Weights!$F$9,0)</f>
        <v>0.87413480770186625</v>
      </c>
      <c r="AO19" s="221">
        <f>MF_OP3!$M$40</f>
        <v>1394.3254198031273</v>
      </c>
      <c r="AP19" s="220">
        <f>IF(AQ19&lt;&gt;"",IF(AQ19&lt;=MF_VF!$K$41,0,IF(AQ19&gt;=MF_VF!$L$41,MF_VF!$D$41,SQRT((AQ19-MF_VF!$K$41)/(MF_VF!$L$41-MF_VF!$K$41))*MF_VF!$D$41))*Service_Weights!$F$9,0)</f>
        <v>0</v>
      </c>
      <c r="AQ19" s="221">
        <f>MF_OP3!$M$41</f>
        <v>9252.1200260926289</v>
      </c>
      <c r="AR19" s="223"/>
      <c r="AS19" s="222"/>
      <c r="AT19" s="220">
        <f>IF(AU19&lt;&gt;"",IF(AU19&lt;=(0.9*MF_VF!$K$46+0.1*MF_VF!$L$46),0.1*MF_VF!$D$46*AU19/(0.9*MF_VF!$K$46+0.1*MF_VF!$L$46),IF(AU19&gt;=MF_VF!$L$46,MF_VF!$D$46,(AU19-MF_VF!$K$46)/(MF_VF!$L$46-MF_VF!$K$46)*MF_VF!$D$46))*Service_Weights!$F$10,0)</f>
        <v>6.669183403957712</v>
      </c>
      <c r="AU19" s="266">
        <f>MF_OP3!$M$46</f>
        <v>99.041581146034758</v>
      </c>
      <c r="AV19" s="219">
        <f>IF(AW19&lt;&gt;"",IF(AW19&lt;=MF_VF!$K$47,0,IF(AW19&gt;=MF_VF!$L$47,MF_VF!$D$47,SQRT((AW19-MF_VF!$K$47)/(MF_VF!$L$47-MF_VF!$K$47))*MF_VF!$D$47))*Service_Weights!$F$10,0)</f>
        <v>0.50846662584485369</v>
      </c>
      <c r="AW19" s="221">
        <f>MF_OP3!$M$47</f>
        <v>16539.365087701899</v>
      </c>
      <c r="AX19" s="219">
        <f>IF(AY19&lt;&gt;"",IF(AY19&lt;=MF_VF!$K$48,0,IF(AY19&gt;=MF_VF!$L$48,MF_VF!$D$48,SQRT((AY19-MF_VF!$K$48)/(MF_VF!$L$48-MF_VF!$K$48))*MF_VF!$D$48))*Service_Weights!$F$10,0)</f>
        <v>0.94446260777453217</v>
      </c>
      <c r="AY19" s="221">
        <f>MF_OP3!$M$48</f>
        <v>5528.3748925193495</v>
      </c>
      <c r="AZ19" s="220">
        <f>IF(BA19&lt;&gt;"",IF(BA19&lt;=MF_VF!$K$49,0,IF(BA19&gt;=MF_VF!$L$49,MF_VF!$D$49,SQRT((BA19-MF_VF!$K$49)/(MF_VF!$L$49-MF_VF!$K$49))*MF_VF!$D$49))*Service_Weights!$F$10,0)</f>
        <v>0.1996345683173783</v>
      </c>
      <c r="BA19" s="221">
        <f>MF_OP3!$M$49</f>
        <v>31702.868852459014</v>
      </c>
      <c r="BB19" s="223"/>
      <c r="BC19" s="222"/>
      <c r="BD19" s="220">
        <f>IF(BE19&lt;&gt;"",IF(BE19&lt;=(0.9*MF_VF!$K$54+0.1*MF_VF!$L$54),0.1*MF_VF!$D$54*BE19/(0.9*MF_VF!$K$54+0.1*MF_VF!$L$54),IF(BE19&gt;=MF_VF!$L$54,MF_VF!$D$54,(BE19-MF_VF!$K$54)/(MF_VF!$L$54-MF_VF!$K$54)*MF_VF!$D$54))*Service_Weights!$F$11,0)</f>
        <v>6.6985252884741406</v>
      </c>
      <c r="BE19" s="266">
        <f>MF_OP3!$M$54</f>
        <v>99.094559548633868</v>
      </c>
      <c r="BF19" s="219">
        <f>IF(BG19&lt;&gt;"",IF(BG19&lt;=MF_VF!$K$55,0,IF(BG19&gt;=MF_VF!$L$55,MF_VF!$D$55,SQRT((BG19-MF_VF!$K$55)/(MF_VF!$L$55-MF_VF!$K$55))*MF_VF!$D$55))*Service_Weights!$F$11,0)</f>
        <v>0.75611889221975159</v>
      </c>
      <c r="BG19" s="221">
        <f>MF_OP3!$M$55</f>
        <v>12547.062670872087</v>
      </c>
      <c r="BH19" s="219">
        <f>IF(BI19&lt;&gt;"",IF(BI19&lt;=MF_VF!$K$56,0,IF(BI19&gt;=MF_VF!$L$56,MF_VF!$D$56,SQRT((BI19-MF_VF!$K$56)/(MF_VF!$L$56-MF_VF!$K$56))*MF_VF!$D$56))*Service_Weights!$F$11,0)</f>
        <v>1.0868461226158737</v>
      </c>
      <c r="BI19" s="221">
        <f>MF_OP3!$M$56</f>
        <v>2101.6295025728982</v>
      </c>
      <c r="BJ19" s="220">
        <f>IF(BK19&lt;&gt;"",IF(BK19&lt;=MF_VF!$K$57,0,IF(BK19&gt;=MF_VF!$L$57,MF_VF!$D$57,SQRT((BK19-MF_VF!$K$57)/(MF_VF!$L$57-MF_VF!$K$57))*MF_VF!$D$57))*Service_Weights!$F$11,0)</f>
        <v>0.46878493859828374</v>
      </c>
      <c r="BK19" s="221">
        <f>MF_OP3!$M$57</f>
        <v>23345.894263217106</v>
      </c>
      <c r="BL19" s="223"/>
      <c r="BM19" s="222"/>
      <c r="BN19" s="219">
        <f>IF(BO19&lt;&gt;"",IF(BO19&lt;=(0.9*MF_VF!$K$62+0.1*MF_VF!$L$62),0.1*MF_VF!$D$62*BO19/(0.9*MF_VF!$K$62+0.1*MF_VF!$L$62),IF(BO19&gt;=MF_VF!$L$62,MF_VF!$D$62,(BO19-MF_VF!$K$62)/(MF_VF!$L$62-MF_VF!$K$62)*MF_VF!$D$62))*Service_Weights!$F$12,0)</f>
        <v>14.879086145647435</v>
      </c>
      <c r="BO19" s="266">
        <f>MF_OP3!$M$62</f>
        <v>98.526441950588577</v>
      </c>
      <c r="BP19" s="219">
        <f>IF(AND(BQ19&lt;&gt;"",BQ19&lt;&gt;0),IF(BQ19&lt;=MF_VF!$K$63,MF_VF!$D$63,IF(BQ19&gt;=MF_VF!$L$63,0,MF_VF!$D$63-(BQ19-MF_VF!$K$63)/(MF_VF!$L$63-MF_VF!$K$63)*MF_VF!$D$63))*Service_Weights!$F$12,0)</f>
        <v>1.4461386736892377</v>
      </c>
      <c r="BQ19" s="266">
        <f>MF_OP3!$M$63</f>
        <v>1.1256764280584455</v>
      </c>
      <c r="BR19" s="219">
        <f>IF(BS19&lt;&gt;"",IF(BS19&lt;=MF_VF!$K$64,0,IF(BS19&gt;=MF_VF!$L$64,MF_VF!$D$64,(BS19-MF_VF!$K$64)/(MF_VF!$L$64-MF_VF!$K$64)*MF_VF!$D$64))*Service_Weights!$F$12,0)</f>
        <v>4.2661082207759833</v>
      </c>
      <c r="BS19" s="266">
        <f>MF_OP3!$M$64</f>
        <v>99.480240490613298</v>
      </c>
      <c r="BT19" s="219">
        <f>IF(BU19&lt;&gt;"",IF(BU19&lt;=MF_VF!$K$65,0,IF(BU19&gt;=MF_VF!$L$65,MF_VF!$D$65,(BU19-MF_VF!$K$65)/(MF_VF!$L$65-MF_VF!$K$65)*MF_VF!$D$65))*Service_Weights!$F$12,0)</f>
        <v>4.8053231214947054</v>
      </c>
      <c r="BU19" s="266">
        <f>MF_OP3!$M$65</f>
        <v>571.43421734576702</v>
      </c>
      <c r="BV19" s="220" t="e">
        <f>IF(BW19&lt;&gt;"",IF(BW19&lt;=MF_VF!#REF!,0,IF(BW19&gt;=MF_VF!#REF!,MF_VF!#REF!,(BW19-MF_VF!#REF!)/(MF_VF!#REF!-MF_VF!#REF!)*MF_VF!#REF!))*Service_Weights!$F$12,0)</f>
        <v>#REF!</v>
      </c>
      <c r="BW19" s="266" t="e">
        <f>MF_OP3!#REF!</f>
        <v>#REF!</v>
      </c>
    </row>
    <row r="20" spans="2:75" x14ac:dyDescent="0.35">
      <c r="O20" s="267"/>
      <c r="Q20" s="267"/>
      <c r="U20" s="267"/>
      <c r="W20" s="267"/>
      <c r="AA20" s="267"/>
      <c r="AC20" s="267"/>
      <c r="AE20" s="268"/>
      <c r="AG20" s="268"/>
      <c r="AK20" s="267"/>
      <c r="AM20" s="267"/>
      <c r="AU20" s="267"/>
      <c r="BE20" s="267"/>
      <c r="BO20" s="267"/>
      <c r="BQ20" s="267"/>
      <c r="BS20" s="267"/>
      <c r="BU20" s="267"/>
      <c r="BW20" s="267"/>
    </row>
    <row r="21" spans="2:75" x14ac:dyDescent="0.35">
      <c r="B21" s="325" t="s">
        <v>650</v>
      </c>
      <c r="C21" s="196" t="str">
        <f>CONFIG!$B$16</f>
        <v>VODAFONE</v>
      </c>
      <c r="D21" s="197"/>
      <c r="E21" s="207">
        <f>IF(F21&lt;&gt;"",IF(F21&lt;=(0.9*MF_VF!$O$6+0.1*MF_VF!$P$6),0.1*MF_VF!$D$6*F21/(0.9*MF_VF!$O$6+0.1*MF_VF!$P$6),IF(F21&gt;=MF_VF!$P$6,MF_VF!$D$6,(F21-MF_VF!$O$6)/(MF_VF!$P$6-MF_VF!$O$6)*MF_VF!$D$6))*Service_Weights!$G$2,0)</f>
        <v>41.893917673561333</v>
      </c>
      <c r="F21" s="264">
        <f>MF_VF!$Q$6</f>
        <v>94.962113454843333</v>
      </c>
      <c r="G21" s="207">
        <f>IF(AND(H21&lt;&gt;"",H21&lt;&gt;0),IF(H21&lt;=MF_VF!$O$7,MF_VF!$D$7,IF(H21&gt;=MF_VF!$P$7,0,MF_VF!$D$7-(H21-MF_VF!$O$7)/(MF_VF!$P$7-MF_VF!$O$7)*MF_VF!$D$7))*Service_Weights!$G$2,0)</f>
        <v>7.6958219844728166</v>
      </c>
      <c r="H21" s="264">
        <f>MF_VF!$Q$7</f>
        <v>5.8314297584105574</v>
      </c>
      <c r="I21" s="208">
        <f>IF(J21&lt;&gt;"",IF(J21&lt;=MF_VF!$O$8,0,IF(J21&gt;=MF_VF!$P$8,MF_VF!$D$8,SQRT((J21-MF_VF!$O$8)/(MF_VF!$P$8-MF_VF!$O$8))*MF_VF!$D$8))*Service_Weights!$G$2,0)</f>
        <v>10.127510684110149</v>
      </c>
      <c r="J21" s="264">
        <f>MF_VF!$Q$8</f>
        <v>3.5533076253323186</v>
      </c>
      <c r="K21" s="210"/>
      <c r="L21" s="210"/>
      <c r="M21" s="211"/>
      <c r="N21" s="208">
        <f>IF(O21&lt;&gt;"",IF(O21&lt;=(0.9*MF_VF!$O$17+0.1*MF_VF!$P$17),0.1*MF_VF!$D$17*O21/(0.9*MF_VF!$O$17+0.1*MF_VF!$P$17),IF(O21&gt;=MF_VF!$P$17,MF_VF!$D$17,(O21-MF_VF!$O$17)/(MF_VF!$P$17-MF_VF!$O$17)*MF_VF!$D$17))*Service_Weights!$G$7,0)</f>
        <v>15.460888917981283</v>
      </c>
      <c r="O21" s="264">
        <f>MF_VF!$Q$17</f>
        <v>97.178765464423648</v>
      </c>
      <c r="P21" s="208">
        <f>IF(AND(Q21&lt;&gt;"",Q21&lt;&gt;0),IF(Q21&lt;=MF_VF!$O$18,MF_VF!$D$18,IF(Q21&gt;=MF_VF!$P$18,0,MF_VF!$D$18-(Q21-MF_VF!$O$18)/(MF_VF!$P$18-MF_VF!$O$18)*MF_VF!$D$18))*Service_Weights!$G$7,0)</f>
        <v>10.225209011024802</v>
      </c>
      <c r="Q21" s="264">
        <f>MF_VF!$Q$18</f>
        <v>2.7571436171907653</v>
      </c>
      <c r="R21" s="212"/>
      <c r="S21" s="211"/>
      <c r="T21" s="208">
        <f>IF(U21&lt;&gt;"",IF(U21&lt;=(0.9*MF_VF!$O$24+0.1*MF_VF!$P$24),0.1*MF_VF!$D$24*U21/(0.9*MF_VF!$O$24+0.1*MF_VF!$P$24),IF(U21&gt;=MF_VF!$P$24,MF_VF!$D$24,(U21-MF_VF!$O$24)/(MF_VF!$P$24-MF_VF!$O$24)*MF_VF!$D$24))*Service_Weights!$G$6,0)</f>
        <v>6.1843555671925134</v>
      </c>
      <c r="U21" s="264">
        <f>MF_VF!$Q$24</f>
        <v>97.178765464423648</v>
      </c>
      <c r="V21" s="208">
        <f>IF(AND(W21&lt;&gt;"",W21&lt;&gt;0),IF(W21&lt;=MF_VF!$O$25,MF_VF!$D$25,IF(W21&gt;=MF_VF!$P$25,0,MF_VF!$D$25-(W21-MF_VF!$O$25)/(MF_VF!$P$25-MF_VF!$O$25)*MF_VF!$D$25))*Service_Weights!$G$6,0)</f>
        <v>2.6914276593710817</v>
      </c>
      <c r="W21" s="264">
        <f>MF_VF!$Q$25</f>
        <v>2.7571436171907653</v>
      </c>
      <c r="X21" s="212"/>
      <c r="Y21" s="211"/>
      <c r="Z21" s="208">
        <f>IF(AA21&lt;&gt;"",IF(AA21&lt;=(0.9*MF_VF!$O$30+0.1*MF_VF!$P$30),0.1*MF_VF!$D$30*AA21/(0.9*MF_VF!$O$30+0.1*MF_VF!$P$30),IF(AA21&gt;=MF_VF!$P$30,MF_VF!$D$30,(AA21-MF_VF!$O$30)/(MF_VF!$P$30-MF_VF!$O$30)*MF_VF!$D$30))*Service_Weights!$G$8,0)</f>
        <v>6.8609105180533767</v>
      </c>
      <c r="AA21" s="264">
        <f>MF_VF!$Q$30</f>
        <v>99.058084772370492</v>
      </c>
      <c r="AB21" s="207">
        <f>IF(AND(AC21&lt;&gt;"",AC21&lt;&gt;0),IF(AC21&lt;=MF_VF!$O$31,MF_VF!$D$31,IF(AC21&gt;=MF_VF!$P$31,0,SQRT((AC21-MF_VF!$P$31)/(MF_VF!$O$31-MF_VF!$P$31))*MF_VF!$D$31))*Service_Weights!$G$8,0)</f>
        <v>1.44</v>
      </c>
      <c r="AC21" s="264">
        <f>MF_VF!$Q$31</f>
        <v>1.3399228415919417</v>
      </c>
      <c r="AD21" s="207">
        <f>IF(AE21&lt;&gt;"",IF(AE21&lt;=MF_VF!$O$32,0,IF(AE21&gt;=MF_VF!$P$32,MF_VF!$D$32,SQRT((AE21-MF_VF!$O$32)/(MF_VF!$P$32-MF_VF!$O$32))*MF_VF!$D$32))*Service_Weights!$G$8,0)</f>
        <v>1.4502178516834872</v>
      </c>
      <c r="AE21" s="209">
        <f>MF_VF!$Q$32</f>
        <v>3895.0617283950623</v>
      </c>
      <c r="AF21" s="208">
        <f>IF(AG21&lt;&gt;"",IF(AG21&lt;=MF_VF!$O$33,0,IF(AG21&gt;=MF_VF!$P$33,MF_VF!$D$33,SQRT((AG21-MF_VF!$O$33)/(MF_VF!$P$33-MF_VF!$O$33))*MF_VF!$D$33))*Service_Weights!$G$8,0)</f>
        <v>0.65386951797331361</v>
      </c>
      <c r="AG21" s="209">
        <f>MF_VF!$Q$33</f>
        <v>35876.237623762376</v>
      </c>
      <c r="AH21" s="212"/>
      <c r="AI21" s="211"/>
      <c r="AJ21" s="208">
        <f>IF(AK21&lt;&gt;"",IF(AK21&lt;=(0.9*MF_VF!$O$38+0.1*MF_VF!$P$38),0.1*MF_VF!$D$38*AK21/(0.9*MF_VF!$O$38+0.1*MF_VF!$P$38),IF(AK21&gt;=MF_VF!$P$38,MF_VF!$D$38,(AK21-MF_VF!$O$38)/(MF_VF!$P$38-MF_VF!$O$38)*MF_VF!$D$38))*Service_Weights!$G$9,0)</f>
        <v>5.4462022001047643</v>
      </c>
      <c r="AK21" s="264">
        <f>MF_VF!$Q$38</f>
        <v>95.12833944473546</v>
      </c>
      <c r="AL21" s="207">
        <f>IF(AND(AM21&lt;&gt;"",AM21&lt;&gt;0),IF(AM21&lt;=MF_VF!$O$39,MF_VF!$D$39,IF(AM21&gt;=MF_VF!$P$39,0,SQRT((AM21-MF_VF!$P$39)/(MF_VF!$O$39-MF_VF!$P$39))*MF_VF!$D$39))*Service_Weights!$G$9,0)</f>
        <v>1.44</v>
      </c>
      <c r="AM21" s="264">
        <f>MF_VF!$Q$39</f>
        <v>1.3758248305402809</v>
      </c>
      <c r="AN21" s="207">
        <f>IF(AO21&lt;&gt;"",IF(AO21&lt;=MF_VF!$O$40,0,IF(AO21&gt;=MF_VF!$P$40,MF_VF!$D$40,SQRT((AO21-MF_VF!$O$40)/(MF_VF!$P$40-MF_VF!$O$40))*MF_VF!$D$40))*Service_Weights!$G$9,0)</f>
        <v>0.90660176431258777</v>
      </c>
      <c r="AO21" s="209">
        <f>MF_VF!$Q$40</f>
        <v>1185.3785900783294</v>
      </c>
      <c r="AP21" s="208">
        <f>IF(AQ21&lt;&gt;"",IF(AQ21&lt;=MF_VF!$O$41,0,IF(AQ21&gt;=MF_VF!$P$41,MF_VF!$D$41,SQRT((AQ21-MF_VF!$O$41)/(MF_VF!$P$41-MF_VF!$O$41))*MF_VF!$D$41))*Service_Weights!$G$9,0)</f>
        <v>0.54231376813388177</v>
      </c>
      <c r="AQ21" s="209">
        <f>MF_VF!$Q$41</f>
        <v>11382.470119521911</v>
      </c>
      <c r="AR21" s="212"/>
      <c r="AS21" s="211"/>
      <c r="AT21" s="208">
        <f>IF(AU21&lt;&gt;"",IF(AU21&lt;=(0.9*MF_VF!$O$46+0.1*MF_VF!$P$46),0.1*MF_VF!$D$46*AU21/(0.9*MF_VF!$O$46+0.1*MF_VF!$P$46),IF(AU21&gt;=MF_VF!$P$46,MF_VF!$D$46,(AU21-MF_VF!$O$46)/(MF_VF!$P$46-MF_VF!$O$46)*MF_VF!$D$46))*Service_Weights!$G$10,0)</f>
        <v>6.7478806907378344</v>
      </c>
      <c r="AU21" s="264">
        <f>MF_VF!$Q$46</f>
        <v>98.744113029827318</v>
      </c>
      <c r="AV21" s="207">
        <f>IF(AW21&lt;&gt;"",IF(AW21&lt;=MF_VF!$O$47,0,IF(AW21&gt;=MF_VF!$P$47,MF_VF!$D$47,SQRT((AW21-MF_VF!$O$47)/(MF_VF!$P$47-MF_VF!$O$47))*MF_VF!$D$47))*Service_Weights!$G$10,0)</f>
        <v>1.0086914976323491</v>
      </c>
      <c r="AW21" s="209">
        <f>MF_VF!$Q$47</f>
        <v>26570.935918309413</v>
      </c>
      <c r="AX21" s="207">
        <f>IF(AY21&lt;&gt;"",IF(AY21&lt;=MF_VF!$O$48,0,IF(AY21&gt;=MF_VF!$P$48,MF_VF!$D$48,SQRT((AY21-MF_VF!$O$48)/(MF_VF!$P$48-MF_VF!$O$48))*MF_VF!$D$48))*Service_Weights!$G$10,0)</f>
        <v>1.501893444827274</v>
      </c>
      <c r="AY21" s="209">
        <f>MF_VF!$Q$48</f>
        <v>4777.2151898734182</v>
      </c>
      <c r="AZ21" s="208">
        <f>IF(BA21&lt;&gt;"",IF(BA21&lt;=MF_VF!$O$49,0,IF(BA21&gt;=MF_VF!$P$49,MF_VF!$D$49,SQRT((BA21-MF_VF!$O$49)/(MF_VF!$P$49-MF_VF!$O$49))*MF_VF!$D$49))*Service_Weights!$G$10,0)</f>
        <v>0.72271175606388272</v>
      </c>
      <c r="BA21" s="209">
        <f>MF_VF!$Q$49</f>
        <v>63173.333333333321</v>
      </c>
      <c r="BB21" s="212"/>
      <c r="BC21" s="211"/>
      <c r="BD21" s="208">
        <f>IF(BE21&lt;&gt;"",IF(BE21&lt;=(0.9*MF_VF!$O$54+0.1*MF_VF!$P$54),0.1*MF_VF!$D$54*BE21/(0.9*MF_VF!$O$54+0.1*MF_VF!$P$54),IF(BE21&gt;=MF_VF!$P$54,MF_VF!$D$54,(BE21-MF_VF!$O$54)/(MF_VF!$P$54-MF_VF!$O$54)*MF_VF!$D$54))*Service_Weights!$G$11,0)</f>
        <v>6.4178010471204203</v>
      </c>
      <c r="BE21" s="264">
        <f>MF_VF!$Q$54</f>
        <v>97.827225130890056</v>
      </c>
      <c r="BF21" s="207">
        <f>IF(BG21&lt;&gt;"",IF(BG21&lt;=MF_VF!$O$55,0,IF(BG21&gt;=MF_VF!$P$55,MF_VF!$D$55,SQRT((BG21-MF_VF!$O$55)/(MF_VF!$P$55-MF_VF!$O$55))*MF_VF!$D$55))*Service_Weights!$G$11,0)</f>
        <v>1.0068604830395369</v>
      </c>
      <c r="BG21" s="209">
        <f>MF_VF!$Q$55</f>
        <v>12733.426299845018</v>
      </c>
      <c r="BH21" s="207">
        <f>IF(BI21&lt;&gt;"",IF(BI21&lt;=MF_VF!$O$56,0,IF(BI21&gt;=MF_VF!$P$56,MF_VF!$D$56,SQRT((BI21-MF_VF!$O$56)/(MF_VF!$P$56-MF_VF!$O$56))*MF_VF!$D$56))*Service_Weights!$G$11,0)</f>
        <v>1.2435622996931732</v>
      </c>
      <c r="BI21" s="209">
        <f>MF_VF!$Q$56</f>
        <v>1389.2193308550184</v>
      </c>
      <c r="BJ21" s="208">
        <f>IF(BK21&lt;&gt;"",IF(BK21&lt;=MF_VF!$O$57,0,IF(BK21&gt;=MF_VF!$P$57,MF_VF!$D$57,SQRT((BK21-MF_VF!$O$57)/(MF_VF!$P$57-MF_VF!$O$57))*MF_VF!$D$57))*Service_Weights!$G$11,0)</f>
        <v>0.78040971049783614</v>
      </c>
      <c r="BK21" s="209">
        <f>MF_VF!$Q$57</f>
        <v>31773.148148148153</v>
      </c>
      <c r="BL21" s="212"/>
      <c r="BM21" s="211"/>
      <c r="BN21" s="207">
        <f>IF(BO21&lt;&gt;"",IF(BO21&lt;=(0.9*MF_VF!$O$62+0.1*MF_VF!$P$62),0.1*MF_VF!$D$62*BO21/(0.9*MF_VF!$O$62+0.1*MF_VF!$P$62),IF(BO21&gt;=MF_VF!$P$62,MF_VF!$D$62,(BO21-MF_VF!$O$62)/(MF_VF!$P$62-MF_VF!$O$62)*MF_VF!$D$62))*Service_Weights!$G$12,0)</f>
        <v>15.632766084342673</v>
      </c>
      <c r="BO21" s="264">
        <f>MF_VF!$Q$62</f>
        <v>98.686009218701017</v>
      </c>
      <c r="BP21" s="207">
        <f>IF(AND(BQ21&lt;&gt;"",BQ21&lt;&gt;0),IF(BQ21&lt;=MF_VF!$O$63,MF_VF!$D$63,IF(BQ21&gt;=MF_VF!$P$63,0,MF_VF!$D$63-(BQ21-MF_VF!$O$63)/(MF_VF!$P$63-MF_VF!$O$63)*MF_VF!$D$63))*Service_Weights!$G$12,0)</f>
        <v>1.5</v>
      </c>
      <c r="BQ21" s="264">
        <f>MF_VF!$Q$63</f>
        <v>1.302868997538642</v>
      </c>
      <c r="BR21" s="207">
        <f>IF(BS21&lt;&gt;"",IF(BS21&lt;=MF_VF!$O$64,0,IF(BS21&gt;=MF_VF!$P$64,MF_VF!$D$64,(BS21-MF_VF!$O$64)/(MF_VF!$P$64-MF_VF!$O$64)*MF_VF!$D$64))*Service_Weights!$G$12,0)</f>
        <v>4.0601727096017264</v>
      </c>
      <c r="BS21" s="264">
        <f>MF_VF!$Q$64</f>
        <v>98.045212042674336</v>
      </c>
      <c r="BT21" s="207">
        <f>IF(BU21&lt;&gt;"",IF(BU21&lt;=MF_VF!$O$65,0,IF(BU21&gt;=MF_VF!$P$65,MF_VF!$D$65,(BU21-MF_VF!$O$65)/(MF_VF!$P$65-MF_VF!$O$65)*MF_VF!$D$65))*Service_Weights!$G$12,0)</f>
        <v>4.5454545454545459</v>
      </c>
      <c r="BU21" s="264">
        <f>MF_VF!$Q$65</f>
        <v>560</v>
      </c>
      <c r="BV21" s="208" t="e">
        <f>IF(BW21&lt;&gt;"",IF(BW21&lt;=MF_VF!#REF!,0,IF(BW21&gt;=MF_VF!#REF!,MF_VF!#REF!,(BW21-MF_VF!#REF!)/(MF_VF!#REF!-MF_VF!#REF!)*MF_VF!#REF!))*Service_Weights!$G$12,0)</f>
        <v>#REF!</v>
      </c>
      <c r="BW21" s="264" t="e">
        <f>MF_VF!#REF!</f>
        <v>#REF!</v>
      </c>
    </row>
    <row r="22" spans="2:75" x14ac:dyDescent="0.35">
      <c r="B22" s="326"/>
      <c r="C22" s="198" t="str">
        <f>CONFIG!$C$16</f>
        <v>MOVISTAR</v>
      </c>
      <c r="D22" s="199"/>
      <c r="E22" s="213">
        <f>IF(F22&lt;&gt;"",IF(F22&lt;=(0.9*MF_VF!$O$6+0.1*MF_VF!$P$6),0.1*MF_VF!$D$6*F22/(0.9*MF_VF!$O$6+0.1*MF_VF!$P$6),IF(F22&gt;=MF_VF!$P$6,MF_VF!$D$6,(F22-MF_VF!$O$6)/(MF_VF!$P$6-MF_VF!$O$6)*MF_VF!$D$6))*Service_Weights!$G$2,0)</f>
        <v>41.893917673561333</v>
      </c>
      <c r="F22" s="265">
        <f>MF_OP1!$Q$6</f>
        <v>94.962113454843333</v>
      </c>
      <c r="G22" s="213">
        <f>IF(AND(H22&lt;&gt;"",H22&lt;&gt;0),IF(H22&lt;=MF_VF!$O$7,MF_VF!$D$7,IF(H22&gt;=MF_VF!$P$7,0,MF_VF!$D$7-(H22-MF_VF!$O$7)/(MF_VF!$P$7-MF_VF!$O$7)*MF_VF!$D$7))*Service_Weights!$G$2,0)</f>
        <v>7.6958219844728166</v>
      </c>
      <c r="H22" s="265">
        <f>MF_OP1!$Q$7</f>
        <v>5.8314297584105574</v>
      </c>
      <c r="I22" s="214">
        <f>IF(J22&lt;&gt;"",IF(J22&lt;=MF_VF!$O$8,0,IF(J22&gt;=MF_VF!$P$8,MF_VF!$D$8,SQRT((J22-MF_VF!$O$8)/(MF_VF!$P$8-MF_VF!$O$8))*MF_VF!$D$8))*Service_Weights!$G$2,0)</f>
        <v>10.127510684110149</v>
      </c>
      <c r="J22" s="265">
        <f>MF_OP1!$Q$8</f>
        <v>3.5533076253323186</v>
      </c>
      <c r="K22" s="216"/>
      <c r="L22" s="216"/>
      <c r="M22" s="217"/>
      <c r="N22" s="214">
        <f>IF(O22&lt;&gt;"",IF(O22&lt;=(0.9*MF_VF!$O$17+0.1*MF_VF!$P$17),0.1*MF_VF!$D$17*O22/(0.9*MF_VF!$O$17+0.1*MF_VF!$P$17),IF(O22&gt;=MF_VF!$P$17,MF_VF!$D$17,(O22-MF_VF!$O$17)/(MF_VF!$P$17-MF_VF!$O$17)*MF_VF!$D$17))*Service_Weights!$G$7,0)</f>
        <v>14.413166855845638</v>
      </c>
      <c r="O22" s="265">
        <f>MF_OP1!$Q$17</f>
        <v>96.014629839828487</v>
      </c>
      <c r="P22" s="214">
        <f>IF(AND(Q22&lt;&gt;"",Q22&lt;&gt;0),IF(Q22&lt;=MF_VF!$O$18,MF_VF!$D$18,IF(Q22&gt;=MF_VF!$P$18,0,MF_VF!$D$18-(Q22-MF_VF!$O$18)/(MF_VF!$P$18-MF_VF!$O$18)*MF_VF!$D$18))*Service_Weights!$G$7,0)</f>
        <v>9.8748645515510809</v>
      </c>
      <c r="Q22" s="265">
        <f>MF_OP1!$Q$18</f>
        <v>3.0053042759846513</v>
      </c>
      <c r="R22" s="218"/>
      <c r="S22" s="217"/>
      <c r="T22" s="214">
        <f>IF(U22&lt;&gt;"",IF(U22&lt;=(0.9*MF_VF!$O$24+0.1*MF_VF!$P$24),0.1*MF_VF!$D$24*U22/(0.9*MF_VF!$O$24+0.1*MF_VF!$P$24),IF(U22&gt;=MF_VF!$P$24,MF_VF!$D$24,(U22-MF_VF!$O$24)/(MF_VF!$P$24-MF_VF!$O$24)*MF_VF!$D$24))*Service_Weights!$G$6,0)</f>
        <v>5.7652667423382553</v>
      </c>
      <c r="U22" s="265">
        <f>MF_OP1!$Q$24</f>
        <v>96.014629839828487</v>
      </c>
      <c r="V22" s="214">
        <f>IF(AND(W22&lt;&gt;"",W22&lt;&gt;0),IF(W22&lt;=MF_VF!$O$25,MF_VF!$D$25,IF(W22&gt;=MF_VF!$P$25,0,MF_VF!$D$25-(W22-MF_VF!$O$25)/(MF_VF!$P$25-MF_VF!$O$25)*MF_VF!$D$25))*Service_Weights!$G$6,0)</f>
        <v>2.3936348688184186</v>
      </c>
      <c r="W22" s="265">
        <f>MF_OP1!$Q$25</f>
        <v>3.0053042759846513</v>
      </c>
      <c r="X22" s="218"/>
      <c r="Y22" s="217"/>
      <c r="Z22" s="214">
        <f>IF(AA22&lt;&gt;"",IF(AA22&lt;=(0.9*MF_VF!$O$30+0.1*MF_VF!$P$30),0.1*MF_VF!$D$30*AA22/(0.9*MF_VF!$O$30+0.1*MF_VF!$P$30),IF(AA22&gt;=MF_VF!$P$30,MF_VF!$D$30,(AA22-MF_VF!$O$30)/(MF_VF!$P$30-MF_VF!$O$30)*MF_VF!$D$30))*Service_Weights!$G$8,0)</f>
        <v>6.6826021180030235</v>
      </c>
      <c r="AA22" s="265">
        <f>MF_OP1!$Q$30</f>
        <v>98.562783661119511</v>
      </c>
      <c r="AB22" s="213">
        <f>IF(AND(AC22&lt;&gt;"",AC22&lt;&gt;0),IF(AC22&lt;=MF_VF!$O$31,MF_VF!$D$31,IF(AC22&gt;=MF_VF!$P$31,0,SQRT((AC22-MF_VF!$P$31)/(MF_VF!$O$31-MF_VF!$P$31))*MF_VF!$D$31))*Service_Weights!$G$8,0)</f>
        <v>1.44</v>
      </c>
      <c r="AC22" s="265">
        <f>MF_OP1!$Q$31</f>
        <v>1.5050577323056218</v>
      </c>
      <c r="AD22" s="213">
        <f>IF(AE22&lt;&gt;"",IF(AE22&lt;=MF_VF!$O$32,0,IF(AE22&gt;=MF_VF!$P$32,MF_VF!$D$32,SQRT((AE22-MF_VF!$O$32)/(MF_VF!$P$32-MF_VF!$O$32))*MF_VF!$D$32))*Service_Weights!$G$8,0)</f>
        <v>1.4628465764275613</v>
      </c>
      <c r="AE22" s="215">
        <f>MF_OP1!$Q$32</f>
        <v>3956.4777327935226</v>
      </c>
      <c r="AF22" s="214">
        <f>IF(AG22&lt;&gt;"",IF(AG22&lt;=MF_VF!$O$33,0,IF(AG22&gt;=MF_VF!$P$33,MF_VF!$D$33,SQRT((AG22-MF_VF!$O$33)/(MF_VF!$P$33-MF_VF!$O$33))*MF_VF!$D$33))*Service_Weights!$G$8,0)</f>
        <v>0.6132621647864972</v>
      </c>
      <c r="AG22" s="215">
        <f>MF_OP1!$Q$33</f>
        <v>33363.793103448283</v>
      </c>
      <c r="AH22" s="218"/>
      <c r="AI22" s="217"/>
      <c r="AJ22" s="214">
        <f>IF(AK22&lt;&gt;"",IF(AK22&lt;=(0.9*MF_VF!$O$38+0.1*MF_VF!$P$38),0.1*MF_VF!$D$38*AK22/(0.9*MF_VF!$O$38+0.1*MF_VF!$P$38),IF(AK22&gt;=MF_VF!$P$38,MF_VF!$D$38,(AK22-MF_VF!$O$38)/(MF_VF!$P$38-MF_VF!$O$38)*MF_VF!$D$38))*Service_Weights!$G$9,0)</f>
        <v>6.1449216776149598</v>
      </c>
      <c r="AK22" s="265">
        <f>MF_OP1!$Q$38</f>
        <v>97.069226882263777</v>
      </c>
      <c r="AL22" s="213">
        <f>IF(AND(AM22&lt;&gt;"",AM22&lt;&gt;0),IF(AM22&lt;=MF_VF!$O$39,MF_VF!$D$39,IF(AM22&gt;=MF_VF!$P$39,0,SQRT((AM22-MF_VF!$P$39)/(MF_VF!$O$39-MF_VF!$P$39))*MF_VF!$D$39))*Service_Weights!$G$9,0)</f>
        <v>1.439947376066294</v>
      </c>
      <c r="AM22" s="265">
        <f>MF_OP1!$Q$39</f>
        <v>1.5007674183438682</v>
      </c>
      <c r="AN22" s="213">
        <f>IF(AO22&lt;&gt;"",IF(AO22&lt;=MF_VF!$O$40,0,IF(AO22&gt;=MF_VF!$P$40,MF_VF!$D$40,SQRT((AO22-MF_VF!$O$40)/(MF_VF!$P$40-MF_VF!$O$40))*MF_VF!$D$40))*Service_Weights!$G$9,0)</f>
        <v>0.81539088049207353</v>
      </c>
      <c r="AO22" s="215">
        <f>MF_OP1!$Q$40</f>
        <v>1032.2407307898977</v>
      </c>
      <c r="AP22" s="214">
        <f>IF(AQ22&lt;&gt;"",IF(AQ22&lt;=MF_VF!$O$41,0,IF(AQ22&gt;=MF_VF!$P$41,MF_VF!$D$41,SQRT((AQ22-MF_VF!$O$41)/(MF_VF!$P$41-MF_VF!$O$41))*MF_VF!$D$41))*Service_Weights!$G$9,0)</f>
        <v>0.54697342366815405</v>
      </c>
      <c r="AQ22" s="215">
        <f>MF_OP1!$Q$41</f>
        <v>11492.619926199262</v>
      </c>
      <c r="AR22" s="218"/>
      <c r="AS22" s="217"/>
      <c r="AT22" s="214">
        <f>IF(AU22&lt;&gt;"",IF(AU22&lt;=(0.9*MF_VF!$O$46+0.1*MF_VF!$P$46),0.1*MF_VF!$D$46*AU22/(0.9*MF_VF!$O$46+0.1*MF_VF!$P$46),IF(AU22&gt;=MF_VF!$P$46,MF_VF!$D$46,(AU22-MF_VF!$O$46)/(MF_VF!$P$46-MF_VF!$O$46)*MF_VF!$D$46))*Service_Weights!$G$10,0)</f>
        <v>6.6464330728510213</v>
      </c>
      <c r="AU22" s="265">
        <f>MF_OP1!$Q$46</f>
        <v>98.462314091252836</v>
      </c>
      <c r="AV22" s="213">
        <f>IF(AW22&lt;&gt;"",IF(AW22&lt;=MF_VF!$O$47,0,IF(AW22&gt;=MF_VF!$P$47,MF_VF!$D$47,SQRT((AW22-MF_VF!$O$47)/(MF_VF!$P$47-MF_VF!$O$47))*MF_VF!$D$47))*Service_Weights!$G$10,0)</f>
        <v>0.85557249335625918</v>
      </c>
      <c r="AW22" s="215">
        <f>MF_OP1!$Q$47</f>
        <v>20238.521124537478</v>
      </c>
      <c r="AX22" s="213">
        <f>IF(AY22&lt;&gt;"",IF(AY22&lt;=MF_VF!$O$48,0,IF(AY22&gt;=MF_VF!$P$48,MF_VF!$D$48,SQRT((AY22-MF_VF!$O$48)/(MF_VF!$P$48-MF_VF!$O$48))*MF_VF!$D$48))*Service_Weights!$G$10,0)</f>
        <v>1.4461721436778259</v>
      </c>
      <c r="AY22" s="215">
        <f>MF_OP1!$Q$48</f>
        <v>4438.6363636363631</v>
      </c>
      <c r="AZ22" s="214">
        <f>IF(BA22&lt;&gt;"",IF(BA22&lt;=MF_VF!$O$49,0,IF(BA22&gt;=MF_VF!$P$49,MF_VF!$D$49,SQRT((BA22-MF_VF!$O$49)/(MF_VF!$P$49-MF_VF!$O$49))*MF_VF!$D$49))*Service_Weights!$G$10,0)</f>
        <v>0.56034426050073061</v>
      </c>
      <c r="BA22" s="215">
        <f>MF_OP1!$Q$49</f>
        <v>43959.183673469401</v>
      </c>
      <c r="BB22" s="218"/>
      <c r="BC22" s="217"/>
      <c r="BD22" s="214">
        <f>IF(BE22&lt;&gt;"",IF(BE22&lt;=(0.9*MF_VF!$O$54+0.1*MF_VF!$P$54),0.1*MF_VF!$D$54*BE22/(0.9*MF_VF!$O$54+0.1*MF_VF!$P$54),IF(BE22&gt;=MF_VF!$P$54,MF_VF!$D$54,(BE22-MF_VF!$O$54)/(MF_VF!$P$54-MF_VF!$O$54)*MF_VF!$D$54))*Service_Weights!$G$11,0)</f>
        <v>6.2664652567975816</v>
      </c>
      <c r="BE22" s="265">
        <f>MF_OP1!$Q$54</f>
        <v>97.406847935548839</v>
      </c>
      <c r="BF22" s="213">
        <f>IF(BG22&lt;&gt;"",IF(BG22&lt;=MF_VF!$O$55,0,IF(BG22&gt;=MF_VF!$P$55,MF_VF!$D$55,SQRT((BG22-MF_VF!$O$55)/(MF_VF!$P$55-MF_VF!$O$55))*MF_VF!$D$55))*Service_Weights!$G$11,0)</f>
        <v>0.8795552762829324</v>
      </c>
      <c r="BG22" s="215">
        <f>MF_OP1!$Q$55</f>
        <v>9953.9060652447424</v>
      </c>
      <c r="BH22" s="213">
        <f>IF(BI22&lt;&gt;"",IF(BI22&lt;=MF_VF!$O$56,0,IF(BI22&gt;=MF_VF!$P$56,MF_VF!$D$56,SQRT((BI22-MF_VF!$O$56)/(MF_VF!$P$56-MF_VF!$O$56))*MF_VF!$D$56))*Service_Weights!$G$11,0)</f>
        <v>1.1529076973423158</v>
      </c>
      <c r="BI22" s="215">
        <f>MF_OP1!$Q$56</f>
        <v>1203.0472636815921</v>
      </c>
      <c r="BJ22" s="214">
        <f>IF(BK22&lt;&gt;"",IF(BK22&lt;=MF_VF!$O$57,0,IF(BK22&gt;=MF_VF!$P$57,MF_VF!$D$57,SQRT((BK22-MF_VF!$O$57)/(MF_VF!$P$57-MF_VF!$O$57))*MF_VF!$D$57))*Service_Weights!$G$11,0)</f>
        <v>0.63437186576884086</v>
      </c>
      <c r="BK22" s="215">
        <f>MF_OP1!$Q$57</f>
        <v>23029.816513761467</v>
      </c>
      <c r="BL22" s="218"/>
      <c r="BM22" s="217"/>
      <c r="BN22" s="213">
        <f>IF(BO22&lt;&gt;"",IF(BO22&lt;=(0.9*MF_VF!$O$62+0.1*MF_VF!$P$62),0.1*MF_VF!$D$62*BO22/(0.9*MF_VF!$O$62+0.1*MF_VF!$P$62),IF(BO22&gt;=MF_VF!$P$62,MF_VF!$D$62,(BO22-MF_VF!$O$62)/(MF_VF!$P$62-MF_VF!$O$62)*MF_VF!$D$62))*Service_Weights!$G$12,0)</f>
        <v>14.240939437434246</v>
      </c>
      <c r="BO22" s="265">
        <f>MF_OP1!$Q$62</f>
        <v>96.577180965809461</v>
      </c>
      <c r="BP22" s="213">
        <f>IF(AND(BQ22&lt;&gt;"",BQ22&lt;&gt;0),IF(BQ22&lt;=MF_VF!$O$63,MF_VF!$D$63,IF(BQ22&gt;=MF_VF!$P$63,0,MF_VF!$D$63-(BQ22-MF_VF!$O$63)/(MF_VF!$P$63-MF_VF!$O$63)*MF_VF!$D$63))*Service_Weights!$G$12,0)</f>
        <v>1.5</v>
      </c>
      <c r="BQ22" s="265">
        <f>MF_OP1!$Q$63</f>
        <v>1.2286604111245387</v>
      </c>
      <c r="BR22" s="213">
        <f>IF(BS22&lt;&gt;"",IF(BS22&lt;=MF_VF!$O$64,0,IF(BS22&gt;=MF_VF!$P$64,MF_VF!$D$64,(BS22-MF_VF!$O$64)/(MF_VF!$P$64-MF_VF!$O$64)*MF_VF!$D$64))*Service_Weights!$G$12,0)</f>
        <v>4.21796468912222</v>
      </c>
      <c r="BS22" s="265">
        <f>MF_OP1!$Q$64</f>
        <v>98.746509729432091</v>
      </c>
      <c r="BT22" s="213">
        <f>IF(BU22&lt;&gt;"",IF(BU22&lt;=MF_VF!$O$65,0,IF(BU22&gt;=MF_VF!$P$65,MF_VF!$D$65,(BU22-MF_VF!$O$65)/(MF_VF!$P$65-MF_VF!$O$65)*MF_VF!$D$65))*Service_Weights!$G$12,0)</f>
        <v>4.8149350649350655</v>
      </c>
      <c r="BU22" s="265">
        <f>MF_OP1!$Q$65</f>
        <v>571.85714285714289</v>
      </c>
      <c r="BV22" s="214" t="e">
        <f>IF(BW22&lt;&gt;"",IF(BW22&lt;=MF_VF!#REF!,0,IF(BW22&gt;=MF_VF!#REF!,MF_VF!#REF!,(BW22-MF_VF!#REF!)/(MF_VF!#REF!-MF_VF!#REF!)*MF_VF!#REF!))*Service_Weights!$G$12,0)</f>
        <v>#REF!</v>
      </c>
      <c r="BW22" s="265" t="e">
        <f>MF_OP1!#REF!</f>
        <v>#REF!</v>
      </c>
    </row>
    <row r="23" spans="2:75" x14ac:dyDescent="0.35">
      <c r="B23" s="326"/>
      <c r="C23" s="198" t="str">
        <f>CONFIG!$D$16</f>
        <v>ORANGE</v>
      </c>
      <c r="D23" s="199"/>
      <c r="E23" s="213">
        <f>IF(F23&lt;&gt;"",IF(F23&lt;=(0.9*MF_VF!$O$6+0.1*MF_VF!$P$6),0.1*MF_VF!$D$6*F23/(0.9*MF_VF!$O$6+0.1*MF_VF!$P$6),IF(F23&gt;=MF_VF!$P$6,MF_VF!$D$6,(F23-MF_VF!$O$6)/(MF_VF!$P$6-MF_VF!$O$6)*MF_VF!$D$6))*Service_Weights!$G$2,0)</f>
        <v>33.288825564828038</v>
      </c>
      <c r="F23" s="265">
        <f>MF_OP2!$Q$6</f>
        <v>91.888866273152871</v>
      </c>
      <c r="G23" s="213">
        <f>IF(AND(H23&lt;&gt;"",H23&lt;&gt;0),IF(H23&lt;=MF_VF!$O$7,MF_VF!$D$7,IF(H23&gt;=MF_VF!$P$7,0,MF_VF!$D$7-(H23-MF_VF!$O$7)/(MF_VF!$P$7-MF_VF!$O$7)*MF_VF!$D$7))*Service_Weights!$G$2,0)</f>
        <v>6.1424867901201754</v>
      </c>
      <c r="H23" s="265">
        <f>MF_OP2!$Q$7</f>
        <v>6.6728196553515717</v>
      </c>
      <c r="I23" s="214">
        <f>IF(J23&lt;&gt;"",IF(J23&lt;=MF_VF!$O$8,0,IF(J23&gt;=MF_VF!$P$8,MF_VF!$D$8,SQRT((J23-MF_VF!$O$8)/(MF_VF!$P$8-MF_VF!$O$8))*MF_VF!$D$8))*Service_Weights!$G$2,0)</f>
        <v>9.8913490285966343</v>
      </c>
      <c r="J23" s="265">
        <f>MF_OP2!$Q$8</f>
        <v>3.4909284211839386</v>
      </c>
      <c r="K23" s="216"/>
      <c r="L23" s="216"/>
      <c r="M23" s="217"/>
      <c r="N23" s="214">
        <f>IF(O23&lt;&gt;"",IF(O23&lt;=(0.9*MF_VF!$O$17+0.1*MF_VF!$P$17),0.1*MF_VF!$D$17*O23/(0.9*MF_VF!$O$17+0.1*MF_VF!$P$17),IF(O23&gt;=MF_VF!$P$17,MF_VF!$D$17,(O23-MF_VF!$O$17)/(MF_VF!$P$17-MF_VF!$O$17)*MF_VF!$D$17))*Service_Weights!$G$7,0)</f>
        <v>13.539099526066353</v>
      </c>
      <c r="O23" s="265">
        <f>MF_OP2!$Q$17</f>
        <v>95.043443917851505</v>
      </c>
      <c r="P23" s="214">
        <f>IF(AND(Q23&lt;&gt;"",Q23&lt;&gt;0),IF(Q23&lt;=MF_VF!$O$18,MF_VF!$D$18,IF(Q23&gt;=MF_VF!$P$18,0,MF_VF!$D$18-(Q23-MF_VF!$O$18)/(MF_VF!$P$18-MF_VF!$O$18)*MF_VF!$D$18))*Service_Weights!$G$7,0)</f>
        <v>9.5399410278253161</v>
      </c>
      <c r="Q23" s="265">
        <f>MF_OP2!$Q$18</f>
        <v>3.2425417719570677</v>
      </c>
      <c r="R23" s="218"/>
      <c r="S23" s="217"/>
      <c r="T23" s="214">
        <f>IF(U23&lt;&gt;"",IF(U23&lt;=(0.9*MF_VF!$O$24+0.1*MF_VF!$P$24),0.1*MF_VF!$D$24*U23/(0.9*MF_VF!$O$24+0.1*MF_VF!$P$24),IF(U23&gt;=MF_VF!$P$24,MF_VF!$D$24,(U23-MF_VF!$O$24)/(MF_VF!$P$24-MF_VF!$O$24)*MF_VF!$D$24))*Service_Weights!$G$6,0)</f>
        <v>5.4156398104265406</v>
      </c>
      <c r="U23" s="265">
        <f>MF_OP2!$Q$24</f>
        <v>95.043443917851505</v>
      </c>
      <c r="V23" s="214">
        <f>IF(AND(W23&lt;&gt;"",W23&lt;&gt;0),IF(W23&lt;=MF_VF!$O$25,MF_VF!$D$25,IF(W23&gt;=MF_VF!$P$25,0,MF_VF!$D$25-(W23-MF_VF!$O$25)/(MF_VF!$P$25-MF_VF!$O$25)*MF_VF!$D$25))*Service_Weights!$G$6,0)</f>
        <v>2.1089498736515191</v>
      </c>
      <c r="W23" s="265">
        <f>MF_OP2!$Q$25</f>
        <v>3.2425417719570677</v>
      </c>
      <c r="X23" s="218"/>
      <c r="Y23" s="217"/>
      <c r="Z23" s="214">
        <f>IF(AA23&lt;&gt;"",IF(AA23&lt;=(0.9*MF_VF!$O$30+0.1*MF_VF!$P$30),0.1*MF_VF!$D$30*AA23/(0.9*MF_VF!$O$30+0.1*MF_VF!$P$30),IF(AA23&gt;=MF_VF!$P$30,MF_VF!$D$30,(AA23-MF_VF!$O$30)/(MF_VF!$P$30-MF_VF!$O$30)*MF_VF!$D$30))*Service_Weights!$G$8,0)</f>
        <v>6.6311298393468485</v>
      </c>
      <c r="AA23" s="265">
        <f>MF_OP2!$Q$30</f>
        <v>98.419805109296803</v>
      </c>
      <c r="AB23" s="213">
        <f>IF(AND(AC23&lt;&gt;"",AC23&lt;&gt;0),IF(AC23&lt;=MF_VF!$O$31,MF_VF!$D$31,IF(AC23&gt;=MF_VF!$P$31,0,SQRT((AC23-MF_VF!$P$31)/(MF_VF!$O$31-MF_VF!$P$31))*MF_VF!$D$31))*Service_Weights!$G$8,0)</f>
        <v>1.388470476434136</v>
      </c>
      <c r="AC23" s="265">
        <f>MF_OP2!$Q$31</f>
        <v>2.9137473808448711</v>
      </c>
      <c r="AD23" s="213">
        <f>IF(AE23&lt;&gt;"",IF(AE23&lt;=MF_VF!$O$32,0,IF(AE23&gt;=MF_VF!$P$32,MF_VF!$D$32,SQRT((AE23-MF_VF!$O$32)/(MF_VF!$P$32-MF_VF!$O$32))*MF_VF!$D$32))*Service_Weights!$G$8,0)</f>
        <v>0.94956120624564089</v>
      </c>
      <c r="AE23" s="215">
        <f>MF_OP2!$Q$32</f>
        <v>1889.2821031344795</v>
      </c>
      <c r="AF23" s="214">
        <f>IF(AG23&lt;&gt;"",IF(AG23&lt;=MF_VF!$O$33,0,IF(AG23&gt;=MF_VF!$P$33,MF_VF!$D$33,SQRT((AG23-MF_VF!$O$33)/(MF_VF!$P$33-MF_VF!$O$33))*MF_VF!$D$33))*Service_Weights!$G$8,0)</f>
        <v>0</v>
      </c>
      <c r="AG23" s="215">
        <f>MF_OP2!$Q$33</f>
        <v>14550.350262697026</v>
      </c>
      <c r="AH23" s="218"/>
      <c r="AI23" s="217"/>
      <c r="AJ23" s="214">
        <f>IF(AK23&lt;&gt;"",IF(AK23&lt;=(0.9*MF_VF!$O$38+0.1*MF_VF!$P$38),0.1*MF_VF!$D$38*AK23/(0.9*MF_VF!$O$38+0.1*MF_VF!$P$38),IF(AK23&gt;=MF_VF!$P$38,MF_VF!$D$38,(AK23-MF_VF!$O$38)/(MF_VF!$P$38-MF_VF!$O$38)*MF_VF!$D$38))*Service_Weights!$G$9,0)</f>
        <v>5.075098814229249</v>
      </c>
      <c r="AK23" s="265">
        <f>MF_OP2!$Q$38</f>
        <v>94.097496706192359</v>
      </c>
      <c r="AL23" s="213">
        <f>IF(AND(AM23&lt;&gt;"",AM23&lt;&gt;0),IF(AM23&lt;=MF_VF!$O$39,MF_VF!$D$39,IF(AM23&gt;=MF_VF!$P$39,0,SQRT((AM23-MF_VF!$P$39)/(MF_VF!$O$39-MF_VF!$P$39))*MF_VF!$D$39))*Service_Weights!$G$9,0)</f>
        <v>1.4118699325919044</v>
      </c>
      <c r="AM23" s="265">
        <f>MF_OP2!$Q$39</f>
        <v>1.906223274088916</v>
      </c>
      <c r="AN23" s="213">
        <f>IF(AO23&lt;&gt;"",IF(AO23&lt;=MF_VF!$O$40,0,IF(AO23&gt;=MF_VF!$P$40,MF_VF!$D$40,SQRT((AO23-MF_VF!$O$40)/(MF_VF!$P$40-MF_VF!$O$40))*MF_VF!$D$40))*Service_Weights!$G$9,0)</f>
        <v>0.6694196033609896</v>
      </c>
      <c r="AO23" s="215">
        <f>MF_OP2!$Q$40</f>
        <v>820.91954022988489</v>
      </c>
      <c r="AP23" s="214">
        <f>IF(AQ23&lt;&gt;"",IF(AQ23&lt;=MF_VF!$O$41,0,IF(AQ23&gt;=MF_VF!$P$41,MF_VF!$D$41,SQRT((AQ23-MF_VF!$O$41)/(MF_VF!$P$41-MF_VF!$O$41))*MF_VF!$D$41))*Service_Weights!$G$9,0)</f>
        <v>0.4237532438848412</v>
      </c>
      <c r="AQ23" s="215">
        <f>MF_OP2!$Q$41</f>
        <v>8896.8492123030755</v>
      </c>
      <c r="AR23" s="218"/>
      <c r="AS23" s="217"/>
      <c r="AT23" s="214">
        <f>IF(AU23&lt;&gt;"",IF(AU23&lt;=(0.9*MF_VF!$O$46+0.1*MF_VF!$P$46),0.1*MF_VF!$D$46*AU23/(0.9*MF_VF!$O$46+0.1*MF_VF!$P$46),IF(AU23&gt;=MF_VF!$P$46,MF_VF!$D$46,(AU23-MF_VF!$O$46)/(MF_VF!$P$46-MF_VF!$O$46)*MF_VF!$D$46))*Service_Weights!$G$10,0)</f>
        <v>6.3198738170347042</v>
      </c>
      <c r="AU23" s="265">
        <f>MF_OP2!$Q$46</f>
        <v>97.555205047318623</v>
      </c>
      <c r="AV23" s="213">
        <f>IF(AW23&lt;&gt;"",IF(AW23&lt;=MF_VF!$O$47,0,IF(AW23&gt;=MF_VF!$P$47,MF_VF!$D$47,SQRT((AW23-MF_VF!$O$47)/(MF_VF!$P$47-MF_VF!$O$47))*MF_VF!$D$47))*Service_Weights!$G$10,0)</f>
        <v>0.77786824515237085</v>
      </c>
      <c r="AW23" s="215">
        <f>MF_OP2!$Q$47</f>
        <v>17422.856053990999</v>
      </c>
      <c r="AX23" s="213">
        <f>IF(AY23&lt;&gt;"",IF(AY23&lt;=MF_VF!$O$48,0,IF(AY23&gt;=MF_VF!$P$48,MF_VF!$D$48,SQRT((AY23-MF_VF!$O$48)/(MF_VF!$P$48-MF_VF!$O$48))*MF_VF!$D$48))*Service_Weights!$G$10,0)</f>
        <v>1.1567038544005441</v>
      </c>
      <c r="AY23" s="215">
        <f>MF_OP2!$Q$48</f>
        <v>2885.6920684292381</v>
      </c>
      <c r="AZ23" s="214">
        <f>IF(BA23&lt;&gt;"",IF(BA23&lt;=MF_VF!$O$49,0,IF(BA23&gt;=MF_VF!$P$49,MF_VF!$D$49,SQRT((BA23-MF_VF!$O$49)/(MF_VF!$P$49-MF_VF!$O$49))*MF_VF!$D$49))*Service_Weights!$G$10,0)</f>
        <v>0.52059453192159699</v>
      </c>
      <c r="BA23" s="215">
        <f>MF_OP2!$Q$49</f>
        <v>39996.296296296299</v>
      </c>
      <c r="BB23" s="218"/>
      <c r="BC23" s="217"/>
      <c r="BD23" s="214">
        <f>IF(BE23&lt;&gt;"",IF(BE23&lt;=(0.9*MF_VF!$O$54+0.1*MF_VF!$P$54),0.1*MF_VF!$D$54*BE23/(0.9*MF_VF!$O$54+0.1*MF_VF!$P$54),IF(BE23&gt;=MF_VF!$P$54,MF_VF!$D$54,(BE23-MF_VF!$O$54)/(MF_VF!$P$54-MF_VF!$O$54)*MF_VF!$D$54))*Service_Weights!$G$11,0)</f>
        <v>5.79064634787178</v>
      </c>
      <c r="BE23" s="265">
        <f>MF_OP2!$Q$54</f>
        <v>96.08512874408828</v>
      </c>
      <c r="BF23" s="213">
        <f>IF(BG23&lt;&gt;"",IF(BG23&lt;=MF_VF!$O$55,0,IF(BG23&gt;=MF_VF!$P$55,MF_VF!$D$55,SQRT((BG23-MF_VF!$O$55)/(MF_VF!$P$55-MF_VF!$O$55))*MF_VF!$D$55))*Service_Weights!$G$11,0)</f>
        <v>0.83306962416098318</v>
      </c>
      <c r="BG23" s="215">
        <f>MF_OP2!$Q$55</f>
        <v>9032.4652627282649</v>
      </c>
      <c r="BH23" s="213">
        <f>IF(BI23&lt;&gt;"",IF(BI23&lt;=MF_VF!$O$56,0,IF(BI23&gt;=MF_VF!$P$56,MF_VF!$D$56,SQRT((BI23-MF_VF!$O$56)/(MF_VF!$P$56-MF_VF!$O$56))*MF_VF!$D$56))*Service_Weights!$G$11,0)</f>
        <v>1.0332362971287501</v>
      </c>
      <c r="BI23" s="215">
        <f>MF_OP2!$Q$56</f>
        <v>978.85438972162763</v>
      </c>
      <c r="BJ23" s="214">
        <f>IF(BK23&lt;&gt;"",IF(BK23&lt;=MF_VF!$O$57,0,IF(BK23&gt;=MF_VF!$P$57,MF_VF!$D$57,SQRT((BK23-MF_VF!$O$57)/(MF_VF!$P$57-MF_VF!$O$57))*MF_VF!$D$57))*Service_Weights!$G$11,0)</f>
        <v>0.62813049287860268</v>
      </c>
      <c r="BK23" s="215">
        <f>MF_OP2!$Q$57</f>
        <v>22696.363636363643</v>
      </c>
      <c r="BL23" s="218"/>
      <c r="BM23" s="217"/>
      <c r="BN23" s="213">
        <f>IF(BO23&lt;&gt;"",IF(BO23&lt;=(0.9*MF_VF!$O$62+0.1*MF_VF!$P$62),0.1*MF_VF!$D$62*BO23/(0.9*MF_VF!$O$62+0.1*MF_VF!$P$62),IF(BO23&gt;=MF_VF!$P$62,MF_VF!$D$62,(BO23-MF_VF!$O$62)/(MF_VF!$P$62-MF_VF!$O$62)*MF_VF!$D$62))*Service_Weights!$G$12,0)</f>
        <v>15.121353776241218</v>
      </c>
      <c r="BO23" s="265">
        <f>MF_OP2!$Q$62</f>
        <v>97.911142085213967</v>
      </c>
      <c r="BP23" s="213">
        <f>IF(AND(BQ23&lt;&gt;"",BQ23&lt;&gt;0),IF(BQ23&lt;=MF_VF!$O$63,MF_VF!$D$63,IF(BQ23&gt;=MF_VF!$P$63,0,MF_VF!$D$63-(BQ23-MF_VF!$O$63)/(MF_VF!$P$63-MF_VF!$O$63)*MF_VF!$D$63))*Service_Weights!$G$12,0)</f>
        <v>1.5</v>
      </c>
      <c r="BQ23" s="265">
        <f>MF_OP2!$Q$63</f>
        <v>1.311065706741126</v>
      </c>
      <c r="BR23" s="213">
        <f>IF(BS23&lt;&gt;"",IF(BS23&lt;=MF_VF!$O$64,0,IF(BS23&gt;=MF_VF!$P$64,MF_VF!$D$64,(BS23-MF_VF!$O$64)/(MF_VF!$P$64-MF_VF!$O$64)*MF_VF!$D$64))*Service_Weights!$G$12,0)</f>
        <v>3.9193400135833127</v>
      </c>
      <c r="BS23" s="265">
        <f>MF_OP2!$Q$64</f>
        <v>97.419288949259169</v>
      </c>
      <c r="BT23" s="213">
        <f>IF(BU23&lt;&gt;"",IF(BU23&lt;=MF_VF!$O$65,0,IF(BU23&gt;=MF_VF!$P$65,MF_VF!$D$65,(BU23-MF_VF!$O$65)/(MF_VF!$P$65-MF_VF!$O$65)*MF_VF!$D$65))*Service_Weights!$G$12,0)</f>
        <v>4.2694805194805205</v>
      </c>
      <c r="BU23" s="265">
        <f>MF_OP2!$Q$65</f>
        <v>547.85714285714289</v>
      </c>
      <c r="BV23" s="214" t="e">
        <f>IF(BW23&lt;&gt;"",IF(BW23&lt;=MF_VF!#REF!,0,IF(BW23&gt;=MF_VF!#REF!,MF_VF!#REF!,(BW23-MF_VF!#REF!)/(MF_VF!#REF!-MF_VF!#REF!)*MF_VF!#REF!))*Service_Weights!$G$12,0)</f>
        <v>#REF!</v>
      </c>
      <c r="BW23" s="265" t="e">
        <f>MF_OP2!#REF!</f>
        <v>#REF!</v>
      </c>
    </row>
    <row r="24" spans="2:75" x14ac:dyDescent="0.35">
      <c r="B24" s="327"/>
      <c r="C24" s="200" t="str">
        <f>IF(CONFIG!$E$16 &lt;&gt; 0,CONFIG!$E$16,"")</f>
        <v>YOIGO</v>
      </c>
      <c r="D24" s="201"/>
      <c r="E24" s="219">
        <f>IF(F24&lt;&gt;"",IF(F24&lt;=(0.9*MF_VF!$O$6+0.1*MF_VF!$P$6),0.1*MF_VF!$D$6*F24/(0.9*MF_VF!$O$6+0.1*MF_VF!$P$6),IF(F24&gt;=MF_VF!$P$6,MF_VF!$D$6,(F24-MF_VF!$O$6)/(MF_VF!$P$6-MF_VF!$O$6)*MF_VF!$D$6))*Service_Weights!$G$2,0)</f>
        <v>7.3068893528183878</v>
      </c>
      <c r="F24" s="266">
        <f>MF_OP3!$Q$6</f>
        <v>82.609603340292281</v>
      </c>
      <c r="G24" s="219">
        <f>IF(AND(H24&lt;&gt;"",H24&lt;&gt;0),IF(H24&lt;=MF_VF!$O$7,MF_VF!$D$7,IF(H24&gt;=MF_VF!$P$7,0,MF_VF!$D$7-(H24-MF_VF!$O$7)/(MF_VF!$P$7-MF_VF!$O$7)*MF_VF!$D$7))*Service_Weights!$G$2,0)</f>
        <v>3.9901812017468572</v>
      </c>
      <c r="H24" s="266">
        <f>MF_OP3!$Q$7</f>
        <v>7.8386518490537851</v>
      </c>
      <c r="I24" s="220">
        <f>IF(J24&lt;&gt;"",IF(J24&lt;=MF_VF!$O$8,0,IF(J24&gt;=MF_VF!$P$8,MF_VF!$D$8,SQRT((J24-MF_VF!$O$8)/(MF_VF!$P$8-MF_VF!$O$8))*MF_VF!$D$8))*Service_Weights!$G$2,0)</f>
        <v>5.5225244800693227</v>
      </c>
      <c r="J24" s="266">
        <f>MF_OP3!$Q$8</f>
        <v>2.6024078166849542</v>
      </c>
      <c r="K24" s="216"/>
      <c r="L24" s="216"/>
      <c r="M24" s="222"/>
      <c r="N24" s="220">
        <f>IF(O24&lt;&gt;"",IF(O24&lt;=(0.9*MF_VF!$O$17+0.1*MF_VF!$P$17),0.1*MF_VF!$D$17*O24/(0.9*MF_VF!$O$17+0.1*MF_VF!$P$17),IF(O24&gt;=MF_VF!$P$17,MF_VF!$D$17,(O24-MF_VF!$O$17)/(MF_VF!$P$17-MF_VF!$O$17)*MF_VF!$D$17))*Service_Weights!$G$7,0)</f>
        <v>9.3977695167286246</v>
      </c>
      <c r="O24" s="266">
        <f>MF_OP3!$Q$17</f>
        <v>90.441966129698471</v>
      </c>
      <c r="P24" s="220">
        <f>IF(AND(Q24&lt;&gt;"",Q24&lt;&gt;0),IF(Q24&lt;=MF_VF!$O$18,MF_VF!$D$18,IF(Q24&gt;=MF_VF!$P$18,0,MF_VF!$D$18-(Q24-MF_VF!$O$18)/(MF_VF!$P$18-MF_VF!$O$18)*MF_VF!$D$18))*Service_Weights!$G$7,0)</f>
        <v>8.8394592458216454</v>
      </c>
      <c r="Q24" s="266">
        <f>MF_OP3!$Q$18</f>
        <v>3.7387163675430015</v>
      </c>
      <c r="R24" s="223"/>
      <c r="S24" s="222"/>
      <c r="T24" s="220">
        <f>IF(U24&lt;&gt;"",IF(U24&lt;=(0.9*MF_VF!$O$24+0.1*MF_VF!$P$24),0.1*MF_VF!$D$24*U24/(0.9*MF_VF!$O$24+0.1*MF_VF!$P$24),IF(U24&gt;=MF_VF!$P$24,MF_VF!$D$24,(U24-MF_VF!$O$24)/(MF_VF!$P$24-MF_VF!$O$24)*MF_VF!$D$24))*Service_Weights!$G$6,0)</f>
        <v>3.7591078066914498</v>
      </c>
      <c r="U24" s="266">
        <f>MF_OP3!$Q$24</f>
        <v>90.441966129698471</v>
      </c>
      <c r="V24" s="220">
        <f>IF(AND(W24&lt;&gt;"",W24&lt;&gt;0),IF(W24&lt;=MF_VF!$O$25,MF_VF!$D$25,IF(W24&gt;=MF_VF!$P$25,0,MF_VF!$D$25-(W24-MF_VF!$O$25)/(MF_VF!$P$25-MF_VF!$O$25)*MF_VF!$D$25))*Service_Weights!$G$6,0)</f>
        <v>1.5135403589483984</v>
      </c>
      <c r="W24" s="266">
        <f>MF_OP3!$Q$25</f>
        <v>3.7387163675430015</v>
      </c>
      <c r="X24" s="223"/>
      <c r="Y24" s="222"/>
      <c r="Z24" s="220">
        <f>IF(AA24&lt;&gt;"",IF(AA24&lt;=(0.9*MF_VF!$O$30+0.1*MF_VF!$P$30),0.1*MF_VF!$D$30*AA24/(0.9*MF_VF!$O$30+0.1*MF_VF!$P$30),IF(AA24&gt;=MF_VF!$P$30,MF_VF!$D$30,(AA24-MF_VF!$O$30)/(MF_VF!$P$30-MF_VF!$O$30)*MF_VF!$D$30))*Service_Weights!$G$8,0)</f>
        <v>6.0816920026437558</v>
      </c>
      <c r="AA24" s="266">
        <f>MF_OP3!$Q$30</f>
        <v>96.893588896232657</v>
      </c>
      <c r="AB24" s="219">
        <f>IF(AND(AC24&lt;&gt;"",AC24&lt;&gt;0),IF(AC24&lt;=MF_VF!$O$31,MF_VF!$D$31,IF(AC24&gt;=MF_VF!$P$31,0,SQRT((AC24-MF_VF!$P$31)/(MF_VF!$O$31-MF_VF!$P$31))*MF_VF!$D$31))*Service_Weights!$G$8,0)</f>
        <v>1.3455173528151434</v>
      </c>
      <c r="AC24" s="266">
        <f>MF_OP3!$Q$31</f>
        <v>3.6499709165476788</v>
      </c>
      <c r="AD24" s="219">
        <f>IF(AE24&lt;&gt;"",IF(AE24&lt;=MF_VF!$O$32,0,IF(AE24&gt;=MF_VF!$P$32,MF_VF!$D$32,SQRT((AE24-MF_VF!$O$32)/(MF_VF!$P$32-MF_VF!$O$32))*MF_VF!$D$32))*Service_Weights!$G$8,0)</f>
        <v>0.79856566122152506</v>
      </c>
      <c r="AE24" s="221">
        <f>MF_OP3!$Q$32</f>
        <v>1448.616600790514</v>
      </c>
      <c r="AF24" s="220">
        <f>IF(AG24&lt;&gt;"",IF(AG24&lt;=MF_VF!$O$33,0,IF(AG24&gt;=MF_VF!$P$33,MF_VF!$D$33,SQRT((AG24-MF_VF!$O$33)/(MF_VF!$P$33-MF_VF!$O$33))*MF_VF!$D$33))*Service_Weights!$G$8,0)</f>
        <v>0</v>
      </c>
      <c r="AG24" s="221">
        <f>MF_OP3!$Q$33</f>
        <v>12534.303534303534</v>
      </c>
      <c r="AH24" s="223"/>
      <c r="AI24" s="222"/>
      <c r="AJ24" s="220">
        <f>IF(AK24&lt;&gt;"",IF(AK24&lt;=(0.9*MF_VF!$O$38+0.1*MF_VF!$P$38),0.1*MF_VF!$D$38*AK24/(0.9*MF_VF!$O$38+0.1*MF_VF!$P$38),IF(AK24&gt;=MF_VF!$P$38,MF_VF!$D$38,(AK24-MF_VF!$O$38)/(MF_VF!$P$38-MF_VF!$O$38)*MF_VF!$D$38))*Service_Weights!$G$9,0)</f>
        <v>4.418832891246681</v>
      </c>
      <c r="AK24" s="266">
        <f>MF_OP3!$Q$38</f>
        <v>92.274535809018559</v>
      </c>
      <c r="AL24" s="219">
        <f>IF(AND(AM24&lt;&gt;"",AM24&lt;&gt;0),IF(AM24&lt;=MF_VF!$O$39,MF_VF!$D$39,IF(AM24&gt;=MF_VF!$P$39,0,SQRT((AM24-MF_VF!$P$39)/(MF_VF!$O$39-MF_VF!$P$39))*MF_VF!$D$39))*Service_Weights!$G$9,0)</f>
        <v>1.3821042022651355</v>
      </c>
      <c r="AM24" s="266">
        <f>MF_OP3!$Q$39</f>
        <v>2.3273407252368137</v>
      </c>
      <c r="AN24" s="219">
        <f>IF(AO24&lt;&gt;"",IF(AO24&lt;=MF_VF!$O$40,0,IF(AO24&gt;=MF_VF!$P$40,MF_VF!$D$40,SQRT((AO24-MF_VF!$O$40)/(MF_VF!$P$40-MF_VF!$O$40))*MF_VF!$D$40))*Service_Weights!$G$9,0)</f>
        <v>0.5458497499207513</v>
      </c>
      <c r="AO24" s="221">
        <f>MF_OP3!$Q$40</f>
        <v>674.50315075133301</v>
      </c>
      <c r="AP24" s="220">
        <f>IF(AQ24&lt;&gt;"",IF(AQ24&lt;=MF_VF!$O$41,0,IF(AQ24&gt;=MF_VF!$P$41,MF_VF!$D$41,SQRT((AQ24-MF_VF!$O$41)/(MF_VF!$P$41-MF_VF!$O$41))*MF_VF!$D$41))*Service_Weights!$G$9,0)</f>
        <v>0.38742718413767718</v>
      </c>
      <c r="AQ24" s="221">
        <f>MF_OP3!$Q$41</f>
        <v>8257.374631268438</v>
      </c>
      <c r="AR24" s="223"/>
      <c r="AS24" s="222"/>
      <c r="AT24" s="220">
        <f>IF(AU24&lt;&gt;"",IF(AU24&lt;=(0.9*MF_VF!$O$46+0.1*MF_VF!$P$46),0.1*MF_VF!$D$46*AU24/(0.9*MF_VF!$O$46+0.1*MF_VF!$P$46),IF(AU24&gt;=MF_VF!$P$46,MF_VF!$D$46,(AU24-MF_VF!$O$46)/(MF_VF!$P$46-MF_VF!$O$46)*MF_VF!$D$46))*Service_Weights!$G$10,0)</f>
        <v>6.1188118811881207</v>
      </c>
      <c r="AU24" s="266">
        <f>MF_OP3!$Q$46</f>
        <v>96.996699669967001</v>
      </c>
      <c r="AV24" s="219">
        <f>IF(AW24&lt;&gt;"",IF(AW24&lt;=MF_VF!$O$47,0,IF(AW24&gt;=MF_VF!$P$47,MF_VF!$D$47,SQRT((AW24-MF_VF!$O$47)/(MF_VF!$P$47-MF_VF!$O$47))*MF_VF!$D$47))*Service_Weights!$G$10,0)</f>
        <v>0.59935827830274624</v>
      </c>
      <c r="AW24" s="221">
        <f>MF_OP3!$Q$47</f>
        <v>11969.037377228724</v>
      </c>
      <c r="AX24" s="219">
        <f>IF(AY24&lt;&gt;"",IF(AY24&lt;=MF_VF!$O$48,0,IF(AY24&gt;=MF_VF!$P$48,MF_VF!$D$48,SQRT((AY24-MF_VF!$O$48)/(MF_VF!$P$48-MF_VF!$O$48))*MF_VF!$D$48))*Service_Weights!$G$10,0)</f>
        <v>0.95215543103128764</v>
      </c>
      <c r="AY24" s="221">
        <f>MF_OP3!$Q$48</f>
        <v>1996.6032608695657</v>
      </c>
      <c r="AZ24" s="220">
        <f>IF(BA24&lt;&gt;"",IF(BA24&lt;=MF_VF!$O$49,0,IF(BA24&gt;=MF_VF!$P$49,MF_VF!$D$49,SQRT((BA24-MF_VF!$O$49)/(MF_VF!$P$49-MF_VF!$O$49))*MF_VF!$D$49))*Service_Weights!$G$10,0)</f>
        <v>0.3231004253625423</v>
      </c>
      <c r="BA24" s="221">
        <f>MF_OP3!$Q$49</f>
        <v>24628.342245989301</v>
      </c>
      <c r="BB24" s="223"/>
      <c r="BC24" s="222"/>
      <c r="BD24" s="220">
        <f>IF(BE24&lt;&gt;"",IF(BE24&lt;=(0.9*MF_VF!$O$54+0.1*MF_VF!$P$54),0.1*MF_VF!$D$54*BE24/(0.9*MF_VF!$O$54+0.1*MF_VF!$P$54),IF(BE24&gt;=MF_VF!$P$54,MF_VF!$D$54,(BE24-MF_VF!$O$54)/(MF_VF!$P$54-MF_VF!$O$54)*MF_VF!$D$54))*Service_Weights!$G$11,0)</f>
        <v>4.8651224354731948</v>
      </c>
      <c r="BE24" s="266">
        <f>MF_OP3!$Q$54</f>
        <v>93.51422898742554</v>
      </c>
      <c r="BF24" s="219">
        <f>IF(BG24&lt;&gt;"",IF(BG24&lt;=MF_VF!$O$55,0,IF(BG24&gt;=MF_VF!$P$55,MF_VF!$D$55,SQRT((BG24-MF_VF!$O$55)/(MF_VF!$P$55-MF_VF!$O$55))*MF_VF!$D$55))*Service_Weights!$G$11,0)</f>
        <v>0.70530296826965588</v>
      </c>
      <c r="BG24" s="221">
        <f>MF_OP3!$Q$55</f>
        <v>6757.549502893371</v>
      </c>
      <c r="BH24" s="219">
        <f>IF(BI24&lt;&gt;"",IF(BI24&lt;=MF_VF!$O$56,0,IF(BI24&gt;=MF_VF!$P$56,MF_VF!$D$56,SQRT((BI24-MF_VF!$O$56)/(MF_VF!$P$56-MF_VF!$O$56))*MF_VF!$D$56))*Service_Weights!$G$11,0)</f>
        <v>0.89058885658488485</v>
      </c>
      <c r="BI24" s="221">
        <f>MF_OP3!$Q$56</f>
        <v>743.68421052631584</v>
      </c>
      <c r="BJ24" s="220">
        <f>IF(BK24&lt;&gt;"",IF(BK24&lt;=MF_VF!$O$57,0,IF(BK24&gt;=MF_VF!$P$57,MF_VF!$D$57,SQRT((BK24-MF_VF!$O$57)/(MF_VF!$P$57-MF_VF!$O$57))*MF_VF!$D$57))*Service_Weights!$G$11,0)</f>
        <v>0.55580003754777607</v>
      </c>
      <c r="BK24" s="221">
        <f>MF_OP3!$Q$57</f>
        <v>19072.519083969466</v>
      </c>
      <c r="BL24" s="223"/>
      <c r="BM24" s="222"/>
      <c r="BN24" s="219">
        <f>IF(BO24&lt;&gt;"",IF(BO24&lt;=(0.9*MF_VF!$O$62+0.1*MF_VF!$P$62),0.1*MF_VF!$D$62*BO24/(0.9*MF_VF!$O$62+0.1*MF_VF!$P$62),IF(BO24&gt;=MF_VF!$P$62,MF_VF!$D$62,(BO24-MF_VF!$O$62)/(MF_VF!$P$62-MF_VF!$O$62)*MF_VF!$D$62))*Service_Weights!$G$12,0)</f>
        <v>15.471762885436375</v>
      </c>
      <c r="BO24" s="266">
        <f>MF_OP3!$Q$62</f>
        <v>98.442064977933896</v>
      </c>
      <c r="BP24" s="219">
        <f>IF(AND(BQ24&lt;&gt;"",BQ24&lt;&gt;0),IF(BQ24&lt;=MF_VF!$O$63,MF_VF!$D$63,IF(BQ24&gt;=MF_VF!$P$63,0,MF_VF!$D$63-(BQ24-MF_VF!$O$63)/(MF_VF!$P$63-MF_VF!$O$63)*MF_VF!$D$63))*Service_Weights!$G$12,0)</f>
        <v>1.5</v>
      </c>
      <c r="BQ24" s="266">
        <f>MF_OP3!$Q$63</f>
        <v>1.2878977268652105</v>
      </c>
      <c r="BR24" s="219">
        <f>IF(BS24&lt;&gt;"",IF(BS24&lt;=MF_VF!$O$64,0,IF(BS24&gt;=MF_VF!$P$64,MF_VF!$D$64,(BS24-MF_VF!$O$64)/(MF_VF!$P$64-MF_VF!$O$64)*MF_VF!$D$64))*Service_Weights!$G$12,0)</f>
        <v>4.0524106897755061</v>
      </c>
      <c r="BS24" s="266">
        <f>MF_OP3!$Q$64</f>
        <v>98.010714176780027</v>
      </c>
      <c r="BT24" s="219">
        <f>IF(BU24&lt;&gt;"",IF(BU24&lt;=MF_VF!$O$65,0,IF(BU24&gt;=MF_VF!$P$65,MF_VF!$D$65,(BU24-MF_VF!$O$65)/(MF_VF!$P$65-MF_VF!$O$65)*MF_VF!$D$65))*Service_Weights!$G$12,0)</f>
        <v>3.5194805194805205</v>
      </c>
      <c r="BU24" s="266">
        <f>MF_OP3!$Q$65</f>
        <v>514.85714285714289</v>
      </c>
      <c r="BV24" s="220" t="e">
        <f>IF(BW24&lt;&gt;"",IF(BW24&lt;=MF_VF!#REF!,0,IF(BW24&gt;=MF_VF!#REF!,MF_VF!#REF!,(BW24-MF_VF!#REF!)/(MF_VF!#REF!-MF_VF!#REF!)*MF_VF!#REF!))*Service_Weights!$G$12,0)</f>
        <v>#REF!</v>
      </c>
      <c r="BW24" s="266" t="e">
        <f>MF_OP3!#REF!</f>
        <v>#REF!</v>
      </c>
    </row>
    <row r="27" spans="2:75" ht="36" x14ac:dyDescent="0.55000000000000004">
      <c r="B27" s="273" t="s">
        <v>688</v>
      </c>
    </row>
    <row r="28" spans="2:75" x14ac:dyDescent="0.35">
      <c r="B28" s="328" t="s">
        <v>689</v>
      </c>
      <c r="C28" s="328"/>
      <c r="D28" s="328"/>
      <c r="E28" s="328"/>
      <c r="F28" s="328"/>
      <c r="G28" s="328"/>
    </row>
    <row r="29" spans="2:75" x14ac:dyDescent="0.35">
      <c r="B29" s="274"/>
    </row>
    <row r="30" spans="2:75" x14ac:dyDescent="0.35">
      <c r="C30" s="275" t="s">
        <v>627</v>
      </c>
      <c r="E30" s="276">
        <f>IF(MAX(E7-E6,E8-E6,E9-E6)&lt;0,0,ROUND((MAX(E7-E6,E8-E6,E9-E6)),0))</f>
        <v>0</v>
      </c>
      <c r="F30" s="277"/>
      <c r="G30" s="276">
        <f>IF(MAX(G7-G6,G8-G6,G9-G6)&lt;0,0,ROUND((MAX(G7-G6,G8-G6,G9-G6)),0))</f>
        <v>0</v>
      </c>
      <c r="H30" s="277"/>
      <c r="I30" s="276">
        <f>IF(MAX(I7-I6,I8-I6,I9-I6)&lt;0,0,ROUND((MAX(I7-I6,I8-I6,I9-I6)),0))</f>
        <v>0</v>
      </c>
      <c r="J30" s="277"/>
      <c r="K30" s="278"/>
      <c r="L30" s="278"/>
      <c r="M30" s="278"/>
      <c r="N30" s="276">
        <f>IF(MAX(N7-N6,N8-N6,N9-N6)&lt;0,0,ROUND((MAX(N7-N6,N8-N6,N9-N6)),0))</f>
        <v>0</v>
      </c>
      <c r="O30" s="277"/>
      <c r="P30" s="276">
        <f>IF(MAX(P7-P6,P8-P6,P9-P6)&lt;0,0,ROUND((MAX(P7-P6,P8-P6,P9-P6)),0))</f>
        <v>0</v>
      </c>
      <c r="Q30" s="277"/>
      <c r="R30" s="278"/>
      <c r="S30" s="278"/>
      <c r="T30" s="276">
        <f>IF(MAX(T7-T6,T8-T6,T9-T6)&lt;0,0,ROUND((MAX(T7-T6,T8-T6,T9-T6)),0))</f>
        <v>0</v>
      </c>
      <c r="U30" s="277"/>
      <c r="V30" s="276">
        <f>IF(MAX(V7-V6,V8-V6,V9-V6)&lt;0,0,ROUND((MAX(V7-V6,V8-V6,V9-V6)),0))</f>
        <v>0</v>
      </c>
      <c r="W30" s="277"/>
      <c r="X30" s="278"/>
      <c r="Y30" s="278"/>
      <c r="Z30" s="276">
        <f>IF(MAX(Z7-Z6,Z8-Z6,Z9-Z6)&lt;0,0,ROUND((MAX(Z7-Z6,Z8-Z6,Z9-Z6)),0))</f>
        <v>0</v>
      </c>
      <c r="AA30" s="277"/>
      <c r="AB30" s="276">
        <f>IF(MAX(AB7-AB6,AB8-AB6,AB9-AB6)&lt;0,0,ROUND((MAX(AB7-AB6,AB8-AB6,AB9-AB6)),0))</f>
        <v>0</v>
      </c>
      <c r="AC30" s="277"/>
      <c r="AD30" s="276">
        <f>IF(MAX(AD7-AD6,AD8-AD6,AD9-AD6)&lt;0,0,ROUND((MAX(AD7-AD6,AD8-AD6,AD9-AD6)),0))</f>
        <v>0</v>
      </c>
      <c r="AE30" s="276"/>
      <c r="AF30" s="276">
        <f>IF(MAX(AF7-AF6,AF8-AF6,AF9-AF6)&lt;0,0,ROUND((MAX(AF7-AF6,AF8-AF6,AF9-AF6)),0))</f>
        <v>0</v>
      </c>
      <c r="AG30" s="276"/>
      <c r="AH30" s="278"/>
      <c r="AI30" s="278"/>
      <c r="AJ30" s="276">
        <f>IF(MAX(AJ7-AJ6,AJ8-AJ6,AJ9-AJ6)&lt;0,0,ROUND((MAX(AJ7-AJ6,AJ8-AJ6,AJ9-AJ6)),0))</f>
        <v>1</v>
      </c>
      <c r="AK30" s="277"/>
      <c r="AL30" s="276">
        <f>IF(MAX(AL7-AL6,AL8-AL6,AL9-AL6)&lt;0,0,ROUND((MAX(AL7-AL6,AL8-AL6,AL9-AL6)),0))</f>
        <v>0</v>
      </c>
      <c r="AM30" s="277"/>
      <c r="AN30" s="276">
        <f>IF(MAX(AN7-AN6,AN8-AN6,AN9-AN6)&lt;0,0,ROUND((MAX(AN7-AN6,AN8-AN6,AN9-AN6)),0))</f>
        <v>0</v>
      </c>
      <c r="AO30" s="276"/>
      <c r="AP30" s="276">
        <f>IF(MAX(AP7-AP6,AP8-AP6,AP9-AP6)&lt;0,0,ROUND((MAX(AP7-AP6,AP8-AP6,AP9-AP6)),0))</f>
        <v>0</v>
      </c>
      <c r="AQ30" s="276"/>
      <c r="AR30" s="278"/>
      <c r="AS30" s="278"/>
      <c r="AT30" s="276">
        <f>IF(MAX(AT7-AT6,AT8-AT6,AT9-AT6)&lt;0,0,ROUND((MAX(AT7-AT6,AT8-AT6,AT9-AT6)),0))</f>
        <v>0</v>
      </c>
      <c r="AU30" s="277"/>
      <c r="AV30" s="276">
        <f>IF(MAX(AV7-AV6,AV8-AV6,AV9-AV6)&lt;0,0,ROUND((MAX(AV7-AV6,AV8-AV6,AV9-AV6)),0))</f>
        <v>0</v>
      </c>
      <c r="AW30" s="276"/>
      <c r="AX30" s="276">
        <f>IF(MAX(AX7-AX6,AX8-AX6,AX9-AX6)&lt;0,0,ROUND((MAX(AX7-AX6,AX8-AX6,AX9-AX6)),0))</f>
        <v>0</v>
      </c>
      <c r="AY30" s="276"/>
      <c r="AZ30" s="276">
        <f>IF(MAX(AZ7-AZ6,AZ8-AZ6,AZ9-AZ6)&lt;0,0,ROUND((MAX(AZ7-AZ6,AZ8-AZ6,AZ9-AZ6)),0))</f>
        <v>0</v>
      </c>
      <c r="BA30" s="276"/>
      <c r="BB30" s="278"/>
      <c r="BC30" s="278"/>
      <c r="BD30" s="276">
        <f>IF(MAX(BD7-BD6,BD8-BD6,BD9-BD6)&lt;0,0,ROUND((MAX(BD7-BD6,BD8-BD6,BD9-BD6)),0))</f>
        <v>0</v>
      </c>
      <c r="BE30" s="277"/>
      <c r="BF30" s="276">
        <f>IF(MAX(BF7-BF6,BF8-BF6,BF9-BF6)&lt;0,0,ROUND((MAX(BF7-BF6,BF8-BF6,BF9-BF6)),0))</f>
        <v>0</v>
      </c>
      <c r="BG30" s="276"/>
      <c r="BH30" s="276">
        <f>IF(MAX(BH7-BH6,BH8-BH6,BH9-BH6)&lt;0,0,ROUND((MAX(BH7-BH6,BH8-BH6,BH9-BH6)),0))</f>
        <v>0</v>
      </c>
      <c r="BI30" s="276"/>
      <c r="BJ30" s="276">
        <f>IF(MAX(BJ7-BJ6,BJ8-BJ6,BJ9-BJ6)&lt;0,0,ROUND((MAX(BJ7-BJ6,BJ8-BJ6,BJ9-BJ6)),0))</f>
        <v>0</v>
      </c>
      <c r="BK30" s="276"/>
      <c r="BL30" s="278"/>
      <c r="BM30" s="278"/>
      <c r="BN30" s="276">
        <f>IF(MAX(BN7-BN6,BN8-BN6,BN9-BN6)&lt;0,0,ROUND((MAX(BN7-BN6,BN8-BN6,BN9-BN6)),0))</f>
        <v>0</v>
      </c>
      <c r="BO30" s="277"/>
      <c r="BP30" s="276">
        <f>IF(MAX(BP7-BP6,BP8-BP6,BP9-BP6)&lt;0,0,ROUND((MAX(BP7-BP6,BP8-BP6,BP9-BP6)),0))</f>
        <v>0</v>
      </c>
      <c r="BQ30" s="277"/>
      <c r="BR30" s="276">
        <f>IF(MAX(BR7-BR6,BR8-BR6,BR9-BR6)&lt;0,0,ROUND((MAX(BR7-BR6,BR8-BR6,BR9-BR6)),0))</f>
        <v>1</v>
      </c>
      <c r="BS30" s="277"/>
      <c r="BT30" s="276">
        <f>IF(MAX(BT7-BT6,BT8-BT6,BT9-BT6)&lt;0,0,ROUND((MAX(BT7-BT6,BT8-BT6,BT9-BT6)),0))</f>
        <v>0</v>
      </c>
      <c r="BU30" s="277"/>
      <c r="BV30" s="276" t="e">
        <f>IF(MAX(BV7-BV6,BV8-BV6,BV9-BV6)&lt;0,0,ROUND((MAX(BV7-BV6,BV8-BV6,BV9-BV6)),0))</f>
        <v>#REF!</v>
      </c>
      <c r="BW30" s="277"/>
    </row>
    <row r="31" spans="2:75" x14ac:dyDescent="0.35">
      <c r="B31" s="274"/>
      <c r="C31" s="274"/>
    </row>
    <row r="32" spans="2:75" x14ac:dyDescent="0.35">
      <c r="C32" s="275" t="s">
        <v>648</v>
      </c>
      <c r="E32" s="276">
        <f>IF(MAX(E12-E11,E13-E11,E14-E11)&lt;0,0,ROUND((MAX(E12-E11,E13-E11,E14-E11)),0))</f>
        <v>0</v>
      </c>
      <c r="F32" s="277"/>
      <c r="G32" s="276">
        <f>IF(MAX(G12-G11,G13-G11,G14-G11)&lt;0,0,ROUND((MAX(G12-G11,G13-G11,G14-G11)),0))</f>
        <v>0</v>
      </c>
      <c r="H32" s="277"/>
      <c r="I32" s="276">
        <f>IF(MAX(I12-I11,I13-I11,I14-I11)&lt;0,0,ROUND((MAX(I12-I11,I13-I11,I14-I11)),0))</f>
        <v>0</v>
      </c>
      <c r="J32" s="277"/>
      <c r="K32" s="278"/>
      <c r="L32" s="278"/>
      <c r="M32" s="278"/>
      <c r="N32" s="276">
        <f>IF(MAX(N12-N11,N13-N11,N14-N11)&lt;0,0,ROUND((MAX(N12-N11,N13-N11,N14-N11)),0))</f>
        <v>0</v>
      </c>
      <c r="O32" s="277"/>
      <c r="P32" s="276">
        <f>IF(MAX(P12-P11,P13-P11,P14-P11)&lt;0,0,ROUND((MAX(P12-P11,P13-P11,P14-P11)),0))</f>
        <v>0</v>
      </c>
      <c r="Q32" s="277"/>
      <c r="R32" s="278"/>
      <c r="S32" s="278"/>
      <c r="T32" s="276">
        <f>IF(MAX(T12-T11,T13-T11,T14-T11)&lt;0,0,ROUND((MAX(T12-T11,T13-T11,T14-T11)),0))</f>
        <v>0</v>
      </c>
      <c r="U32" s="277"/>
      <c r="V32" s="276">
        <f>IF(MAX(V12-V11,V13-V11,V14-V11)&lt;0,0,ROUND((MAX(V12-V11,V13-V11,V14-V11)),0))</f>
        <v>0</v>
      </c>
      <c r="W32" s="277"/>
      <c r="X32" s="278"/>
      <c r="Y32" s="278"/>
      <c r="Z32" s="276">
        <f>IF(MAX(Z12-Z11,Z13-Z11,Z14-Z11)&lt;0,0,ROUND((MAX(Z12-Z11,Z13-Z11,Z14-Z11)),0))</f>
        <v>0</v>
      </c>
      <c r="AA32" s="277"/>
      <c r="AB32" s="276">
        <f>IF(MAX(AB12-AB11,AB13-AB11,AB14-AB11)&lt;0,0,ROUND((MAX(AB12-AB11,AB13-AB11,AB14-AB11)),0))</f>
        <v>0</v>
      </c>
      <c r="AC32" s="277"/>
      <c r="AD32" s="276">
        <f>IF(MAX(AD12-AD11,AD13-AD11,AD14-AD11)&lt;0,0,ROUND((MAX(AD12-AD11,AD13-AD11,AD14-AD11)),0))</f>
        <v>0</v>
      </c>
      <c r="AE32" s="276"/>
      <c r="AF32" s="276">
        <f>IF(MAX(AF12-AF11,AF13-AF11,AF14-AF11)&lt;0,0,ROUND((MAX(AF12-AF11,AF13-AF11,AF14-AF11)),0))</f>
        <v>0</v>
      </c>
      <c r="AG32" s="276"/>
      <c r="AH32" s="278"/>
      <c r="AI32" s="278"/>
      <c r="AJ32" s="276">
        <f>IF(MAX(AJ12-AJ11,AJ13-AJ11,AJ14-AJ11)&lt;0,0,ROUND((MAX(AJ12-AJ11,AJ13-AJ11,AJ14-AJ11)),0))</f>
        <v>0</v>
      </c>
      <c r="AK32" s="277"/>
      <c r="AL32" s="276">
        <f>IF(MAX(AL12-AL11,AL13-AL11,AL14-AL11)&lt;0,0,ROUND((MAX(AL12-AL11,AL13-AL11,AL14-AL11)),0))</f>
        <v>0</v>
      </c>
      <c r="AM32" s="277"/>
      <c r="AN32" s="276">
        <f>IF(MAX(AN12-AN11,AN13-AN11,AN14-AN11)&lt;0,0,ROUND((MAX(AN12-AN11,AN13-AN11,AN14-AN11)),0))</f>
        <v>0</v>
      </c>
      <c r="AO32" s="276"/>
      <c r="AP32" s="276">
        <f>IF(MAX(AP12-AP11,AP13-AP11,AP14-AP11)&lt;0,0,ROUND((MAX(AP12-AP11,AP13-AP11,AP14-AP11)),0))</f>
        <v>0</v>
      </c>
      <c r="AQ32" s="276"/>
      <c r="AR32" s="278"/>
      <c r="AS32" s="278"/>
      <c r="AT32" s="276">
        <f>IF(MAX(AT12-AT11,AT13-AT11,AT14-AT11)&lt;0,0,ROUND((MAX(AT12-AT11,AT13-AT11,AT14-AT11)),0))</f>
        <v>0</v>
      </c>
      <c r="AU32" s="277"/>
      <c r="AV32" s="276">
        <f>IF(MAX(AV12-AV11,AV13-AV11,AV14-AV11)&lt;0,0,ROUND((MAX(AV12-AV11,AV13-AV11,AV14-AV11)),0))</f>
        <v>0</v>
      </c>
      <c r="AW32" s="276"/>
      <c r="AX32" s="276">
        <f>IF(MAX(AX12-AX11,AX13-AX11,AX14-AX11)&lt;0,0,ROUND((MAX(AX12-AX11,AX13-AX11,AX14-AX11)),0))</f>
        <v>0</v>
      </c>
      <c r="AY32" s="276"/>
      <c r="AZ32" s="276">
        <f>IF(MAX(AZ12-AZ11,AZ13-AZ11,AZ14-AZ11)&lt;0,0,ROUND((MAX(AZ12-AZ11,AZ13-AZ11,AZ14-AZ11)),0))</f>
        <v>0</v>
      </c>
      <c r="BA32" s="276"/>
      <c r="BB32" s="278"/>
      <c r="BC32" s="278"/>
      <c r="BD32" s="276">
        <f>IF(MAX(BD12-BD11,BD13-BD11,BD14-BD11)&lt;0,0,ROUND((MAX(BD12-BD11,BD13-BD11,BD14-BD11)),0))</f>
        <v>0</v>
      </c>
      <c r="BE32" s="277"/>
      <c r="BF32" s="276">
        <f>IF(MAX(BF12-BF11,BF13-BF11,BF14-BF11)&lt;0,0,ROUND((MAX(BF12-BF11,BF13-BF11,BF14-BF11)),0))</f>
        <v>0</v>
      </c>
      <c r="BG32" s="276"/>
      <c r="BH32" s="276">
        <f>IF(MAX(BH12-BH11,BH13-BH11,BH14-BH11)&lt;0,0,ROUND((MAX(BH12-BH11,BH13-BH11,BH14-BH11)),0))</f>
        <v>0</v>
      </c>
      <c r="BI32" s="276"/>
      <c r="BJ32" s="276">
        <f>IF(MAX(BJ12-BJ11,BJ13-BJ11,BJ14-BJ11)&lt;0,0,ROUND((MAX(BJ12-BJ11,BJ13-BJ11,BJ14-BJ11)),0))</f>
        <v>0</v>
      </c>
      <c r="BK32" s="276"/>
      <c r="BL32" s="278"/>
      <c r="BM32" s="278"/>
      <c r="BN32" s="276">
        <f>IF(MAX(BN12-BN11,BN13-BN11,BN14-BN11)&lt;0,0,ROUND((MAX(BN12-BN11,BN13-BN11,BN14-BN11)),0))</f>
        <v>1</v>
      </c>
      <c r="BO32" s="277"/>
      <c r="BP32" s="276">
        <f>IF(MAX(BP12-BP11,BP13-BP11,BP14-BP11)&lt;0,0,ROUND((MAX(BP12-BP11,BP13-BP11,BP14-BP11)),0))</f>
        <v>0</v>
      </c>
      <c r="BQ32" s="277"/>
      <c r="BR32" s="276">
        <f>IF(MAX(BR12-BR11,BR13-BR11,BR14-BR11)&lt;0,0,ROUND((MAX(BR12-BR11,BR13-BR11,BR14-BR11)),0))</f>
        <v>0</v>
      </c>
      <c r="BS32" s="277"/>
      <c r="BT32" s="276">
        <f>IF(MAX(BT12-BT11,BT13-BT11,BT14-BT11)&lt;0,0,ROUND((MAX(BT12-BT11,BT13-BT11,BT14-BT11)),0))</f>
        <v>0</v>
      </c>
      <c r="BU32" s="277"/>
      <c r="BV32" s="276" t="e">
        <f>IF(MAX(BV12-BV11,BV13-BV11,BV14-BV11)&lt;0,0,ROUND((MAX(BV12-BV11,BV13-BV11,BV14-BV11)),0))</f>
        <v>#REF!</v>
      </c>
      <c r="BW32" s="277"/>
    </row>
    <row r="33" spans="2:75" x14ac:dyDescent="0.35">
      <c r="C33" s="275" t="s">
        <v>649</v>
      </c>
      <c r="E33" s="276">
        <f>IF(MAX(E17-E16,E18-E16,E19-E16)&lt;0,0,ROUND((MAX(E17-E16,E18-E16,E19-E16)),0))</f>
        <v>0</v>
      </c>
      <c r="F33" s="277"/>
      <c r="G33" s="276">
        <f>IF(MAX(G17-G16,G18-G16,G19-G16)&lt;0,0,ROUND((MAX(G17-G16,G18-G16,G19-G16)),0))</f>
        <v>0</v>
      </c>
      <c r="H33" s="277"/>
      <c r="I33" s="276">
        <f>IF(MAX(I17-I16,I18-I16,I19-I16)&lt;0,0,ROUND((MAX(I17-I16,I18-I16,I19-I16)),0))</f>
        <v>0</v>
      </c>
      <c r="J33" s="277"/>
      <c r="K33" s="278"/>
      <c r="L33" s="278"/>
      <c r="M33" s="278"/>
      <c r="N33" s="276">
        <f>IF(MAX(N17-N16,N18-N16,N19-N16)&lt;0,0,ROUND((MAX(N17-N16,N18-N16,N19-N16)),0))</f>
        <v>0</v>
      </c>
      <c r="O33" s="277"/>
      <c r="P33" s="276">
        <f>IF(MAX(P17-P16,P18-P16,P19-P16)&lt;0,0,ROUND((MAX(P17-P16,P18-P16,P19-P16)),0))</f>
        <v>0</v>
      </c>
      <c r="Q33" s="277"/>
      <c r="R33" s="278"/>
      <c r="S33" s="278"/>
      <c r="T33" s="276">
        <f>IF(MAX(T17-T16,T18-T16,T19-T16)&lt;0,0,ROUND((MAX(T17-T16,T18-T16,T19-T16)),0))</f>
        <v>0</v>
      </c>
      <c r="U33" s="277"/>
      <c r="V33" s="276">
        <f>IF(MAX(V17-V16,V18-V16,V19-V16)&lt;0,0,ROUND((MAX(V17-V16,V18-V16,V19-V16)),0))</f>
        <v>0</v>
      </c>
      <c r="W33" s="277"/>
      <c r="X33" s="278"/>
      <c r="Y33" s="278"/>
      <c r="Z33" s="276">
        <f>IF(MAX(Z17-Z16,Z18-Z16,Z19-Z16)&lt;0,0,ROUND((MAX(Z17-Z16,Z18-Z16,Z19-Z16)),0))</f>
        <v>0</v>
      </c>
      <c r="AA33" s="277"/>
      <c r="AB33" s="276">
        <f>IF(MAX(AB17-AB16,AB18-AB16,AB19-AB16)&lt;0,0,ROUND((MAX(AB17-AB16,AB18-AB16,AB19-AB16)),0))</f>
        <v>0</v>
      </c>
      <c r="AC33" s="277"/>
      <c r="AD33" s="276">
        <f>IF(MAX(AD17-AD16,AD18-AD16,AD19-AD16)&lt;0,0,ROUND((MAX(AD17-AD16,AD18-AD16,AD19-AD16)),0))</f>
        <v>0</v>
      </c>
      <c r="AE33" s="276"/>
      <c r="AF33" s="276">
        <f>IF(MAX(AF17-AF16,AF18-AF16,AF19-AF16)&lt;0,0,ROUND((MAX(AF17-AF16,AF18-AF16,AF19-AF16)),0))</f>
        <v>0</v>
      </c>
      <c r="AG33" s="276"/>
      <c r="AH33" s="278"/>
      <c r="AI33" s="278"/>
      <c r="AJ33" s="276">
        <f>IF(MAX(AJ17-AJ16,AJ18-AJ16,AJ19-AJ16)&lt;0,0,ROUND((MAX(AJ17-AJ16,AJ18-AJ16,AJ19-AJ16)),0))</f>
        <v>0</v>
      </c>
      <c r="AK33" s="277"/>
      <c r="AL33" s="276">
        <f>IF(MAX(AL17-AL16,AL18-AL16,AL19-AL16)&lt;0,0,ROUND((MAX(AL17-AL16,AL18-AL16,AL19-AL16)),0))</f>
        <v>0</v>
      </c>
      <c r="AM33" s="277"/>
      <c r="AN33" s="276">
        <f>IF(MAX(AN17-AN16,AN18-AN16,AN19-AN16)&lt;0,0,ROUND((MAX(AN17-AN16,AN18-AN16,AN19-AN16)),0))</f>
        <v>0</v>
      </c>
      <c r="AO33" s="276"/>
      <c r="AP33" s="276">
        <f>IF(MAX(AP17-AP16,AP18-AP16,AP19-AP16)&lt;0,0,ROUND((MAX(AP17-AP16,AP18-AP16,AP19-AP16)),0))</f>
        <v>0</v>
      </c>
      <c r="AQ33" s="276"/>
      <c r="AR33" s="278"/>
      <c r="AS33" s="278"/>
      <c r="AT33" s="276">
        <f>IF(MAX(AT17-AT16,AT18-AT16,AT19-AT16)&lt;0,0,ROUND((MAX(AT17-AT16,AT18-AT16,AT19-AT16)),0))</f>
        <v>0</v>
      </c>
      <c r="AU33" s="277"/>
      <c r="AV33" s="276">
        <f>IF(MAX(AV17-AV16,AV18-AV16,AV19-AV16)&lt;0,0,ROUND((MAX(AV17-AV16,AV18-AV16,AV19-AV16)),0))</f>
        <v>0</v>
      </c>
      <c r="AW33" s="276"/>
      <c r="AX33" s="276">
        <f>IF(MAX(AX17-AX16,AX18-AX16,AX19-AX16)&lt;0,0,ROUND((MAX(AX17-AX16,AX18-AX16,AX19-AX16)),0))</f>
        <v>0</v>
      </c>
      <c r="AY33" s="276"/>
      <c r="AZ33" s="276">
        <f>IF(MAX(AZ17-AZ16,AZ18-AZ16,AZ19-AZ16)&lt;0,0,ROUND((MAX(AZ17-AZ16,AZ18-AZ16,AZ19-AZ16)),0))</f>
        <v>0</v>
      </c>
      <c r="BA33" s="276"/>
      <c r="BB33" s="278"/>
      <c r="BC33" s="278"/>
      <c r="BD33" s="276">
        <f>IF(MAX(BD17-BD16,BD18-BD16,BD19-BD16)&lt;0,0,ROUND((MAX(BD17-BD16,BD18-BD16,BD19-BD16)),0))</f>
        <v>0</v>
      </c>
      <c r="BE33" s="277"/>
      <c r="BF33" s="276">
        <f>IF(MAX(BF17-BF16,BF18-BF16,BF19-BF16)&lt;0,0,ROUND((MAX(BF17-BF16,BF18-BF16,BF19-BF16)),0))</f>
        <v>0</v>
      </c>
      <c r="BG33" s="276"/>
      <c r="BH33" s="276">
        <f>IF(MAX(BH17-BH16,BH18-BH16,BH19-BH16)&lt;0,0,ROUND((MAX(BH17-BH16,BH18-BH16,BH19-BH16)),0))</f>
        <v>0</v>
      </c>
      <c r="BI33" s="276"/>
      <c r="BJ33" s="276">
        <f>IF(MAX(BJ17-BJ16,BJ18-BJ16,BJ19-BJ16)&lt;0,0,ROUND((MAX(BJ17-BJ16,BJ18-BJ16,BJ19-BJ16)),0))</f>
        <v>0</v>
      </c>
      <c r="BK33" s="276"/>
      <c r="BL33" s="278"/>
      <c r="BM33" s="278"/>
      <c r="BN33" s="276">
        <f>IF(MAX(BN17-BN16,BN18-BN16,BN19-BN16)&lt;0,0,ROUND((MAX(BN17-BN16,BN18-BN16,BN19-BN16)),0))</f>
        <v>0</v>
      </c>
      <c r="BO33" s="277"/>
      <c r="BP33" s="276">
        <f>IF(MAX(BP17-BP16,BP18-BP16,BP19-BP16)&lt;0,0,ROUND((MAX(BP17-BP16,BP18-BP16,BP19-BP16)),0))</f>
        <v>0</v>
      </c>
      <c r="BQ33" s="277"/>
      <c r="BR33" s="276">
        <f>IF(MAX(BR17-BR16,BR18-BR16,BR19-BR16)&lt;0,0,ROUND((MAX(BR17-BR16,BR18-BR16,BR19-BR16)),0))</f>
        <v>0</v>
      </c>
      <c r="BS33" s="277"/>
      <c r="BT33" s="276">
        <f>IF(MAX(BT17-BT16,BT18-BT16,BT19-BT16)&lt;0,0,ROUND((MAX(BT17-BT16,BT18-BT16,BT19-BT16)),0))</f>
        <v>1</v>
      </c>
      <c r="BU33" s="277"/>
      <c r="BV33" s="276" t="e">
        <f>IF(MAX(BV17-BV16,BV18-BV16,BV19-BV16)&lt;0,0,ROUND((MAX(BV17-BV16,BV18-BV16,BV19-BV16)),0))</f>
        <v>#REF!</v>
      </c>
      <c r="BW33" s="277"/>
    </row>
    <row r="34" spans="2:75" x14ac:dyDescent="0.35">
      <c r="C34" s="275" t="s">
        <v>650</v>
      </c>
      <c r="E34" s="276">
        <f>IF(MAX(E22-E21,E23-E21,E24-E21)&lt;0,0,ROUND((MAX(E22-E21,E23-E21,E24-E21)),0))</f>
        <v>0</v>
      </c>
      <c r="F34" s="277"/>
      <c r="G34" s="276">
        <f>IF(MAX(G22-G21,G23-G21,G24-G21)&lt;0,0,ROUND((MAX(G22-G21,G23-G21,G24-G21)),0))</f>
        <v>0</v>
      </c>
      <c r="H34" s="277"/>
      <c r="I34" s="276">
        <f>IF(MAX(I22-I21,I23-I21,I24-I21)&lt;0,0,ROUND((MAX(I22-I21,I23-I21,I24-I21)),0))</f>
        <v>0</v>
      </c>
      <c r="J34" s="277"/>
      <c r="K34" s="278"/>
      <c r="L34" s="278"/>
      <c r="M34" s="278"/>
      <c r="N34" s="276">
        <f>IF(MAX(N22-N21,N23-N21,N24-N21)&lt;0,0,ROUND((MAX(N22-N21,N23-N21,N24-N21)),0))</f>
        <v>0</v>
      </c>
      <c r="O34" s="277"/>
      <c r="P34" s="276">
        <f>IF(MAX(P22-P21,P23-P21,P24-P21)&lt;0,0,ROUND((MAX(P22-P21,P23-P21,P24-P21)),0))</f>
        <v>0</v>
      </c>
      <c r="Q34" s="277"/>
      <c r="R34" s="278"/>
      <c r="S34" s="278"/>
      <c r="T34" s="276">
        <f>IF(MAX(T22-T21,T23-T21,T24-T21)&lt;0,0,ROUND((MAX(T22-T21,T23-T21,T24-T21)),0))</f>
        <v>0</v>
      </c>
      <c r="U34" s="277"/>
      <c r="V34" s="276">
        <f>IF(MAX(V22-V21,V23-V21,V24-V21)&lt;0,0,ROUND((MAX(V22-V21,V23-V21,V24-V21)),0))</f>
        <v>0</v>
      </c>
      <c r="W34" s="277"/>
      <c r="X34" s="278"/>
      <c r="Y34" s="278"/>
      <c r="Z34" s="276">
        <f>IF(MAX(Z22-Z21,Z23-Z21,Z24-Z21)&lt;0,0,ROUND((MAX(Z22-Z21,Z23-Z21,Z24-Z21)),0))</f>
        <v>0</v>
      </c>
      <c r="AA34" s="277"/>
      <c r="AB34" s="276">
        <f>IF(MAX(AB22-AB21,AB23-AB21,AB24-AB21)&lt;0,0,ROUND((MAX(AB22-AB21,AB23-AB21,AB24-AB21)),0))</f>
        <v>0</v>
      </c>
      <c r="AC34" s="277"/>
      <c r="AD34" s="276">
        <f>IF(MAX(AD22-AD21,AD23-AD21,AD24-AD21)&lt;0,0,ROUND((MAX(AD22-AD21,AD23-AD21,AD24-AD21)),0))</f>
        <v>0</v>
      </c>
      <c r="AE34" s="276"/>
      <c r="AF34" s="276">
        <f>IF(MAX(AF22-AF21,AF23-AF21,AF24-AF21)&lt;0,0,ROUND((MAX(AF22-AF21,AF23-AF21,AF24-AF21)),0))</f>
        <v>0</v>
      </c>
      <c r="AG34" s="276"/>
      <c r="AH34" s="278"/>
      <c r="AI34" s="278"/>
      <c r="AJ34" s="276">
        <f>IF(MAX(AJ22-AJ21,AJ23-AJ21,AJ24-AJ21)&lt;0,0,ROUND((MAX(AJ22-AJ21,AJ23-AJ21,AJ24-AJ21)),0))</f>
        <v>1</v>
      </c>
      <c r="AK34" s="277"/>
      <c r="AL34" s="276">
        <f>IF(MAX(AL22-AL21,AL23-AL21,AL24-AL21)&lt;0,0,ROUND((MAX(AL22-AL21,AL23-AL21,AL24-AL21)),0))</f>
        <v>0</v>
      </c>
      <c r="AM34" s="277"/>
      <c r="AN34" s="276">
        <f>IF(MAX(AN22-AN21,AN23-AN21,AN24-AN21)&lt;0,0,ROUND((MAX(AN22-AN21,AN23-AN21,AN24-AN21)),0))</f>
        <v>0</v>
      </c>
      <c r="AO34" s="276"/>
      <c r="AP34" s="276">
        <f>IF(MAX(AP22-AP21,AP23-AP21,AP24-AP21)&lt;0,0,ROUND((MAX(AP22-AP21,AP23-AP21,AP24-AP21)),0))</f>
        <v>0</v>
      </c>
      <c r="AQ34" s="276"/>
      <c r="AR34" s="278"/>
      <c r="AS34" s="278"/>
      <c r="AT34" s="276">
        <f>IF(MAX(AT22-AT21,AT23-AT21,AT24-AT21)&lt;0,0,ROUND((MAX(AT22-AT21,AT23-AT21,AT24-AT21)),0))</f>
        <v>0</v>
      </c>
      <c r="AU34" s="277"/>
      <c r="AV34" s="276">
        <f>IF(MAX(AV22-AV21,AV23-AV21,AV24-AV21)&lt;0,0,ROUND((MAX(AV22-AV21,AV23-AV21,AV24-AV21)),0))</f>
        <v>0</v>
      </c>
      <c r="AW34" s="276"/>
      <c r="AX34" s="276">
        <f>IF(MAX(AX22-AX21,AX23-AX21,AX24-AX21)&lt;0,0,ROUND((MAX(AX22-AX21,AX23-AX21,AX24-AX21)),0))</f>
        <v>0</v>
      </c>
      <c r="AY34" s="276"/>
      <c r="AZ34" s="276">
        <f>IF(MAX(AZ22-AZ21,AZ23-AZ21,AZ24-AZ21)&lt;0,0,ROUND((MAX(AZ22-AZ21,AZ23-AZ21,AZ24-AZ21)),0))</f>
        <v>0</v>
      </c>
      <c r="BA34" s="276"/>
      <c r="BB34" s="278"/>
      <c r="BC34" s="278"/>
      <c r="BD34" s="276">
        <f>IF(MAX(BD22-BD21,BD23-BD21,BD24-BD21)&lt;0,0,ROUND((MAX(BD22-BD21,BD23-BD21,BD24-BD21)),0))</f>
        <v>0</v>
      </c>
      <c r="BE34" s="277"/>
      <c r="BF34" s="276">
        <f>IF(MAX(BF22-BF21,BF23-BF21,BF24-BF21)&lt;0,0,ROUND((MAX(BF22-BF21,BF23-BF21,BF24-BF21)),0))</f>
        <v>0</v>
      </c>
      <c r="BG34" s="276"/>
      <c r="BH34" s="276">
        <f>IF(MAX(BH22-BH21,BH23-BH21,BH24-BH21)&lt;0,0,ROUND((MAX(BH22-BH21,BH23-BH21,BH24-BH21)),0))</f>
        <v>0</v>
      </c>
      <c r="BI34" s="276"/>
      <c r="BJ34" s="276">
        <f>IF(MAX(BJ22-BJ21,BJ23-BJ21,BJ24-BJ21)&lt;0,0,ROUND((MAX(BJ22-BJ21,BJ23-BJ21,BJ24-BJ21)),0))</f>
        <v>0</v>
      </c>
      <c r="BK34" s="276"/>
      <c r="BL34" s="278"/>
      <c r="BM34" s="278"/>
      <c r="BN34" s="276">
        <f>IF(MAX(BN22-BN21,BN23-BN21,BN24-BN21)&lt;0,0,ROUND((MAX(BN22-BN21,BN23-BN21,BN24-BN21)),0))</f>
        <v>0</v>
      </c>
      <c r="BO34" s="277"/>
      <c r="BP34" s="276">
        <f>IF(MAX(BP22-BP21,BP23-BP21,BP24-BP21)&lt;0,0,ROUND((MAX(BP22-BP21,BP23-BP21,BP24-BP21)),0))</f>
        <v>0</v>
      </c>
      <c r="BQ34" s="277"/>
      <c r="BR34" s="276">
        <f>IF(MAX(BR22-BR21,BR23-BR21,BR24-BR21)&lt;0,0,ROUND((MAX(BR22-BR21,BR23-BR21,BR24-BR21)),0))</f>
        <v>0</v>
      </c>
      <c r="BS34" s="277"/>
      <c r="BT34" s="276">
        <f>IF(MAX(BT22-BT21,BT23-BT21,BT24-BT21)&lt;0,0,ROUND((MAX(BT22-BT21,BT23-BT21,BT24-BT21)),0))</f>
        <v>0</v>
      </c>
      <c r="BU34" s="277"/>
      <c r="BV34" s="276" t="e">
        <f>IF(MAX(BV22-BV21,BV23-BV21,BV24-BV21)&lt;0,0,ROUND((MAX(BV22-BV21,BV23-BV21,BV24-BV21)),0))</f>
        <v>#REF!</v>
      </c>
      <c r="BW34" s="277"/>
    </row>
    <row r="36" spans="2:75" x14ac:dyDescent="0.35">
      <c r="B36" s="328" t="s">
        <v>690</v>
      </c>
      <c r="C36" s="328"/>
      <c r="D36" s="328"/>
      <c r="E36" s="328"/>
      <c r="F36" s="328"/>
      <c r="G36" s="328"/>
    </row>
    <row r="37" spans="2:75" x14ac:dyDescent="0.35">
      <c r="B37" s="274"/>
    </row>
    <row r="38" spans="2:75" x14ac:dyDescent="0.35">
      <c r="C38" s="275" t="s">
        <v>648</v>
      </c>
      <c r="E38" s="276"/>
      <c r="F38" s="277">
        <f>IFERROR(IF(MAX(F12-F11,F13-F11,F14-F11)&lt;0,0,MAX(F12-F11,F13-F11,F14-F11)),IF(MAX(F12-F11,F13-F11)&lt;0,0,MAX(F12-F11,F13-F11)))</f>
        <v>0</v>
      </c>
      <c r="G38" s="276"/>
      <c r="H38" s="277">
        <f>IFERROR(IF(MIN(H12-H11,H13-H11,H14-H11)&gt;0,0,MIN(H12-H11,H13-H11,H14-H11)),IF(MIN(H12-H11,H13-H11)&gt;0,0,MIN(H12-H11,H13-H11)))</f>
        <v>0</v>
      </c>
      <c r="I38" s="276"/>
      <c r="J38" s="277">
        <f>IFERROR(IF(MAX(J12-J11,J13-J11,J14-J11)&lt;0,0,MAX(J12-J11,J13-J11,J14-J11)),IF(MAX(J12-J11,J13-J11)&lt;0,0,MAX(J12-J11,J13-J11)))</f>
        <v>0</v>
      </c>
      <c r="K38" s="278"/>
      <c r="L38" s="278"/>
      <c r="M38" s="278"/>
      <c r="N38" s="276"/>
      <c r="O38" s="277">
        <f>IFERROR(IF(MAX(O12-O11,O13-O11,O14-O11)&lt;0,0,MAX(O12-O11,O13-O11,O14-O11)),IF(MAX(O12-O11,O13-O11)&lt;0,0,MAX(O12-O11,O13-O11)))</f>
        <v>0</v>
      </c>
      <c r="P38" s="276"/>
      <c r="Q38" s="277">
        <f>IFERROR(IF(MIN(Q12-Q11,Q13-Q11,Q14-Q11)&gt;0,0,MIN(Q12-Q11,Q13-Q11,Q14-Q11)),IF(MIN(Q12-Q11,Q13-Q11)&gt;0,0,MIN(Q12-Q11,Q13-Q11)))</f>
        <v>0</v>
      </c>
      <c r="R38" s="278"/>
      <c r="S38" s="278"/>
      <c r="T38" s="276"/>
      <c r="U38" s="277">
        <f>IFERROR(IF(MAX(U12-U11,U13-U11,U14-U11)&lt;0,0,MAX(U12-U11,U13-U11,U14-U11)),IF(MAX(U12-U11,U13-U11)&lt;0,0,MAX(U12-U11,U13-U11)))</f>
        <v>0</v>
      </c>
      <c r="V38" s="276"/>
      <c r="W38" s="277">
        <f>IFERROR(IF(MIN(W12-W11,W13-W11,W14-W11)&gt;0,0,MIN(W12-W11,W13-W11,W14-W11)),IF(MIN(W12-W11,W13-W11)&gt;0,0,MIN(W12-W11,W13-W11)))</f>
        <v>0</v>
      </c>
      <c r="X38" s="278"/>
      <c r="Y38" s="278"/>
      <c r="Z38" s="276"/>
      <c r="AA38" s="277">
        <f>IFERROR(IF(MAX(AA12-AA11,AA13-AA11,AA14-AA11)&lt;0,0,MAX(AA12-AA11,AA13-AA11,AA14-AA11)),IF(MAX(AA12-AA11,AA13-AA11)&lt;0,0,MAX(AA12-AA11,AA13-AA11)))</f>
        <v>0.1169751732439579</v>
      </c>
      <c r="AB38" s="276"/>
      <c r="AC38" s="277">
        <f>IFERROR(IF(MIN(AC12-AC11,AC13-AC11,AC14-AC11)&gt;0,0,MIN(AC12-AC11,AC13-AC11,AC14-AC11)),IF(MIN(AC12-AC11,AC13-AC11)&gt;0,0,MIN(AC12-AC11,AC13-AC11)))</f>
        <v>0</v>
      </c>
      <c r="AD38" s="276"/>
      <c r="AE38" s="277">
        <f>IFERROR(IF(MAX(AE12-AE11,AE13-AE11,AE14-AE11)&lt;0,0,MAX(AE12-AE11,AE13-AE11,AE14-AE11)),IF(MAX(AE12-AE11,AE13-AE11)&lt;0,0,MAX(AE12-AE11,AE13-AE11)))</f>
        <v>0</v>
      </c>
      <c r="AF38" s="276"/>
      <c r="AG38" s="277">
        <f>IFERROR(IF(MAX(AG12-AG11,AG13-AG11,AG14-AG11)&lt;0,0,MAX(AG12-AG11,AG13-AG11,AG14-AG11)),IF(MAX(AG12-AG11,AG13-AG11)&lt;0,0,MAX(AG12-AG11,AG13-AG11)))</f>
        <v>0</v>
      </c>
      <c r="AH38" s="278"/>
      <c r="AI38" s="278"/>
      <c r="AJ38" s="276"/>
      <c r="AK38" s="277">
        <f>IFERROR(IF(MAX(AK12-AK11,AK13-AK11,AK14-AK11)&lt;0,0,MAX(AK12-AK11,AK13-AK11,AK14-AK11)),IF(MAX(AK12-AK11,AK13-AK11)&lt;0,0,MAX(AK12-AK11,AK13-AK11)))</f>
        <v>0</v>
      </c>
      <c r="AL38" s="276"/>
      <c r="AM38" s="277">
        <f>IFERROR(IF(MIN(AM12-AM11,AM13-AM11,AM14-AM11)&gt;0,0,MIN(AM12-AM11,AM13-AM11,AM14-AM11)),IF(MIN(AM12-AM11,AM13-AM11)&gt;0,0,MIN(AM12-AM11,AM13-AM11)))</f>
        <v>-4.2786081607094517E-2</v>
      </c>
      <c r="AN38" s="276"/>
      <c r="AO38" s="276">
        <f>IFERROR(IF(MAX(AO12-AO11,AO13-AO11,AO14-AO11)&lt;0,0,MAX(AO12-AO11,AO13-AO11,AO14-AO11)),IF(MAX(AO12-AO11,AO13-AO11)&lt;0,0,MAX(AO12-AO11,AO13-AO11)))</f>
        <v>25.791747393236619</v>
      </c>
      <c r="AP38" s="276"/>
      <c r="AQ38" s="276">
        <f>IFERROR(IF(MAX(AQ12-AQ11,AQ13-AQ11,AQ14-AQ11)&lt;0,0,MAX(AQ12-AQ11,AQ13-AQ11,AQ14-AQ11)),IF(MAX(AQ12-AQ11,AQ13-AQ11)&lt;0,0,MAX(AQ12-AQ11,AQ13-AQ11)))</f>
        <v>397.35790686153996</v>
      </c>
      <c r="AR38" s="278"/>
      <c r="AS38" s="278"/>
      <c r="AT38" s="276"/>
      <c r="AU38" s="277">
        <f>IFERROR(IF(MAX(AU12-AU11,AU13-AU11,AU14-AU11)&lt;0,0,MAX(AU12-AU11,AU13-AU11,AU14-AU11)),IF(MAX(AU12-AU11,AU13-AU11)&lt;0,0,MAX(AU12-AU11,AU13-AU11)))</f>
        <v>0</v>
      </c>
      <c r="AV38" s="276"/>
      <c r="AW38" s="276">
        <f>IFERROR(IF(MAX(AW12-AW11,AW13-AW11,AW14-AW11)&lt;0,0,MAX(AW12-AW11,AW13-AW11,AW14-AW11)),IF(MAX(AW12-AW11,AW13-AW11)&lt;0,0,MAX(AW12-AW11,AW13-AW11)))</f>
        <v>0</v>
      </c>
      <c r="AX38" s="276"/>
      <c r="AY38" s="276">
        <f>IFERROR(IF(MAX(AY12-AY11,AY13-AY11,AY14-AY11)&lt;0,0,MAX(AY12-AY11,AY13-AY11,AY14-AY11)),IF(MAX(AY12-AY11,AY13-AY11)&lt;0,0,MAX(AY12-AY11,AY13-AY11)))</f>
        <v>0</v>
      </c>
      <c r="AZ38" s="276"/>
      <c r="BA38" s="276">
        <f>IFERROR(IF(MAX(BA12-BA11,BA13-BA11,BA14-BA11)&lt;0,0,MAX(BA12-BA11,BA13-BA11,BA14-BA11)),IF(MAX(BA12-BA11,BA13-BA11)&lt;0,0,MAX(BA12-BA11,BA13-BA11)))</f>
        <v>0</v>
      </c>
      <c r="BB38" s="278"/>
      <c r="BC38" s="278"/>
      <c r="BD38" s="276"/>
      <c r="BE38" s="277">
        <f>IFERROR(IF(MAX(BE12-BE11,BE13-BE11,BE14-BE11)&lt;0,0,MAX(BE12-BE11,BE13-BE11,BE14-BE11)),IF(MAX(BE12-BE11,BE13-BE11)&lt;0,0,MAX(BE12-BE11,BE13-BE11)))</f>
        <v>0</v>
      </c>
      <c r="BF38" s="276"/>
      <c r="BG38" s="276">
        <f>IFERROR(IF(MAX(BG12-BG11,BG13-BG11,BG14-BG11)&lt;0,0,MAX(BG12-BG11,BG13-BG11,BG14-BG11)),IF(MAX(BG12-BG11,BG13-BG11)&lt;0,0,MAX(BG12-BG11,BG13-BG11)))</f>
        <v>0</v>
      </c>
      <c r="BH38" s="276"/>
      <c r="BI38" s="276">
        <f>IFERROR(IF(MAX(BI12-BI11,BI13-BI11,BI14-BI11)&lt;0,0,MAX(BI12-BI11,BI13-BI11,BI14-BI11)),IF(MAX(BI12-BI11,BI13-BI11)&lt;0,0,MAX(BI12-BI11,BI13-BI11)))</f>
        <v>335.07737189244199</v>
      </c>
      <c r="BJ38" s="276"/>
      <c r="BK38" s="276">
        <f>IFERROR(IF(MAX(BK12-BK11,BK13-BK11,BK14-BK11)&lt;0,0,MAX(BK12-BK11,BK13-BK11,BK14-BK11)),IF(MAX(BK12-BK11,BK13-BK11)&lt;0,0,MAX(BK12-BK11,BK13-BK11)))</f>
        <v>0</v>
      </c>
      <c r="BL38" s="278"/>
      <c r="BM38" s="278"/>
      <c r="BN38" s="276"/>
      <c r="BO38" s="277">
        <f>IFERROR(IF(MAX(BO12-BO11,BO13-BO11,BO14-BO11)&lt;0,0,MAX(BO12-BO11,BO13-BO11,BO14-BO11)),IF(MAX(BO12-BO11,BO13-BO11)&lt;0,0,MAX(BO12-BO11,BO13-BO11)))</f>
        <v>0.41933823505955559</v>
      </c>
      <c r="BP38" s="276"/>
      <c r="BQ38" s="277">
        <f>IFERROR(IF(MIN(BQ12-BQ11,BQ13-BQ11,BQ14-BQ11)&gt;0,0,MIN(BQ12-BQ11,BQ13-BQ11,BQ14-BQ11)),IF(MIN(BQ12-BQ11,BQ13-BQ11)&gt;0,0,MIN(BQ12-BQ11,BQ13-BQ11)))</f>
        <v>-2.5911576869729558E-2</v>
      </c>
      <c r="BR38" s="276"/>
      <c r="BS38" s="277">
        <f>IFERROR(IF(MAX(BS12-BS11,BS13-BS11,BS14-BS11)&lt;0,0,MAX(BS12-BS11,BS13-BS11,BS14-BS11)),IF(MAX(BS12-BS11,BS13-BS11)&lt;0,0,MAX(BS12-BS11,BS13-BS11)))</f>
        <v>0.24863003988383525</v>
      </c>
      <c r="BT38" s="276"/>
      <c r="BU38" s="277">
        <f>IFERROR(IF(MAX(BU12-BU11,BU13-BU11,BU14-BU11)&lt;0,0,MAX(BU12-BU11,BU13-BU11,BU14-BU11)),IF(MAX(BU12-BU11,BU13-BU11)&lt;0,0,MAX(BU12-BU11,BU13-BU11)))</f>
        <v>7.0957837636908607</v>
      </c>
      <c r="BV38" s="276"/>
      <c r="BW38" s="277" t="e">
        <f>IFERROR(IF(MAX(BW12-BW11,BW13-BW11,BW14-BW11)&lt;0,0,MAX(BW12-BW11,BW13-BW11,BW14-BW11)),IF(MAX(BW12-BW11,BW13-BW11)&lt;0,0,MAX(BW12-BW11,BW13-BW11)))</f>
        <v>#REF!</v>
      </c>
    </row>
    <row r="39" spans="2:75" x14ac:dyDescent="0.35">
      <c r="C39" s="275" t="s">
        <v>649</v>
      </c>
      <c r="E39" s="276"/>
      <c r="F39" s="277">
        <f>IFERROR(IF(MAX(F17-F16,F18-F16,F19-F16)&lt;0,0,MAX(F17-F16,F18-F16,F19-F16)),IF(MAX(F17-F16,F18-F16)&lt;0,0,MAX(F17-F16,F18-F16)))</f>
        <v>0</v>
      </c>
      <c r="G39" s="276"/>
      <c r="H39" s="277">
        <f>IFERROR(IF(MIN(H17-H16,H18-H16,H19-H16)&gt;0,0,MIN(H17-H16,H18-H16,H19-H16)),IF(MIN(H17-H16,H18-H16)&gt;0,0,MAX(H17-H16,H18-H16)))</f>
        <v>0</v>
      </c>
      <c r="I39" s="276"/>
      <c r="J39" s="277">
        <f>IFERROR(IF(MAX(J17-J16,J18-J16,J19-J16)&lt;0,0,MAX(J17-J16,J18-J16,J19-J16)),IF(MAX(J17-J16,J18-J16)&lt;0,0,MAX(J17-J16,J18-J16)))</f>
        <v>0</v>
      </c>
      <c r="K39" s="278"/>
      <c r="L39" s="278"/>
      <c r="M39" s="278"/>
      <c r="N39" s="276"/>
      <c r="O39" s="277">
        <f>IFERROR(IF(MAX(O17-O16,O18-O16,O19-O16)&lt;0,0,MAX(O17-O16,O18-O16,O19-O16)),IF(MAX(O17-O16,O18-O16)&lt;0,0,MAX(O17-O16,O18-O16)))</f>
        <v>0</v>
      </c>
      <c r="P39" s="276"/>
      <c r="Q39" s="277">
        <f>IFERROR(IF(MIN(Q17-Q16,Q18-Q16,Q19-Q16)&gt;0,0,MIN(Q17-Q16,Q18-Q16,Q19-Q16)),IF(MIN(Q17-Q16,Q18-Q16)&gt;0,0,MAX(Q17-Q16,Q18-Q16)))</f>
        <v>0</v>
      </c>
      <c r="R39" s="278"/>
      <c r="S39" s="278"/>
      <c r="T39" s="276"/>
      <c r="U39" s="277">
        <f>IFERROR(IF(MAX(U17-U16,U18-U16,U19-U16)&lt;0,0,MAX(U17-U16,U18-U16,U19-U16)),IF(MAX(U17-U16,U18-U16)&lt;0,0,MAX(U17-U16,U18-U16)))</f>
        <v>0</v>
      </c>
      <c r="V39" s="276"/>
      <c r="W39" s="277">
        <f>IFERROR(IF(MIN(W17-W16,W18-W16,W19-W16)&gt;0,0,MIN(W17-W16,W18-W16,W19-W16)),IF(MIN(W17-W16,W18-W16)&gt;0,0,MAX(W17-W16,W18-W16)))</f>
        <v>0</v>
      </c>
      <c r="X39" s="278"/>
      <c r="Y39" s="278"/>
      <c r="Z39" s="276"/>
      <c r="AA39" s="277">
        <f>IFERROR(IF(MAX(AA17-AA16,AA18-AA16,AA19-AA16)&lt;0,0,MAX(AA17-AA16,AA18-AA16,AA19-AA16)),IF(MAX(AA17-AA16,AA18-AA16)&lt;0,0,MAX(AA17-AA16,AA18-AA16)))</f>
        <v>0</v>
      </c>
      <c r="AB39" s="276"/>
      <c r="AC39" s="277">
        <f>IFERROR(IF(MIN(AC17-AC16,AC18-AC16,AC19-AC16)&gt;0,0,MIN(AC17-AC16,AC18-AC16,AC19-AC16)),IF(MIN(AC17-AC16,AC18-AC16)&gt;0,0,MAX(AC17-AC16,AC18-AC16)))</f>
        <v>0</v>
      </c>
      <c r="AD39" s="276"/>
      <c r="AE39" s="277">
        <f>IFERROR(IF(MAX(AE17-AE16,AE18-AE16,AE19-AE16)&lt;0,0,MAX(AE17-AE16,AE18-AE16,AE19-AE16)),IF(MAX(AE17-AE16,AE18-AE16)&lt;0,0,MAX(AE17-AE16,AE18-AE16)))</f>
        <v>0</v>
      </c>
      <c r="AF39" s="276"/>
      <c r="AG39" s="277">
        <f>IFERROR(IF(MAX(AG17-AG16,AG18-AG16,AG19-AG16)&lt;0,0,MAX(AG17-AG16,AG18-AG16,AG19-AG16)),IF(MAX(AG17-AG16,AG18-AG16)&lt;0,0,MAX(AG17-AG16,AG18-AG16)))</f>
        <v>0</v>
      </c>
      <c r="AH39" s="278"/>
      <c r="AI39" s="278"/>
      <c r="AJ39" s="276"/>
      <c r="AK39" s="277">
        <f>IFERROR(IF(MAX(AK17-AK16,AK18-AK16,AK19-AK16)&lt;0,0,MAX(AK17-AK16,AK18-AK16,AK19-AK16)),IF(MAX(AK17-AK16,AK18-AK16)&lt;0,0,MAX(AK17-AK16,AK18-AK16)))</f>
        <v>0</v>
      </c>
      <c r="AL39" s="276"/>
      <c r="AM39" s="277">
        <f>IFERROR(IF(MIN(AM17-AM16,AM18-AM16,AM19-AM16)&gt;0,0,MIN(AM17-AM16,AM18-AM16,AM19-AM16)),IF(MIN(AM17-AM16,AM18-AM16)&gt;0,0,MAX(AM17-AM16,AM18-AM16)))</f>
        <v>-3.7209876860435864E-2</v>
      </c>
      <c r="AN39" s="276"/>
      <c r="AO39" s="276">
        <f>IFERROR(IF(MAX(AO17-AO16,AO18-AO16,AO19-AO16)&lt;0,0,MAX(AO17-AO16,AO18-AO16,AO19-AO16)),IF(MAX(AO17-AO16,AO18-AO16)&lt;0,0,MAX(AO17-AO16,AO18-AO16)))</f>
        <v>525.00425531915107</v>
      </c>
      <c r="AP39" s="276"/>
      <c r="AQ39" s="276">
        <f>IFERROR(IF(MAX(AQ17-AQ16,AQ18-AQ16,AQ19-AQ16)&lt;0,0,MAX(AQ17-AQ16,AQ18-AQ16,AQ19-AQ16)),IF(MAX(AQ17-AQ16,AQ18-AQ16)&lt;0,0,MAX(AQ17-AQ16,AQ18-AQ16)))</f>
        <v>777.04190858606307</v>
      </c>
      <c r="AR39" s="278"/>
      <c r="AS39" s="278"/>
      <c r="AT39" s="276"/>
      <c r="AU39" s="277">
        <f>IFERROR(IF(MAX(AU17-AU16,AU18-AU16,AU19-AU16)&lt;0,0,MAX(AU17-AU16,AU18-AU16,AU19-AU16)),IF(MAX(AU17-AU16,AU18-AU16)&lt;0,0,MAX(AU17-AU16,AU18-AU16)))</f>
        <v>0</v>
      </c>
      <c r="AV39" s="276"/>
      <c r="AW39" s="276">
        <f>IFERROR(IF(MAX(AW17-AW16,AW18-AW16,AW19-AW16)&lt;0,0,MAX(AW17-AW16,AW18-AW16,AW19-AW16)),IF(MAX(AW17-AW16,AW18-AW16)&lt;0,0,MAX(AW17-AW16,AW18-AW16)))</f>
        <v>0</v>
      </c>
      <c r="AX39" s="276"/>
      <c r="AY39" s="276">
        <f>IFERROR(IF(MAX(AY17-AY16,AY18-AY16,AY19-AY16)&lt;0,0,MAX(AY17-AY16,AY18-AY16,AY19-AY16)),IF(MAX(AY17-AY16,AY18-AY16)&lt;0,0,MAX(AY17-AY16,AY18-AY16)))</f>
        <v>0</v>
      </c>
      <c r="AZ39" s="276"/>
      <c r="BA39" s="276">
        <f>IFERROR(IF(MAX(BA17-BA16,BA18-BA16,BA19-BA16)&lt;0,0,MAX(BA17-BA16,BA18-BA16,BA19-BA16)),IF(MAX(BA17-BA16,BA18-BA16)&lt;0,0,MAX(BA17-BA16,BA18-BA16)))</f>
        <v>0</v>
      </c>
      <c r="BB39" s="278"/>
      <c r="BC39" s="278"/>
      <c r="BD39" s="276"/>
      <c r="BE39" s="277">
        <f>IFERROR(IF(MAX(BE17-BE16,BE18-BE16,BE19-BE16)&lt;0,0,MAX(BE17-BE16,BE18-BE16,BE19-BE16)),IF(MAX(BE17-BE16,BE18-BE16)&lt;0,0,MAX(BE17-BE16,BE18-BE16)))</f>
        <v>0</v>
      </c>
      <c r="BF39" s="276"/>
      <c r="BG39" s="276">
        <f>IFERROR(IF(MAX(BG17-BG16,BG18-BG16,BG19-BG16)&lt;0,0,MAX(BG17-BG16,BG18-BG16,BG19-BG16)),IF(MAX(BG17-BG16,BG18-BG16)&lt;0,0,MAX(BG17-BG16,BG18-BG16)))</f>
        <v>0</v>
      </c>
      <c r="BH39" s="276"/>
      <c r="BI39" s="276">
        <f>IFERROR(IF(MAX(BI17-BI16,BI18-BI16,BI19-BI16)&lt;0,0,MAX(BI17-BI16,BI18-BI16,BI19-BI16)),IF(MAX(BI17-BI16,BI18-BI16)&lt;0,0,MAX(BI17-BI16,BI18-BI16)))</f>
        <v>304.32372505543026</v>
      </c>
      <c r="BJ39" s="276"/>
      <c r="BK39" s="276">
        <f>IFERROR(IF(MAX(BK17-BK16,BK18-BK16,BK19-BK16)&lt;0,0,MAX(BK17-BK16,BK18-BK16,BK19-BK16)),IF(MAX(BK17-BK16,BK18-BK16)&lt;0,0,MAX(BK17-BK16,BK18-BK16)))</f>
        <v>0</v>
      </c>
      <c r="BL39" s="278"/>
      <c r="BM39" s="278"/>
      <c r="BN39" s="276"/>
      <c r="BO39" s="277">
        <f>IFERROR(IF(MAX(BO17-BO16,BO18-BO16,BO19-BO16)&lt;0,0,MAX(BO17-BO16,BO18-BO16,BO19-BO16)),IF(MAX(BO17-BO16,BO18-BO16)&lt;0,0,MAX(BO17-BO16,BO18-BO16)))</f>
        <v>0</v>
      </c>
      <c r="BP39" s="276"/>
      <c r="BQ39" s="277">
        <f>IFERROR(IF(MIN(BQ17-BQ16,BQ18-BQ16,BQ19-BQ16)&gt;0,0,MIN(BQ17-BQ16,BQ18-BQ16,BQ19-BQ16)),IF(MIN(BQ17-BQ16,BQ18-BQ16)&gt;0,0,MAX(BQ17-BQ16,BQ18-BQ16)))</f>
        <v>0</v>
      </c>
      <c r="BR39" s="276"/>
      <c r="BS39" s="277">
        <f>IFERROR(IF(MAX(BS17-BS16,BS18-BS16,BS19-BS16)&lt;0,0,MAX(BS17-BS16,BS18-BS16,BS19-BS16)),IF(MAX(BS17-BS16,BS18-BS16)&lt;0,0,MAX(BS17-BS16,BS18-BS16)))</f>
        <v>5.0866131033842521E-2</v>
      </c>
      <c r="BT39" s="276"/>
      <c r="BU39" s="277">
        <f>IFERROR(IF(MAX(BU17-BU16,BU18-BU16,BU19-BU16)&lt;0,0,MAX(BU17-BU16,BU18-BU16,BU19-BU16)),IF(MAX(BU17-BU16,BU18-BU16)&lt;0,0,MAX(BU17-BU16,BU18-BU16)))</f>
        <v>23.285724772842627</v>
      </c>
      <c r="BV39" s="276"/>
      <c r="BW39" s="277" t="e">
        <f>IFERROR(IF(MAX(BW17-BW16,BW18-BW16,BW19-BW16)&lt;0,0,MAX(BW17-BW16,BW18-BW16,BW19-BW16)),IF(MAX(BW17-BW16,BW18-BW16)&lt;0,0,MAX(BW17-BW16,BW18-BW16)))</f>
        <v>#REF!</v>
      </c>
    </row>
    <row r="40" spans="2:75" x14ac:dyDescent="0.35">
      <c r="C40" s="275" t="s">
        <v>650</v>
      </c>
      <c r="E40" s="276"/>
      <c r="F40" s="277">
        <f>IFERROR(IF(MAX(F22-F21,F23-F21,F24-F21)&lt;0,0,MAX(F22-F21,F23-F21,F24-F21)),IF(MAX(F22-F21,F23-F21)&lt;0,0,MAX(F22-F21,F23-F21)))</f>
        <v>0</v>
      </c>
      <c r="G40" s="276"/>
      <c r="H40" s="277">
        <f>IFERROR(IF(MIN(H22-H21,H23-H21,H24-H21)&gt;0,0,MIN(H22-H21,H23-H21,H24-H21)),IF(MIN(H22-H21,H23-H21)&gt;0,0,MIN(H22-H21,H23-H21)))</f>
        <v>0</v>
      </c>
      <c r="I40" s="276"/>
      <c r="J40" s="277">
        <f>IFERROR(IF(MAX(J22-J21,J23-J21,J24-J21)&lt;0,0,MAX(J22-J21,J23-J21,J24-J21)),IF(MAX(J22-J21,J23-J21)&lt;0,0,MAX(J22-J21,J23-J21)))</f>
        <v>0</v>
      </c>
      <c r="K40" s="278"/>
      <c r="L40" s="278"/>
      <c r="M40" s="278"/>
      <c r="N40" s="276"/>
      <c r="O40" s="277">
        <f>IFERROR(IF(MAX(O22-O21,O23-O21,O24-O21)&lt;0,0,MAX(O22-O21,O23-O21,O24-O21)),IF(MAX(O22-O21,O23-O21)&lt;0,0,MAX(O22-O21,O23-O21)))</f>
        <v>0</v>
      </c>
      <c r="P40" s="276"/>
      <c r="Q40" s="277">
        <f>IFERROR(IF(MIN(Q22-Q21,Q23-Q21,Q24-Q21)&gt;0,0,MIN(Q22-Q21,Q23-Q21,Q24-Q21)),IF(MIN(Q22-Q21,Q23-Q21)&gt;0,0,MIN(Q22-Q21,Q23-Q21)))</f>
        <v>0</v>
      </c>
      <c r="R40" s="278"/>
      <c r="S40" s="278"/>
      <c r="T40" s="276"/>
      <c r="U40" s="277">
        <f>IFERROR(IF(MAX(U22-U21,U23-U21,U24-U21)&lt;0,0,MAX(U22-U21,U23-U21,U24-U21)),IF(MAX(U22-U21,U23-U21)&lt;0,0,MAX(U22-U21,U23-U21)))</f>
        <v>0</v>
      </c>
      <c r="V40" s="276"/>
      <c r="W40" s="277">
        <f>IFERROR(IF(MIN(W22-W21,W23-W21,W24-W21)&gt;0,0,MIN(W22-W21,W23-W21,W24-W21)),IF(MIN(W22-W21,W23-W21)&gt;0,0,MIN(W22-W21,W23-W21)))</f>
        <v>0</v>
      </c>
      <c r="X40" s="278"/>
      <c r="Y40" s="278"/>
      <c r="Z40" s="276"/>
      <c r="AA40" s="277">
        <f>IFERROR(IF(MAX(AA22-AA21,AA23-AA21,AA24-AA21)&lt;0,0,MAX(AA22-AA21,AA23-AA21,AA24-AA21)),IF(MAX(AA22-AA21,AA23-AA21)&lt;0,0,MAX(AA22-AA21,AA23-AA21)))</f>
        <v>0</v>
      </c>
      <c r="AB40" s="276"/>
      <c r="AC40" s="277">
        <f>IFERROR(IF(MIN(AC22-AC21,AC23-AC21,AC24-AC21)&gt;0,0,MIN(AC22-AC21,AC23-AC21,AC24-AC21)),IF(MIN(AC22-AC21,AC23-AC21)&gt;0,0,MIN(AC22-AC21,AC23-AC21)))</f>
        <v>0</v>
      </c>
      <c r="AD40" s="276"/>
      <c r="AE40" s="277">
        <f>IFERROR(IF(MAX(AE22-AE21,AE23-AE21,AE24-AE21)&lt;0,0,MAX(AE22-AE21,AE23-AE21,AE24-AE21)),IF(MAX(AE22-AE21,AE23-AE21)&lt;0,0,MAX(AE22-AE21,AE23-AE21)))</f>
        <v>61.416004398460245</v>
      </c>
      <c r="AF40" s="276"/>
      <c r="AG40" s="277">
        <f>IFERROR(IF(MAX(AG22-AG21,AG23-AG21,AG24-AG21)&lt;0,0,MAX(AG22-AG21,AG23-AG21,AG24-AG21)),IF(MAX(AG22-AG21,AG23-AG21)&lt;0,0,MAX(AG22-AG21,AG23-AG21)))</f>
        <v>0</v>
      </c>
      <c r="AH40" s="278"/>
      <c r="AI40" s="278"/>
      <c r="AJ40" s="276"/>
      <c r="AK40" s="277">
        <f>IFERROR(IF(MAX(AK22-AK21,AK23-AK21,AK24-AK21)&lt;0,0,MAX(AK22-AK21,AK23-AK21,AK24-AK21)),IF(MAX(AK22-AK21,AK23-AK21)&lt;0,0,MAX(AK22-AK21,AK23-AK21)))</f>
        <v>1.9408874375283176</v>
      </c>
      <c r="AL40" s="276"/>
      <c r="AM40" s="277">
        <f>IFERROR(IF(MIN(AM22-AM21,AM23-AM21,AM24-AM21)&gt;0,0,MIN(AM22-AM21,AM23-AM21,AM24-AM21)),IF(MIN(AM22-AM21,AM23-AM21)&gt;0,0,MIN(AM22-AM21,AM23-AM21)))</f>
        <v>0</v>
      </c>
      <c r="AN40" s="276"/>
      <c r="AO40" s="276">
        <f>IFERROR(IF(MAX(AO22-AO21,AO23-AO21,AO24-AO21)&lt;0,0,MAX(AO22-AO21,AO23-AO21,AO24-AO21)),IF(MAX(AO22-AO21,AO23-AO21)&lt;0,0,MAX(AO22-AO21,AO23-AO21)))</f>
        <v>0</v>
      </c>
      <c r="AP40" s="276"/>
      <c r="AQ40" s="276">
        <f>IFERROR(IF(MAX(AQ22-AQ21,AQ23-AQ21,AQ24-AQ21)&lt;0,0,MAX(AQ22-AQ21,AQ23-AQ21,AQ24-AQ21)),IF(MAX(AQ22-AQ21,AQ23-AQ21)&lt;0,0,MAX(AQ22-AQ21,AQ23-AQ21)))</f>
        <v>110.14980667735108</v>
      </c>
      <c r="AR40" s="278"/>
      <c r="AS40" s="278"/>
      <c r="AT40" s="276"/>
      <c r="AU40" s="277">
        <f>IFERROR(IF(MAX(AU22-AU21,AU23-AU21,AU24-AU21)&lt;0,0,MAX(AU22-AU21,AU23-AU21,AU24-AU21)),IF(MAX(AU22-AU21,AU23-AU21)&lt;0,0,MAX(AU22-AU21,AU23-AU21)))</f>
        <v>0</v>
      </c>
      <c r="AV40" s="276"/>
      <c r="AW40" s="276">
        <f>IFERROR(IF(MAX(AW22-AW21,AW23-AW21,AW24-AW21)&lt;0,0,MAX(AW22-AW21,AW23-AW21,AW24-AW21)),IF(MAX(AW22-AW21,AW23-AW21)&lt;0,0,MAX(AW22-AW21,AW23-AW21)))</f>
        <v>0</v>
      </c>
      <c r="AX40" s="276"/>
      <c r="AY40" s="276">
        <f>IFERROR(IF(MAX(AY22-AY21,AY23-AY21,AY24-AY21)&lt;0,0,MAX(AY22-AY21,AY23-AY21,AY24-AY21)),IF(MAX(AY22-AY21,AY23-AY21)&lt;0,0,MAX(AY22-AY21,AY23-AY21)))</f>
        <v>0</v>
      </c>
      <c r="AZ40" s="276"/>
      <c r="BA40" s="276">
        <f>IFERROR(IF(MAX(BA22-BA21,BA23-BA21,BA24-BA21)&lt;0,0,MAX(BA22-BA21,BA23-BA21,BA24-BA21)),IF(MAX(BA22-BA21,BA23-BA21)&lt;0,0,MAX(BA22-BA21,BA23-BA21)))</f>
        <v>0</v>
      </c>
      <c r="BB40" s="278"/>
      <c r="BC40" s="278"/>
      <c r="BD40" s="276"/>
      <c r="BE40" s="277">
        <f>IFERROR(IF(MAX(BE22-BE21,BE23-BE21,BE24-BE21)&lt;0,0,MAX(BE22-BE21,BE23-BE21,BE24-BE21)),IF(MAX(BE22-BE21,BE23-BE21)&lt;0,0,MAX(BE22-BE21,BE23-BE21)))</f>
        <v>0</v>
      </c>
      <c r="BF40" s="276"/>
      <c r="BG40" s="276">
        <f>IFERROR(IF(MAX(BG22-BG21,BG23-BG21,BG24-BG21)&lt;0,0,MAX(BG22-BG21,BG23-BG21,BG24-BG21)),IF(MAX(BG22-BG21,BG23-BG21)&lt;0,0,MAX(BG22-BG21,BG23-BG21)))</f>
        <v>0</v>
      </c>
      <c r="BH40" s="276"/>
      <c r="BI40" s="276">
        <f>IFERROR(IF(MAX(BI22-BI21,BI23-BI21,BI24-BI21)&lt;0,0,MAX(BI22-BI21,BI23-BI21,BI24-BI21)),IF(MAX(BI22-BI21,BI23-BI21)&lt;0,0,MAX(BI22-BI21,BI23-BI21)))</f>
        <v>0</v>
      </c>
      <c r="BJ40" s="276"/>
      <c r="BK40" s="276">
        <f>IFERROR(IF(MAX(BK22-BK21,BK23-BK21,BK24-BK21)&lt;0,0,MAX(BK22-BK21,BK23-BK21,BK24-BK21)),IF(MAX(BK22-BK21,BK23-BK21)&lt;0,0,MAX(BK22-BK21,BK23-BK21)))</f>
        <v>0</v>
      </c>
      <c r="BL40" s="278"/>
      <c r="BM40" s="278"/>
      <c r="BN40" s="276"/>
      <c r="BO40" s="277">
        <f>IFERROR(IF(MAX(BO22-BO21,BO23-BO21,BO24-BO21)&lt;0,0,MAX(BO22-BO21,BO23-BO21,BO24-BO21)),IF(MAX(BO22-BO21,BO23-BO21)&lt;0,0,MAX(BO22-BO21,BO23-BO21)))</f>
        <v>0</v>
      </c>
      <c r="BP40" s="276"/>
      <c r="BQ40" s="277">
        <f>IFERROR(IF(MIN(BQ22-BQ21,BQ23-BQ21,BQ24-BQ21)&gt;0,0,MIN(BQ22-BQ21,BQ23-BQ21,BQ24-BQ21)),IF(MIN(BQ22-BQ21,BQ23-BQ21)&gt;0,0,MIN(BQ22-BQ21,BQ23-BQ21)))</f>
        <v>-7.4208586414103328E-2</v>
      </c>
      <c r="BR40" s="276"/>
      <c r="BS40" s="277">
        <f>IFERROR(IF(MAX(BS22-BS21,BS23-BS21,BS24-BS21)&lt;0,0,MAX(BS22-BS21,BS23-BS21,BS24-BS21)),IF(MAX(BS22-BS21,BS23-BS21)&lt;0,0,MAX(BS22-BS21,BS23-BS21)))</f>
        <v>0.70129768675775495</v>
      </c>
      <c r="BT40" s="276"/>
      <c r="BU40" s="277">
        <f>IFERROR(IF(MAX(BU22-BU21,BU23-BU21,BU24-BU21)&lt;0,0,MAX(BU22-BU21,BU23-BU21,BU24-BU21)),IF(MAX(BU22-BU21,BU23-BU21)&lt;0,0,MAX(BU22-BU21,BU23-BU21)))</f>
        <v>11.85714285714289</v>
      </c>
      <c r="BV40" s="276"/>
      <c r="BW40" s="277" t="e">
        <f>IFERROR(IF(MAX(BW22-BW21,BW23-BW21,BW24-BW21)&lt;0,0,MAX(BW22-BW21,BW23-BW21,BW24-BW21)),IF(MAX(BW22-BW21,BW23-BW21)&lt;0,0,MAX(BW22-BW21,BW23-BW21)))</f>
        <v>#REF!</v>
      </c>
    </row>
    <row r="43" spans="2:75" ht="36" x14ac:dyDescent="0.55000000000000004">
      <c r="B43" s="273" t="s">
        <v>691</v>
      </c>
    </row>
    <row r="44" spans="2:75" x14ac:dyDescent="0.35">
      <c r="B44" s="328" t="s">
        <v>692</v>
      </c>
      <c r="C44" s="328"/>
      <c r="D44" s="328"/>
      <c r="E44" s="328"/>
      <c r="F44" s="328"/>
      <c r="G44" s="328"/>
    </row>
    <row r="46" spans="2:75" x14ac:dyDescent="0.35">
      <c r="B46" s="325" t="s">
        <v>627</v>
      </c>
      <c r="C46" s="196" t="str">
        <f>$C$7</f>
        <v>MOVISTAR</v>
      </c>
      <c r="D46" s="197"/>
      <c r="E46" s="207">
        <f>E$6-E7</f>
        <v>42.234095294007943</v>
      </c>
      <c r="F46" s="269" t="s">
        <v>651</v>
      </c>
      <c r="G46" s="207">
        <f>G$6-G7</f>
        <v>17.761673238463722</v>
      </c>
      <c r="H46" s="269" t="s">
        <v>651</v>
      </c>
      <c r="I46" s="207">
        <f>I$6-I7</f>
        <v>5.8477490279508189</v>
      </c>
      <c r="J46" s="269" t="s">
        <v>651</v>
      </c>
      <c r="K46" s="210"/>
      <c r="L46" s="210"/>
      <c r="M46" s="211"/>
      <c r="N46" s="207">
        <f>N$6-N7</f>
        <v>2.0169249461310272</v>
      </c>
      <c r="O46" s="269" t="s">
        <v>651</v>
      </c>
      <c r="P46" s="207">
        <f>P$6-P7</f>
        <v>1.1823104795255546</v>
      </c>
      <c r="Q46" s="269" t="s">
        <v>651</v>
      </c>
      <c r="R46" s="212"/>
      <c r="S46" s="211"/>
      <c r="T46" s="207">
        <f>T$6-T7</f>
        <v>0.80676997845240805</v>
      </c>
      <c r="U46" s="269" t="s">
        <v>651</v>
      </c>
      <c r="V46" s="207">
        <f>V$6-V7</f>
        <v>1.0465622085993154</v>
      </c>
      <c r="W46" s="269" t="s">
        <v>651</v>
      </c>
      <c r="X46" s="212"/>
      <c r="Y46" s="211"/>
      <c r="Z46" s="207">
        <f>Z$6-Z7</f>
        <v>2.252727052519532E-2</v>
      </c>
      <c r="AA46" s="269" t="s">
        <v>651</v>
      </c>
      <c r="AB46" s="207">
        <f>AB$6-AB7</f>
        <v>0</v>
      </c>
      <c r="AC46" s="269" t="s">
        <v>651</v>
      </c>
      <c r="AD46" s="207">
        <f>AD$6-AD7</f>
        <v>0.32072356130679047</v>
      </c>
      <c r="AE46" s="269" t="s">
        <v>651</v>
      </c>
      <c r="AF46" s="207">
        <f>AF$6-AF7</f>
        <v>0.23933428658626399</v>
      </c>
      <c r="AG46" s="269" t="s">
        <v>651</v>
      </c>
      <c r="AH46" s="212"/>
      <c r="AI46" s="211"/>
      <c r="AJ46" s="207">
        <f>AJ$6-AJ7</f>
        <v>-0.54031488212399381</v>
      </c>
      <c r="AK46" s="269" t="s">
        <v>651</v>
      </c>
      <c r="AL46" s="207">
        <f>AL$6-AL7</f>
        <v>-2.8416441273018123E-3</v>
      </c>
      <c r="AM46" s="269" t="s">
        <v>651</v>
      </c>
      <c r="AN46" s="207">
        <f>AN$6-AN7</f>
        <v>-4.6148186880571096E-2</v>
      </c>
      <c r="AO46" s="269" t="s">
        <v>651</v>
      </c>
      <c r="AP46" s="207">
        <f>AP$6-AP7</f>
        <v>-0.12115126575692781</v>
      </c>
      <c r="AQ46" s="269" t="s">
        <v>651</v>
      </c>
      <c r="AR46" s="212"/>
      <c r="AS46" s="211"/>
      <c r="AT46" s="207">
        <f>AT$6-AT7</f>
        <v>0.37162299780854369</v>
      </c>
      <c r="AU46" s="269" t="s">
        <v>651</v>
      </c>
      <c r="AV46" s="207">
        <f>AV$6-AV7</f>
        <v>0.89150174408361504</v>
      </c>
      <c r="AW46" s="269" t="s">
        <v>651</v>
      </c>
      <c r="AX46" s="207">
        <f>AX$6-AX7</f>
        <v>0.64861865796417639</v>
      </c>
      <c r="AY46" s="269" t="s">
        <v>651</v>
      </c>
      <c r="AZ46" s="207">
        <f>AZ$6-AZ7</f>
        <v>0.6931696287790543</v>
      </c>
      <c r="BA46" s="269" t="s">
        <v>651</v>
      </c>
      <c r="BB46" s="212"/>
      <c r="BC46" s="211"/>
      <c r="BD46" s="207">
        <f>BD$6-BD7</f>
        <v>0.42930371892617103</v>
      </c>
      <c r="BE46" s="269" t="s">
        <v>651</v>
      </c>
      <c r="BF46" s="207">
        <f>BF$6-BF7</f>
        <v>0.59958951270489713</v>
      </c>
      <c r="BG46" s="269" t="s">
        <v>651</v>
      </c>
      <c r="BH46" s="207">
        <f>BH$6-BH7</f>
        <v>-0.10504798995598996</v>
      </c>
      <c r="BI46" s="269" t="s">
        <v>651</v>
      </c>
      <c r="BJ46" s="207">
        <f>BJ$6-BJ7</f>
        <v>0.58690757069168908</v>
      </c>
      <c r="BK46" s="269" t="s">
        <v>651</v>
      </c>
      <c r="BL46" s="212"/>
      <c r="BM46" s="211"/>
      <c r="BN46" s="207">
        <f>BN$6-BN7</f>
        <v>0.56914504958538714</v>
      </c>
      <c r="BO46" s="269" t="s">
        <v>651</v>
      </c>
      <c r="BP46" s="207">
        <f>BP$6-BP7</f>
        <v>-1.7812566492634296E-2</v>
      </c>
      <c r="BQ46" s="269" t="s">
        <v>651</v>
      </c>
      <c r="BR46" s="207">
        <f>BR$6-BR7</f>
        <v>-0.5076126175759974</v>
      </c>
      <c r="BS46" s="269" t="s">
        <v>651</v>
      </c>
      <c r="BT46" s="207">
        <f>BT$6-BT7</f>
        <v>-0.18812971263017531</v>
      </c>
      <c r="BU46" s="269" t="s">
        <v>651</v>
      </c>
      <c r="BV46" s="207" t="e">
        <f>BV$6-BV7</f>
        <v>#REF!</v>
      </c>
      <c r="BW46" s="269" t="s">
        <v>651</v>
      </c>
    </row>
    <row r="47" spans="2:75" x14ac:dyDescent="0.35">
      <c r="B47" s="326"/>
      <c r="C47" s="198" t="str">
        <f>$C$8</f>
        <v>ORANGE</v>
      </c>
      <c r="D47" s="199"/>
      <c r="E47" s="213">
        <f t="shared" ref="E47" si="0">E$6-E8</f>
        <v>16.796123854510739</v>
      </c>
      <c r="F47" s="270" t="s">
        <v>651</v>
      </c>
      <c r="G47" s="213">
        <f t="shared" ref="G47" si="1">G$6-G8</f>
        <v>12.06462924475251</v>
      </c>
      <c r="H47" s="270" t="s">
        <v>651</v>
      </c>
      <c r="I47" s="213">
        <f t="shared" ref="I47" si="2">I$6-I8</f>
        <v>2.271814309251674</v>
      </c>
      <c r="J47" s="270" t="s">
        <v>651</v>
      </c>
      <c r="K47" s="216"/>
      <c r="L47" s="216"/>
      <c r="M47" s="217"/>
      <c r="N47" s="213">
        <f t="shared" ref="N47" si="3">N$6-N8</f>
        <v>4.0859360634049153</v>
      </c>
      <c r="O47" s="270" t="s">
        <v>651</v>
      </c>
      <c r="P47" s="213">
        <f t="shared" ref="P47" si="4">P$6-P8</f>
        <v>2.3984984033023196</v>
      </c>
      <c r="Q47" s="270" t="s">
        <v>651</v>
      </c>
      <c r="R47" s="218"/>
      <c r="S47" s="217"/>
      <c r="T47" s="213">
        <f t="shared" ref="T47" si="5">T$6-T8</f>
        <v>1.634374425361969</v>
      </c>
      <c r="U47" s="270" t="s">
        <v>651</v>
      </c>
      <c r="V47" s="213">
        <f t="shared" ref="V47" si="6">V$6-V8</f>
        <v>2.1243851638121054</v>
      </c>
      <c r="W47" s="270" t="s">
        <v>651</v>
      </c>
      <c r="X47" s="218"/>
      <c r="Y47" s="217"/>
      <c r="Z47" s="213">
        <f t="shared" ref="Z47" si="7">Z$6-Z8</f>
        <v>0.16417881257108746</v>
      </c>
      <c r="AA47" s="270" t="s">
        <v>651</v>
      </c>
      <c r="AB47" s="213">
        <f t="shared" ref="AB47" si="8">AB$6-AB8</f>
        <v>0.30409633021301907</v>
      </c>
      <c r="AC47" s="270" t="s">
        <v>651</v>
      </c>
      <c r="AD47" s="213">
        <f t="shared" ref="AD47" si="9">AD$6-AD8</f>
        <v>2.4808532095870062</v>
      </c>
      <c r="AE47" s="270" t="s">
        <v>651</v>
      </c>
      <c r="AF47" s="213">
        <f t="shared" ref="AF47" si="10">AF$6-AF8</f>
        <v>2.9555876003153587</v>
      </c>
      <c r="AG47" s="270" t="s">
        <v>651</v>
      </c>
      <c r="AH47" s="218"/>
      <c r="AI47" s="217"/>
      <c r="AJ47" s="213">
        <f t="shared" ref="AJ47" si="11">AJ$6-AJ8</f>
        <v>1.2865489258734115</v>
      </c>
      <c r="AK47" s="270" t="s">
        <v>651</v>
      </c>
      <c r="AL47" s="213">
        <f t="shared" ref="AL47" si="12">AL$6-AL8</f>
        <v>0.11036583343001993</v>
      </c>
      <c r="AM47" s="270" t="s">
        <v>651</v>
      </c>
      <c r="AN47" s="213">
        <f t="shared" ref="AN47" si="13">AN$6-AN8</f>
        <v>2.0586251272042011</v>
      </c>
      <c r="AO47" s="270" t="s">
        <v>651</v>
      </c>
      <c r="AP47" s="213">
        <f t="shared" ref="AP47" si="14">AP$6-AP8</f>
        <v>1.6548966196238344</v>
      </c>
      <c r="AQ47" s="270" t="s">
        <v>651</v>
      </c>
      <c r="AR47" s="218"/>
      <c r="AS47" s="217"/>
      <c r="AT47" s="213">
        <f t="shared" ref="AT47" si="15">AT$6-AT8</f>
        <v>0.56114794182970229</v>
      </c>
      <c r="AU47" s="270" t="s">
        <v>651</v>
      </c>
      <c r="AV47" s="213">
        <f t="shared" ref="AV47" si="16">AV$6-AV8</f>
        <v>1.1184075964385087</v>
      </c>
      <c r="AW47" s="270" t="s">
        <v>651</v>
      </c>
      <c r="AX47" s="213">
        <f t="shared" ref="AX47" si="17">AX$6-AX8</f>
        <v>1.4372245761264892</v>
      </c>
      <c r="AY47" s="270" t="s">
        <v>651</v>
      </c>
      <c r="AZ47" s="213">
        <f t="shared" ref="AZ47" si="18">AZ$6-AZ8</f>
        <v>0.86535622210645524</v>
      </c>
      <c r="BA47" s="270" t="s">
        <v>651</v>
      </c>
      <c r="BB47" s="218"/>
      <c r="BC47" s="217"/>
      <c r="BD47" s="213">
        <f t="shared" ref="BD47" si="19">BD$6-BD8</f>
        <v>0.77012695294821043</v>
      </c>
      <c r="BE47" s="270" t="s">
        <v>651</v>
      </c>
      <c r="BF47" s="213">
        <f t="shared" ref="BF47" si="20">BF$6-BF8</f>
        <v>0.94901923011317457</v>
      </c>
      <c r="BG47" s="270" t="s">
        <v>651</v>
      </c>
      <c r="BH47" s="213">
        <f t="shared" ref="BH47" si="21">BH$6-BH8</f>
        <v>2.2313157817670142</v>
      </c>
      <c r="BI47" s="270" t="s">
        <v>651</v>
      </c>
      <c r="BJ47" s="213">
        <f t="shared" ref="BJ47" si="22">BJ$6-BJ8</f>
        <v>0.60301672295669739</v>
      </c>
      <c r="BK47" s="270" t="s">
        <v>651</v>
      </c>
      <c r="BL47" s="218"/>
      <c r="BM47" s="217"/>
      <c r="BN47" s="213">
        <f t="shared" ref="BN47" si="23">BN$6-BN8</f>
        <v>3.6253692625190723</v>
      </c>
      <c r="BO47" s="270" t="s">
        <v>651</v>
      </c>
      <c r="BP47" s="213">
        <f t="shared" ref="BP47" si="24">BP$6-BP8</f>
        <v>-2.3006650337690893E-2</v>
      </c>
      <c r="BQ47" s="270" t="s">
        <v>651</v>
      </c>
      <c r="BR47" s="213">
        <f t="shared" ref="BR47" si="25">BR$6-BR8</f>
        <v>2.1201861229229735E-2</v>
      </c>
      <c r="BS47" s="270" t="s">
        <v>651</v>
      </c>
      <c r="BT47" s="213">
        <f t="shared" ref="BT47" si="26">BT$6-BT8</f>
        <v>-0.39602399450430426</v>
      </c>
      <c r="BU47" s="270" t="s">
        <v>651</v>
      </c>
      <c r="BV47" s="213" t="e">
        <f t="shared" ref="BV47" si="27">BV$6-BV8</f>
        <v>#REF!</v>
      </c>
      <c r="BW47" s="270" t="s">
        <v>651</v>
      </c>
    </row>
    <row r="48" spans="2:75" x14ac:dyDescent="0.35">
      <c r="B48" s="327"/>
      <c r="C48" s="200" t="str">
        <f>$C$9</f>
        <v>YOIGO</v>
      </c>
      <c r="D48" s="201"/>
      <c r="E48" s="219">
        <f>IF($C$9="","",E$6-E9)</f>
        <v>78.661616540719734</v>
      </c>
      <c r="F48" s="271" t="s">
        <v>651</v>
      </c>
      <c r="G48" s="219">
        <f>IF($C$9="","",G$6-G9)</f>
        <v>22.986638637509763</v>
      </c>
      <c r="H48" s="271" t="s">
        <v>651</v>
      </c>
      <c r="I48" s="219">
        <f>IF($C$9="","",I$6-I9)</f>
        <v>17.959946497606218</v>
      </c>
      <c r="J48" s="271" t="s">
        <v>651</v>
      </c>
      <c r="K48" s="216"/>
      <c r="L48" s="216"/>
      <c r="M48" s="222"/>
      <c r="N48" s="219">
        <f>IF($C$9="","",N$6-N9)</f>
        <v>14.374396568746008</v>
      </c>
      <c r="O48" s="271" t="s">
        <v>651</v>
      </c>
      <c r="P48" s="219">
        <f>IF($C$9="","",P$6-P9)</f>
        <v>4.1765020125558721</v>
      </c>
      <c r="Q48" s="271" t="s">
        <v>651</v>
      </c>
      <c r="R48" s="223"/>
      <c r="S48" s="222"/>
      <c r="T48" s="219">
        <f>IF($C$9="","",T$6-T9)</f>
        <v>5.7497586274984052</v>
      </c>
      <c r="U48" s="271" t="s">
        <v>651</v>
      </c>
      <c r="V48" s="219">
        <f>IF($C$9="","",V$6-V9)</f>
        <v>3.6895643230401198</v>
      </c>
      <c r="W48" s="271" t="s">
        <v>651</v>
      </c>
      <c r="X48" s="223"/>
      <c r="Y48" s="222"/>
      <c r="Z48" s="219">
        <f>IF($C$9="","",Z$6-Z9)</f>
        <v>1.9180398755392787</v>
      </c>
      <c r="AA48" s="271" t="s">
        <v>651</v>
      </c>
      <c r="AB48" s="219">
        <f>IF($C$9="","",AB$6-AB9)</f>
        <v>0.50351246715135023</v>
      </c>
      <c r="AC48" s="271" t="s">
        <v>651</v>
      </c>
      <c r="AD48" s="219">
        <f>IF($C$9="","",AD$6-AD9)</f>
        <v>3.8885434256936229</v>
      </c>
      <c r="AE48" s="271" t="s">
        <v>651</v>
      </c>
      <c r="AF48" s="219">
        <f>IF($C$9="","",AF$6-AF9)</f>
        <v>2.9555876003153587</v>
      </c>
      <c r="AG48" s="271" t="s">
        <v>651</v>
      </c>
      <c r="AH48" s="223"/>
      <c r="AI48" s="222"/>
      <c r="AJ48" s="219">
        <f>IF($C$9="","",AJ$6-AJ9)</f>
        <v>5.7694728763498446</v>
      </c>
      <c r="AK48" s="271" t="s">
        <v>651</v>
      </c>
      <c r="AL48" s="219">
        <f>IF($C$9="","",AL$6-AL9)</f>
        <v>0.18105554405622737</v>
      </c>
      <c r="AM48" s="271" t="s">
        <v>651</v>
      </c>
      <c r="AN48" s="219">
        <f>IF($C$9="","",AN$6-AN9)</f>
        <v>2.7661588545347646</v>
      </c>
      <c r="AO48" s="271" t="s">
        <v>651</v>
      </c>
      <c r="AP48" s="219">
        <f>IF($C$9="","",AP$6-AP9)</f>
        <v>1.6912226793709983</v>
      </c>
      <c r="AQ48" s="271" t="s">
        <v>651</v>
      </c>
      <c r="AR48" s="223"/>
      <c r="AS48" s="222"/>
      <c r="AT48" s="219">
        <f>IF($C$9="","",AT$6-AT9)</f>
        <v>2.167038472766059</v>
      </c>
      <c r="AU48" s="271" t="s">
        <v>651</v>
      </c>
      <c r="AV48" s="219">
        <f>IF($C$9="","",AV$6-AV9)</f>
        <v>2.841749539340082</v>
      </c>
      <c r="AW48" s="271" t="s">
        <v>651</v>
      </c>
      <c r="AX48" s="219">
        <f>IF($C$9="","",AX$6-AX9)</f>
        <v>3.4018848058842019</v>
      </c>
      <c r="AY48" s="271" t="s">
        <v>651</v>
      </c>
      <c r="AZ48" s="219">
        <f>IF($C$9="","",AZ$6-AZ9)</f>
        <v>2.301423445539553</v>
      </c>
      <c r="BA48" s="271" t="s">
        <v>651</v>
      </c>
      <c r="BB48" s="223"/>
      <c r="BC48" s="222"/>
      <c r="BD48" s="219">
        <f>IF($C$9="","",BD$6-BD9)</f>
        <v>3.5112452484434016</v>
      </c>
      <c r="BE48" s="271" t="s">
        <v>651</v>
      </c>
      <c r="BF48" s="219">
        <f>IF($C$9="","",BF$6-BF9)</f>
        <v>2.0578895292091133</v>
      </c>
      <c r="BG48" s="271" t="s">
        <v>651</v>
      </c>
      <c r="BH48" s="219">
        <f>IF($C$9="","",BH$6-BH9)</f>
        <v>3.6977126890113254</v>
      </c>
      <c r="BI48" s="271" t="s">
        <v>651</v>
      </c>
      <c r="BJ48" s="219">
        <f>IF($C$9="","",BJ$6-BJ9)</f>
        <v>1.7953641662303803</v>
      </c>
      <c r="BK48" s="271" t="s">
        <v>651</v>
      </c>
      <c r="BL48" s="223"/>
      <c r="BM48" s="222"/>
      <c r="BN48" s="219">
        <f>IF($C$9="","",BN$6-BN9)</f>
        <v>7.8269555226992367</v>
      </c>
      <c r="BO48" s="271" t="s">
        <v>651</v>
      </c>
      <c r="BP48" s="219">
        <f>IF($C$9="","",BP$6-BP9)</f>
        <v>4.8189551519065787E-2</v>
      </c>
      <c r="BQ48" s="271" t="s">
        <v>651</v>
      </c>
      <c r="BR48" s="219">
        <f>IF($C$9="","",BR$6-BR9)</f>
        <v>1.0870789541538954</v>
      </c>
      <c r="BS48" s="271" t="s">
        <v>651</v>
      </c>
      <c r="BT48" s="219">
        <f>IF($C$9="","",BT$6-BT9)</f>
        <v>7.0359805142477825</v>
      </c>
      <c r="BU48" s="271" t="s">
        <v>651</v>
      </c>
      <c r="BV48" s="219" t="e">
        <f>IF($C$9="","",BV$6-BV9)</f>
        <v>#REF!</v>
      </c>
      <c r="BW48" s="271" t="s">
        <v>651</v>
      </c>
    </row>
    <row r="49" spans="2:75" x14ac:dyDescent="0.35">
      <c r="K49" s="199"/>
      <c r="L49" s="199"/>
    </row>
    <row r="50" spans="2:75" x14ac:dyDescent="0.35">
      <c r="B50" s="325" t="s">
        <v>648</v>
      </c>
      <c r="C50" s="196" t="str">
        <f>$C$7</f>
        <v>MOVISTAR</v>
      </c>
      <c r="D50" s="197"/>
      <c r="E50" s="207">
        <f>E$11-E12</f>
        <v>30.283753236352254</v>
      </c>
      <c r="F50" s="279">
        <f>F$11-F12</f>
        <v>2.343385667098687</v>
      </c>
      <c r="G50" s="207">
        <f>G$11-G12</f>
        <v>13.893857479347339</v>
      </c>
      <c r="H50" s="279">
        <f>H12-H$11</f>
        <v>2.5086131559932703</v>
      </c>
      <c r="I50" s="207">
        <f>I$11-I12</f>
        <v>4.2850789617382361</v>
      </c>
      <c r="J50" s="279">
        <f>J$11-J12</f>
        <v>0.3706681943775143</v>
      </c>
      <c r="K50" s="210"/>
      <c r="L50" s="210"/>
      <c r="M50" s="211"/>
      <c r="N50" s="207">
        <f>N$11-N12</f>
        <v>0.68438749289969536</v>
      </c>
      <c r="O50" s="279">
        <f>O$11-O12</f>
        <v>0.16475995199436966</v>
      </c>
      <c r="P50" s="207">
        <f>P$11-P12</f>
        <v>0.70378703812705723</v>
      </c>
      <c r="Q50" s="279">
        <f>Q12-Q$11</f>
        <v>0.17594675953176386</v>
      </c>
      <c r="R50" s="212"/>
      <c r="S50" s="211"/>
      <c r="T50" s="207">
        <f>T$11-T12</f>
        <v>0.27375499715987672</v>
      </c>
      <c r="U50" s="279">
        <f>U$11-U12</f>
        <v>0.16475995199436966</v>
      </c>
      <c r="V50" s="207">
        <f>V$11-V12</f>
        <v>0.63340833431435151</v>
      </c>
      <c r="W50" s="279">
        <f>W12-W$11</f>
        <v>0.17594675953176386</v>
      </c>
      <c r="X50" s="212"/>
      <c r="Y50" s="211"/>
      <c r="Z50" s="207">
        <f>Z$11-Z12</f>
        <v>-0.19309458589000172</v>
      </c>
      <c r="AA50" s="279">
        <f>AA$11-AA12</f>
        <v>-0.11621433410046222</v>
      </c>
      <c r="AB50" s="207">
        <f>AB$11-AB12</f>
        <v>0</v>
      </c>
      <c r="AC50" s="279">
        <f>AC12-AC$11</f>
        <v>0.10845241214398427</v>
      </c>
      <c r="AD50" s="207">
        <f>AD$11-AD12</f>
        <v>0.30088434204370351</v>
      </c>
      <c r="AE50" s="280">
        <f>AE$11-AE12</f>
        <v>1406.2055904948666</v>
      </c>
      <c r="AF50" s="207">
        <f>AF$11-AF12</f>
        <v>0.16798958871542102</v>
      </c>
      <c r="AG50" s="280">
        <f>AG$11-AG12</f>
        <v>3719.0524707080913</v>
      </c>
      <c r="AH50" s="212"/>
      <c r="AI50" s="211"/>
      <c r="AJ50" s="207">
        <f>AJ$11-AJ12</f>
        <v>5.1449598711872824E-2</v>
      </c>
      <c r="AK50" s="279">
        <f>AK$11-AK12</f>
        <v>3.0965036261775936E-2</v>
      </c>
      <c r="AL50" s="207">
        <f>AL$11-AL12</f>
        <v>0</v>
      </c>
      <c r="AM50" s="279">
        <f>AM12-AM$11</f>
        <v>-4.2786081607094517E-2</v>
      </c>
      <c r="AN50" s="207">
        <f>AN$11-AN12</f>
        <v>-1.9480259651303733E-2</v>
      </c>
      <c r="AO50" s="280">
        <f>AO$11-AO12</f>
        <v>-25.791747393236619</v>
      </c>
      <c r="AP50" s="207">
        <f>AP$11-AP12</f>
        <v>-6.6726749856473422E-2</v>
      </c>
      <c r="AQ50" s="280">
        <f>AQ$11-AQ12</f>
        <v>-397.35790686153996</v>
      </c>
      <c r="AR50" s="212"/>
      <c r="AS50" s="211"/>
      <c r="AT50" s="207">
        <f t="shared" ref="AT50:BA51" si="28">AT$11-AT12</f>
        <v>0.16831797067468202</v>
      </c>
      <c r="AU50" s="279">
        <f t="shared" si="28"/>
        <v>0.10130248235050487</v>
      </c>
      <c r="AV50" s="207">
        <f t="shared" si="28"/>
        <v>0.66105748725829239</v>
      </c>
      <c r="AW50" s="280">
        <f t="shared" si="28"/>
        <v>15686.87423356378</v>
      </c>
      <c r="AX50" s="207">
        <f t="shared" si="28"/>
        <v>0.59078084329824687</v>
      </c>
      <c r="AY50" s="280">
        <f t="shared" si="28"/>
        <v>3695.6796131269184</v>
      </c>
      <c r="AZ50" s="207">
        <f t="shared" si="28"/>
        <v>0.44061022006992556</v>
      </c>
      <c r="BA50" s="280">
        <f t="shared" si="28"/>
        <v>29012.148268398261</v>
      </c>
      <c r="BB50" s="212"/>
      <c r="BC50" s="211"/>
      <c r="BD50" s="207">
        <f t="shared" ref="BD50:BK51" si="29">BD$11-BD12</f>
        <v>0.24381089374950804</v>
      </c>
      <c r="BE50" s="279">
        <f t="shared" si="29"/>
        <v>0.14673803790479667</v>
      </c>
      <c r="BF50" s="207">
        <f t="shared" si="29"/>
        <v>0.41380339975464642</v>
      </c>
      <c r="BG50" s="280">
        <f t="shared" si="29"/>
        <v>4541.9019728732092</v>
      </c>
      <c r="BH50" s="207">
        <f t="shared" si="29"/>
        <v>-0.15266494757322402</v>
      </c>
      <c r="BI50" s="280">
        <f t="shared" si="29"/>
        <v>-335.07737189244199</v>
      </c>
      <c r="BJ50" s="207">
        <f t="shared" si="29"/>
        <v>0.35745500824958532</v>
      </c>
      <c r="BK50" s="280">
        <f t="shared" si="29"/>
        <v>7155.5884879001605</v>
      </c>
      <c r="BL50" s="212"/>
      <c r="BM50" s="211"/>
      <c r="BN50" s="207">
        <f>BN$11-BN12</f>
        <v>-1.3838161756965235</v>
      </c>
      <c r="BO50" s="279">
        <f>BO$11-BO12</f>
        <v>-0.41933823505955559</v>
      </c>
      <c r="BP50" s="207">
        <f>BP$11-BP12</f>
        <v>-2.3160534803497335E-2</v>
      </c>
      <c r="BQ50" s="279">
        <f>BQ12-BQ$11</f>
        <v>-1.801374929160926E-2</v>
      </c>
      <c r="BR50" s="207">
        <f t="shared" ref="BR50:BW51" si="30">BR$11-BR12</f>
        <v>-0.33565055384317688</v>
      </c>
      <c r="BS50" s="279">
        <f t="shared" si="30"/>
        <v>-0.24863003988383525</v>
      </c>
      <c r="BT50" s="207">
        <f t="shared" si="30"/>
        <v>0.61057182441494717</v>
      </c>
      <c r="BU50" s="279">
        <f t="shared" si="30"/>
        <v>8.9550534247525775</v>
      </c>
      <c r="BV50" s="207" t="e">
        <f t="shared" si="30"/>
        <v>#REF!</v>
      </c>
      <c r="BW50" s="279" t="e">
        <f t="shared" si="30"/>
        <v>#REF!</v>
      </c>
    </row>
    <row r="51" spans="2:75" x14ac:dyDescent="0.35">
      <c r="B51" s="326"/>
      <c r="C51" s="198" t="str">
        <f>$C$8</f>
        <v>ORANGE</v>
      </c>
      <c r="D51" s="199"/>
      <c r="E51" s="213">
        <f t="shared" ref="E51:G51" si="31">E$11-E13</f>
        <v>6.0570984991513228</v>
      </c>
      <c r="F51" s="281">
        <f t="shared" si="31"/>
        <v>0.46870405052956698</v>
      </c>
      <c r="G51" s="213">
        <f t="shared" si="31"/>
        <v>9.802858858894659</v>
      </c>
      <c r="H51" s="281">
        <f t="shared" ref="H51" si="32">H13-H$11</f>
        <v>1.7699606273004242</v>
      </c>
      <c r="I51" s="213">
        <f t="shared" ref="I51:J51" si="33">I$11-I13</f>
        <v>1.917981307113017</v>
      </c>
      <c r="J51" s="281">
        <f t="shared" si="33"/>
        <v>0.17256528674665184</v>
      </c>
      <c r="K51" s="216"/>
      <c r="L51" s="216"/>
      <c r="M51" s="217"/>
      <c r="N51" s="213">
        <f t="shared" ref="N51:P51" si="34">N$11-N13</f>
        <v>1.2914167080000141</v>
      </c>
      <c r="O51" s="281">
        <f t="shared" si="34"/>
        <v>0.31089661488888964</v>
      </c>
      <c r="P51" s="213">
        <f t="shared" si="34"/>
        <v>1.3264802666752935</v>
      </c>
      <c r="Q51" s="281">
        <f t="shared" ref="Q51" si="35">Q13-Q$11</f>
        <v>0.33162006666882293</v>
      </c>
      <c r="R51" s="218"/>
      <c r="S51" s="217"/>
      <c r="T51" s="213">
        <f t="shared" ref="T51:V51" si="36">T$11-T13</f>
        <v>0.51656668320000421</v>
      </c>
      <c r="U51" s="281">
        <f t="shared" si="36"/>
        <v>0.31089661488888964</v>
      </c>
      <c r="V51" s="213">
        <f t="shared" si="36"/>
        <v>1.1938322400077617</v>
      </c>
      <c r="W51" s="281">
        <f t="shared" ref="W51" si="37">W13-W$11</f>
        <v>0.33162006666882293</v>
      </c>
      <c r="X51" s="218"/>
      <c r="Y51" s="217"/>
      <c r="Z51" s="213">
        <f t="shared" ref="Z51:AB51" si="38">Z$11-Z13</f>
        <v>-0.19435874938996278</v>
      </c>
      <c r="AA51" s="281">
        <f t="shared" si="38"/>
        <v>-0.1169751732439579</v>
      </c>
      <c r="AB51" s="213">
        <f t="shared" si="38"/>
        <v>0.17332150223373155</v>
      </c>
      <c r="AC51" s="281">
        <f t="shared" ref="AC51" si="39">AC13-AC$11</f>
        <v>1.0618296664979323</v>
      </c>
      <c r="AD51" s="213">
        <f t="shared" ref="AD51:AG51" si="40">AD$11-AD13</f>
        <v>1.3464898946607948</v>
      </c>
      <c r="AE51" s="282">
        <f t="shared" si="40"/>
        <v>5624.387786143433</v>
      </c>
      <c r="AF51" s="213">
        <f t="shared" si="40"/>
        <v>1.7533249133427184</v>
      </c>
      <c r="AG51" s="282">
        <f t="shared" si="40"/>
        <v>27145.014719057977</v>
      </c>
      <c r="AH51" s="218"/>
      <c r="AI51" s="217"/>
      <c r="AJ51" s="213">
        <f t="shared" ref="AJ51:AL51" si="41">AJ$11-AJ13</f>
        <v>0.39512327180730722</v>
      </c>
      <c r="AK51" s="281">
        <f t="shared" si="41"/>
        <v>0.23780567284698861</v>
      </c>
      <c r="AL51" s="213">
        <f t="shared" si="41"/>
        <v>5.0257320511016168E-2</v>
      </c>
      <c r="AM51" s="281">
        <f t="shared" ref="AM51" si="42">AM13-AM$11</f>
        <v>0.24558580168950006</v>
      </c>
      <c r="AN51" s="213">
        <f t="shared" ref="AN51:AQ51" si="43">AN$11-AN13</f>
        <v>1.2165942031798518</v>
      </c>
      <c r="AO51" s="282">
        <f t="shared" si="43"/>
        <v>1389.8346637157599</v>
      </c>
      <c r="AP51" s="213">
        <f t="shared" si="43"/>
        <v>1.2014657714641734</v>
      </c>
      <c r="AQ51" s="282">
        <f t="shared" si="43"/>
        <v>3539.4185461604975</v>
      </c>
      <c r="AR51" s="218"/>
      <c r="AS51" s="217"/>
      <c r="AT51" s="213">
        <f t="shared" si="28"/>
        <v>2.2867142627138293E-2</v>
      </c>
      <c r="AU51" s="281">
        <f t="shared" si="28"/>
        <v>1.3762632136703701E-2</v>
      </c>
      <c r="AV51" s="213">
        <f t="shared" si="28"/>
        <v>0.65268221520997427</v>
      </c>
      <c r="AW51" s="282">
        <f t="shared" si="28"/>
        <v>15509.365207029776</v>
      </c>
      <c r="AX51" s="213">
        <f t="shared" si="28"/>
        <v>0.77892027471179937</v>
      </c>
      <c r="AY51" s="282">
        <f t="shared" si="28"/>
        <v>4774.02269861286</v>
      </c>
      <c r="AZ51" s="213">
        <f t="shared" si="28"/>
        <v>0.48097883770896743</v>
      </c>
      <c r="BA51" s="282">
        <f t="shared" si="28"/>
        <v>31307.394140290809</v>
      </c>
      <c r="BB51" s="218"/>
      <c r="BC51" s="217"/>
      <c r="BD51" s="213">
        <f t="shared" si="29"/>
        <v>5.4464869161272134E-2</v>
      </c>
      <c r="BE51" s="281">
        <f t="shared" si="29"/>
        <v>3.277978236557999E-2</v>
      </c>
      <c r="BF51" s="213">
        <f t="shared" si="29"/>
        <v>0.59264103178298067</v>
      </c>
      <c r="BG51" s="282">
        <f t="shared" si="29"/>
        <v>6328.7684649409784</v>
      </c>
      <c r="BH51" s="213">
        <f t="shared" si="29"/>
        <v>1.3754063741724396</v>
      </c>
      <c r="BI51" s="282">
        <f t="shared" si="29"/>
        <v>2615.9876104602376</v>
      </c>
      <c r="BJ51" s="213">
        <f t="shared" si="29"/>
        <v>0.35795090526472162</v>
      </c>
      <c r="BK51" s="282">
        <f t="shared" si="29"/>
        <v>7164.7664014898328</v>
      </c>
      <c r="BL51" s="218"/>
      <c r="BM51" s="217"/>
      <c r="BN51" s="213">
        <f t="shared" ref="BN51:BP51" si="44">BN$11-BN13</f>
        <v>1.7907754757815724</v>
      </c>
      <c r="BO51" s="281">
        <f t="shared" si="44"/>
        <v>0.5426592350853241</v>
      </c>
      <c r="BP51" s="213">
        <f t="shared" si="44"/>
        <v>-3.3314884546795653E-2</v>
      </c>
      <c r="BQ51" s="281">
        <f t="shared" ref="BQ51" si="45">BQ13-BQ$11</f>
        <v>-2.5911576869729558E-2</v>
      </c>
      <c r="BR51" s="213">
        <f t="shared" si="30"/>
        <v>-9.6741075823958411E-2</v>
      </c>
      <c r="BS51" s="281">
        <f t="shared" si="30"/>
        <v>-7.1660056165896435E-2</v>
      </c>
      <c r="BT51" s="213">
        <f t="shared" si="30"/>
        <v>-0.48380343843346907</v>
      </c>
      <c r="BU51" s="281">
        <f t="shared" si="30"/>
        <v>-7.0957837636908607</v>
      </c>
      <c r="BV51" s="213" t="e">
        <f t="shared" si="30"/>
        <v>#REF!</v>
      </c>
      <c r="BW51" s="281" t="e">
        <f t="shared" si="30"/>
        <v>#REF!</v>
      </c>
    </row>
    <row r="52" spans="2:75" x14ac:dyDescent="0.35">
      <c r="B52" s="327"/>
      <c r="C52" s="200" t="str">
        <f>$C$9</f>
        <v>YOIGO</v>
      </c>
      <c r="D52" s="201"/>
      <c r="E52" s="219">
        <f>IF($C$9="","",E$11-E14)</f>
        <v>37.100054835909418</v>
      </c>
      <c r="F52" s="283">
        <f>IF($C$9="","",F$11-F14)</f>
        <v>2.8708375765882295</v>
      </c>
      <c r="G52" s="219">
        <f>IF($C$9="","",G$11-G14)</f>
        <v>15.778966080374715</v>
      </c>
      <c r="H52" s="283">
        <f>IF($C$9="","",H14-H$11)</f>
        <v>2.8489799867343235</v>
      </c>
      <c r="I52" s="220">
        <f>IF($C$9="","",I$11-I14)</f>
        <v>10.159203885094001</v>
      </c>
      <c r="J52" s="283">
        <f>IF($C$9="","",J$11-J14)</f>
        <v>0.7913035541770248</v>
      </c>
      <c r="K52" s="216"/>
      <c r="L52" s="216"/>
      <c r="M52" s="222"/>
      <c r="N52" s="220">
        <f>IF($C$9="","",N$11-N14)</f>
        <v>6.3975740709542848</v>
      </c>
      <c r="O52" s="283">
        <f>IF($C$9="","",O$11-O14)</f>
        <v>1.5401567207852906</v>
      </c>
      <c r="P52" s="220">
        <f>IF($C$9="","",P$11-P14)</f>
        <v>2.1318977173643994</v>
      </c>
      <c r="Q52" s="283">
        <f>IF($C$9="","",Q14-Q$11)</f>
        <v>0.53297442934109895</v>
      </c>
      <c r="R52" s="223"/>
      <c r="S52" s="222"/>
      <c r="T52" s="220">
        <f>IF($C$9="","",T$11-T14)</f>
        <v>2.5590296283817153</v>
      </c>
      <c r="U52" s="283">
        <f>IF($C$9="","",U$11-U14)</f>
        <v>1.5401567207852906</v>
      </c>
      <c r="V52" s="220">
        <f>IF($C$9="","",V$11-V14)</f>
        <v>1.9187079456279559</v>
      </c>
      <c r="W52" s="283">
        <f>IF($C$9="","",W14-W$11)</f>
        <v>0.53297442934109895</v>
      </c>
      <c r="X52" s="223"/>
      <c r="Y52" s="222"/>
      <c r="Z52" s="220">
        <f>IF($C$9="","",Z$11-Z14)</f>
        <v>0.74320196037162134</v>
      </c>
      <c r="AA52" s="283">
        <f>IF($C$9="","",AA$11-AA14)</f>
        <v>0.44729747614958626</v>
      </c>
      <c r="AB52" s="219">
        <f>IF($C$9="","",AB$11-AB14)</f>
        <v>0.28640551363165212</v>
      </c>
      <c r="AC52" s="283">
        <f>IF($C$9="","",AC14-AC$11)</f>
        <v>1.6318618144973198</v>
      </c>
      <c r="AD52" s="219">
        <f>IF($C$9="","",AD$11-AD14)</f>
        <v>2.2846926605596081</v>
      </c>
      <c r="AE52" s="284">
        <f>IF($C$9="","",AE$11-AE14)</f>
        <v>8525.4959913529201</v>
      </c>
      <c r="AF52" s="220">
        <f>IF($C$9="","",AF$11-AF14)</f>
        <v>1.7533249133427184</v>
      </c>
      <c r="AG52" s="284">
        <f>IF($C$9="","",AG$11-AG14)</f>
        <v>30693.408416552335</v>
      </c>
      <c r="AH52" s="223"/>
      <c r="AI52" s="222"/>
      <c r="AJ52" s="220">
        <f>IF($C$9="","",AJ$11-AJ14)</f>
        <v>3.4181606511561604</v>
      </c>
      <c r="AK52" s="283">
        <f>IF($C$9="","",AK$11-AK14)</f>
        <v>2.0572263178254673</v>
      </c>
      <c r="AL52" s="219">
        <f>IF($C$9="","",AL$11-AL14)</f>
        <v>8.4957070124953127E-2</v>
      </c>
      <c r="AM52" s="283">
        <f>IF($C$9="","",AM14-AM$11)</f>
        <v>0.3879054058393574</v>
      </c>
      <c r="AN52" s="219">
        <f>IF($C$9="","",AN$11-AN14)</f>
        <v>1.6542850630049273</v>
      </c>
      <c r="AO52" s="284">
        <f>IF($C$9="","",AO$11-AO14)</f>
        <v>1783.4767353043085</v>
      </c>
      <c r="AP52" s="220">
        <f>IF($C$9="","",AP$11-AP14)</f>
        <v>1.2014657714641734</v>
      </c>
      <c r="AQ52" s="284">
        <f>IF($C$9="","",AQ$11-AQ14)</f>
        <v>3819.8707157040517</v>
      </c>
      <c r="AR52" s="223"/>
      <c r="AS52" s="222"/>
      <c r="AT52" s="220">
        <f t="shared" ref="AT52:BA52" si="46">IF($C$9="","",AT$11-AT14)</f>
        <v>1.0195570012345847</v>
      </c>
      <c r="AU52" s="283">
        <f t="shared" si="46"/>
        <v>0.61362226926155472</v>
      </c>
      <c r="AV52" s="219">
        <f t="shared" si="46"/>
        <v>1.8668848141838599</v>
      </c>
      <c r="AW52" s="284">
        <f t="shared" si="46"/>
        <v>35555.851631534606</v>
      </c>
      <c r="AX52" s="219">
        <f t="shared" si="46"/>
        <v>2.126828124410757</v>
      </c>
      <c r="AY52" s="284">
        <f t="shared" si="46"/>
        <v>11106.952517797659</v>
      </c>
      <c r="AZ52" s="220">
        <f t="shared" si="46"/>
        <v>1.4780013283657376</v>
      </c>
      <c r="BA52" s="284">
        <f t="shared" si="46"/>
        <v>68666.960044112639</v>
      </c>
      <c r="BB52" s="223"/>
      <c r="BC52" s="222"/>
      <c r="BD52" s="220">
        <f t="shared" ref="BD52:BK52" si="47">IF($C$9="","",BD$11-BD14)</f>
        <v>1.4888802683391162</v>
      </c>
      <c r="BE52" s="283">
        <f t="shared" si="47"/>
        <v>0.89608534668558093</v>
      </c>
      <c r="BF52" s="219">
        <f t="shared" si="47"/>
        <v>1.2989276109527763</v>
      </c>
      <c r="BG52" s="284">
        <f t="shared" si="47"/>
        <v>12347.236329349014</v>
      </c>
      <c r="BH52" s="219">
        <f t="shared" si="47"/>
        <v>2.4035084027251719</v>
      </c>
      <c r="BI52" s="284">
        <f t="shared" si="47"/>
        <v>4097.7929984779294</v>
      </c>
      <c r="BJ52" s="220">
        <f t="shared" si="47"/>
        <v>1.1828276813703094</v>
      </c>
      <c r="BK52" s="284">
        <f t="shared" si="47"/>
        <v>19558.427589642557</v>
      </c>
      <c r="BL52" s="223"/>
      <c r="BM52" s="222"/>
      <c r="BN52" s="219">
        <f>IF($C$9="","",BN$11-BN14)</f>
        <v>6.0772194994654996</v>
      </c>
      <c r="BO52" s="283">
        <f>IF($C$9="","",BO$11-BO14)</f>
        <v>1.8415816665046947</v>
      </c>
      <c r="BP52" s="219">
        <f>IF($C$9="","",BP$11-BP14)</f>
        <v>2.9139239975704001E-2</v>
      </c>
      <c r="BQ52" s="283">
        <f>IF($C$9="","",BQ14-BQ$11)</f>
        <v>2.2663853314436322E-2</v>
      </c>
      <c r="BR52" s="219">
        <f t="shared" ref="BR52:BW52" si="48">IF($C$9="","",BR$11-BR14)</f>
        <v>0.93771504984933252</v>
      </c>
      <c r="BS52" s="283">
        <f t="shared" si="48"/>
        <v>0.69460374062913388</v>
      </c>
      <c r="BT52" s="219">
        <f t="shared" si="48"/>
        <v>4.6550259493120301</v>
      </c>
      <c r="BU52" s="283">
        <f t="shared" si="48"/>
        <v>68.273713923243122</v>
      </c>
      <c r="BV52" s="220" t="e">
        <f t="shared" si="48"/>
        <v>#REF!</v>
      </c>
      <c r="BW52" s="283" t="e">
        <f t="shared" si="48"/>
        <v>#REF!</v>
      </c>
    </row>
    <row r="53" spans="2:75" x14ac:dyDescent="0.35">
      <c r="F53" s="285"/>
      <c r="H53" s="285"/>
      <c r="J53" s="285"/>
      <c r="O53" s="285"/>
      <c r="Q53" s="285"/>
      <c r="U53" s="285"/>
      <c r="W53" s="285"/>
      <c r="AA53" s="285"/>
      <c r="AC53" s="285"/>
      <c r="AE53" s="286"/>
      <c r="AG53" s="286"/>
      <c r="AK53" s="285"/>
      <c r="AM53" s="285"/>
      <c r="AO53" s="286"/>
      <c r="AQ53" s="286"/>
      <c r="AU53" s="285"/>
      <c r="AW53" s="286"/>
      <c r="AY53" s="286"/>
      <c r="BA53" s="286"/>
      <c r="BE53" s="285"/>
      <c r="BG53" s="286"/>
      <c r="BI53" s="286"/>
      <c r="BK53" s="286"/>
      <c r="BO53" s="285"/>
      <c r="BQ53" s="285"/>
      <c r="BS53" s="285"/>
      <c r="BU53" s="285"/>
      <c r="BW53" s="285"/>
    </row>
    <row r="54" spans="2:75" x14ac:dyDescent="0.35">
      <c r="B54" s="325" t="s">
        <v>649</v>
      </c>
      <c r="C54" s="196" t="str">
        <f>$C$7</f>
        <v>MOVISTAR</v>
      </c>
      <c r="D54" s="197"/>
      <c r="E54" s="207">
        <f>E$16-E17</f>
        <v>11.950342057655696</v>
      </c>
      <c r="F54" s="279">
        <f>F$16-F17</f>
        <v>2.7741865490986442</v>
      </c>
      <c r="G54" s="207">
        <f>G$16-G17</f>
        <v>3.8678157591163815</v>
      </c>
      <c r="H54" s="279">
        <f>H17-H$16</f>
        <v>2.0950668695213723</v>
      </c>
      <c r="I54" s="207">
        <f>I$16-I17</f>
        <v>1.5626700662125828</v>
      </c>
      <c r="J54" s="279">
        <f>J$16-J17</f>
        <v>0.38928053995269751</v>
      </c>
      <c r="K54" s="210"/>
      <c r="L54" s="210"/>
      <c r="M54" s="211"/>
      <c r="N54" s="207">
        <f>N$16-N17</f>
        <v>0.28481539109569454</v>
      </c>
      <c r="O54" s="279">
        <f>O$16-O17</f>
        <v>0.20570000468022442</v>
      </c>
      <c r="P54" s="207">
        <f>P$16-P17</f>
        <v>0.12817898192477983</v>
      </c>
      <c r="Q54" s="279">
        <f>Q17-Q$16</f>
        <v>9.6134236443584431E-2</v>
      </c>
      <c r="R54" s="212"/>
      <c r="S54" s="211"/>
      <c r="T54" s="207">
        <f>T$16-T17</f>
        <v>0.11392615643827853</v>
      </c>
      <c r="U54" s="279">
        <f>U$16-U17</f>
        <v>0.20570000468022442</v>
      </c>
      <c r="V54" s="207">
        <f>V$16-V17</f>
        <v>0.11536108373230158</v>
      </c>
      <c r="W54" s="279">
        <f>W17-W$16</f>
        <v>9.6134236443584431E-2</v>
      </c>
      <c r="X54" s="212"/>
      <c r="Y54" s="211"/>
      <c r="Z54" s="207">
        <f>Z$16-Z17</f>
        <v>3.7313456364839404E-2</v>
      </c>
      <c r="AA54" s="279">
        <f>AA$16-AA17</f>
        <v>6.7371518436516453E-2</v>
      </c>
      <c r="AB54" s="207">
        <f>AB$16-AB17</f>
        <v>0</v>
      </c>
      <c r="AC54" s="279">
        <f>AC17-AC$16</f>
        <v>1.7288626274021279E-2</v>
      </c>
      <c r="AD54" s="207">
        <f>AD$16-AD17</f>
        <v>3.2467944007160909E-2</v>
      </c>
      <c r="AE54" s="280">
        <f>AE$16-AE17</f>
        <v>487.16900148198147</v>
      </c>
      <c r="AF54" s="207">
        <f>AF$16-AF17</f>
        <v>3.0737344684026002E-2</v>
      </c>
      <c r="AG54" s="280">
        <f>AG$16-AG17</f>
        <v>1955.5266326675192</v>
      </c>
      <c r="AH54" s="212"/>
      <c r="AI54" s="211"/>
      <c r="AJ54" s="207">
        <f>AJ$16-AJ17</f>
        <v>0.10695499667432529</v>
      </c>
      <c r="AK54" s="279">
        <f>AK$16-AK17</f>
        <v>0.193113188439753</v>
      </c>
      <c r="AL54" s="207">
        <f>AL$16-AL17</f>
        <v>-2.8942680610088978E-3</v>
      </c>
      <c r="AM54" s="279">
        <f>AM17-AM$16</f>
        <v>-3.7209876860435864E-2</v>
      </c>
      <c r="AN54" s="207">
        <f>AN$16-AN17</f>
        <v>-0.11787881104978126</v>
      </c>
      <c r="AO54" s="280">
        <f>AO$16-AO17</f>
        <v>-525.00425531915107</v>
      </c>
      <c r="AP54" s="207">
        <f>AP$16-AP17</f>
        <v>-4.9764860366181829E-2</v>
      </c>
      <c r="AQ54" s="280">
        <f>AQ$16-AQ17</f>
        <v>-777.04190858606307</v>
      </c>
      <c r="AR54" s="212"/>
      <c r="AS54" s="211"/>
      <c r="AT54" s="207">
        <f t="shared" ref="AT54:BA55" si="49">AT$16-AT17</f>
        <v>0.10185740924704767</v>
      </c>
      <c r="AU54" s="279">
        <f t="shared" si="49"/>
        <v>0.18390921114050229</v>
      </c>
      <c r="AV54" s="207">
        <f t="shared" si="49"/>
        <v>7.7325252549232948E-2</v>
      </c>
      <c r="AW54" s="280">
        <f t="shared" si="49"/>
        <v>5598.162141714849</v>
      </c>
      <c r="AX54" s="207">
        <f t="shared" si="49"/>
        <v>2.1165135164813442E-3</v>
      </c>
      <c r="AY54" s="280">
        <f t="shared" si="49"/>
        <v>42.765117664588615</v>
      </c>
      <c r="AZ54" s="207">
        <f t="shared" si="49"/>
        <v>9.019191314597641E-2</v>
      </c>
      <c r="BA54" s="280">
        <f t="shared" si="49"/>
        <v>17545.959195443764</v>
      </c>
      <c r="BB54" s="212"/>
      <c r="BC54" s="211"/>
      <c r="BD54" s="207">
        <f t="shared" ref="BD54:BK55" si="50">BD$16-BD17</f>
        <v>3.4157034853819823E-2</v>
      </c>
      <c r="BE54" s="279">
        <f t="shared" si="50"/>
        <v>6.1672424041617546E-2</v>
      </c>
      <c r="BF54" s="207">
        <f t="shared" si="50"/>
        <v>5.8480906193645987E-2</v>
      </c>
      <c r="BG54" s="280">
        <f t="shared" si="50"/>
        <v>2070.7908454734716</v>
      </c>
      <c r="BH54" s="207">
        <f t="shared" si="50"/>
        <v>-4.3037644733623814E-2</v>
      </c>
      <c r="BI54" s="280">
        <f t="shared" si="50"/>
        <v>-304.32372505543026</v>
      </c>
      <c r="BJ54" s="207">
        <f t="shared" si="50"/>
        <v>8.3414717713108599E-2</v>
      </c>
      <c r="BK54" s="280">
        <f t="shared" si="50"/>
        <v>5163.6667627171846</v>
      </c>
      <c r="BL54" s="212"/>
      <c r="BM54" s="211"/>
      <c r="BN54" s="207">
        <f>BN$16-BN17</f>
        <v>0.56113457837348335</v>
      </c>
      <c r="BO54" s="279">
        <f>BO$16-BO17</f>
        <v>0.51012234397589395</v>
      </c>
      <c r="BP54" s="207">
        <f>BP$16-BP17</f>
        <v>5.3479683108632603E-3</v>
      </c>
      <c r="BQ54" s="279">
        <f>BQ17-BQ$16</f>
        <v>1.2478592725347903E-2</v>
      </c>
      <c r="BR54" s="207">
        <f t="shared" ref="BR54:BW55" si="51">BR$16-BR17</f>
        <v>-1.4170084212328682E-2</v>
      </c>
      <c r="BS54" s="279">
        <f t="shared" si="51"/>
        <v>-3.1489076027398255E-2</v>
      </c>
      <c r="BT54" s="207">
        <f t="shared" si="51"/>
        <v>-0.52922101756460549</v>
      </c>
      <c r="BU54" s="279">
        <f t="shared" si="51"/>
        <v>-23.285724772842627</v>
      </c>
      <c r="BV54" s="207" t="e">
        <f t="shared" si="51"/>
        <v>#REF!</v>
      </c>
      <c r="BW54" s="279" t="e">
        <f t="shared" si="51"/>
        <v>#REF!</v>
      </c>
    </row>
    <row r="55" spans="2:75" x14ac:dyDescent="0.35">
      <c r="B55" s="326"/>
      <c r="C55" s="198" t="str">
        <f>$C$8</f>
        <v>ORANGE</v>
      </c>
      <c r="D55" s="199"/>
      <c r="E55" s="213">
        <f t="shared" ref="E55:G55" si="52">E$16-E18</f>
        <v>2.1339332466261354</v>
      </c>
      <c r="F55" s="281">
        <f t="shared" si="52"/>
        <v>0.49537736082392314</v>
      </c>
      <c r="G55" s="213">
        <f t="shared" si="52"/>
        <v>0.70843519150520962</v>
      </c>
      <c r="H55" s="281">
        <f t="shared" ref="H55" si="53">H18-H$16</f>
        <v>0.38373572873198825</v>
      </c>
      <c r="I55" s="213">
        <f t="shared" ref="I55:J55" si="54">I$16-I18</f>
        <v>0.11767134662514245</v>
      </c>
      <c r="J55" s="281">
        <f t="shared" si="54"/>
        <v>3.1556911923300124E-2</v>
      </c>
      <c r="K55" s="216"/>
      <c r="L55" s="216"/>
      <c r="M55" s="217"/>
      <c r="N55" s="213">
        <f t="shared" ref="N55:P55" si="55">N$16-N18</f>
        <v>0.87272996348998078</v>
      </c>
      <c r="O55" s="281">
        <f t="shared" si="55"/>
        <v>0.63030497363165239</v>
      </c>
      <c r="P55" s="213">
        <f t="shared" si="55"/>
        <v>0.3867501534275366</v>
      </c>
      <c r="Q55" s="281">
        <f t="shared" ref="Q55" si="56">Q18-Q$16</f>
        <v>0.29006261507065201</v>
      </c>
      <c r="R55" s="218"/>
      <c r="S55" s="217"/>
      <c r="T55" s="213">
        <f t="shared" ref="T55:V55" si="57">T$16-T18</f>
        <v>0.34909198539599284</v>
      </c>
      <c r="U55" s="281">
        <f t="shared" si="57"/>
        <v>0.63030497363165239</v>
      </c>
      <c r="V55" s="213">
        <f t="shared" si="57"/>
        <v>0.34807513808478285</v>
      </c>
      <c r="W55" s="281">
        <f t="shared" ref="W55" si="58">W18-W$16</f>
        <v>0.29006261507065201</v>
      </c>
      <c r="X55" s="218"/>
      <c r="Y55" s="217"/>
      <c r="Z55" s="213">
        <f t="shared" ref="Z55:AB55" si="59">Z$16-Z18</f>
        <v>0.12875688325452295</v>
      </c>
      <c r="AA55" s="281">
        <f t="shared" si="59"/>
        <v>0.23247770587622085</v>
      </c>
      <c r="AB55" s="213">
        <f t="shared" si="59"/>
        <v>7.9245304413424922E-2</v>
      </c>
      <c r="AC55" s="281">
        <f t="shared" ref="AC55" si="60">AC18-AC$16</f>
        <v>1.3559173170961203</v>
      </c>
      <c r="AD55" s="213">
        <f t="shared" ref="AD55:AG55" si="61">AD$16-AD18</f>
        <v>0.63370666948836529</v>
      </c>
      <c r="AE55" s="282">
        <f t="shared" si="61"/>
        <v>7880.240379645099</v>
      </c>
      <c r="AF55" s="213">
        <f t="shared" si="61"/>
        <v>0.54839316899932633</v>
      </c>
      <c r="AG55" s="282">
        <f t="shared" si="61"/>
        <v>27872.414997925487</v>
      </c>
      <c r="AH55" s="218"/>
      <c r="AI55" s="217"/>
      <c r="AJ55" s="213">
        <f t="shared" ref="AJ55:AL55" si="62">AJ$16-AJ18</f>
        <v>0.52032226819058991</v>
      </c>
      <c r="AK55" s="281">
        <f t="shared" si="62"/>
        <v>0.93947076201078517</v>
      </c>
      <c r="AL55" s="213">
        <f t="shared" si="62"/>
        <v>3.1978445510908005E-2</v>
      </c>
      <c r="AM55" s="281">
        <f t="shared" ref="AM55" si="63">AM18-AM$16</f>
        <v>0.39448868796508174</v>
      </c>
      <c r="AN55" s="213">
        <f t="shared" ref="AN55:AQ55" si="64">AN$16-AN18</f>
        <v>0.60484876307275104</v>
      </c>
      <c r="AO55" s="282">
        <f t="shared" si="64"/>
        <v>2115.8554935242078</v>
      </c>
      <c r="AP55" s="213">
        <f t="shared" si="64"/>
        <v>0.3348703239106206</v>
      </c>
      <c r="AQ55" s="282">
        <f t="shared" si="64"/>
        <v>3064.2774263032752</v>
      </c>
      <c r="AR55" s="218"/>
      <c r="AS55" s="217"/>
      <c r="AT55" s="213">
        <f t="shared" si="49"/>
        <v>0.11027392549942938</v>
      </c>
      <c r="AU55" s="281">
        <f t="shared" si="49"/>
        <v>0.19910569881841411</v>
      </c>
      <c r="AV55" s="213">
        <f t="shared" si="49"/>
        <v>0.23490212874855676</v>
      </c>
      <c r="AW55" s="282">
        <f t="shared" si="49"/>
        <v>15712.175270863958</v>
      </c>
      <c r="AX55" s="213">
        <f t="shared" si="49"/>
        <v>0.31311471098796062</v>
      </c>
      <c r="AY55" s="282">
        <f t="shared" si="49"/>
        <v>5737.0817502480841</v>
      </c>
      <c r="AZ55" s="213">
        <f t="shared" si="49"/>
        <v>0.18226016025520198</v>
      </c>
      <c r="BA55" s="282">
        <f t="shared" si="49"/>
        <v>32634.720977140307</v>
      </c>
      <c r="BB55" s="218"/>
      <c r="BC55" s="217"/>
      <c r="BD55" s="213">
        <f t="shared" si="50"/>
        <v>8.8507384538296208E-2</v>
      </c>
      <c r="BE55" s="281">
        <f t="shared" si="50"/>
        <v>0.15980499986081043</v>
      </c>
      <c r="BF55" s="213">
        <f t="shared" si="50"/>
        <v>0.18258733945164063</v>
      </c>
      <c r="BG55" s="282">
        <f t="shared" si="50"/>
        <v>6126.5939154211264</v>
      </c>
      <c r="BH55" s="213">
        <f t="shared" si="50"/>
        <v>0.64558340503015077</v>
      </c>
      <c r="BI55" s="282">
        <f t="shared" si="50"/>
        <v>3798.1183405123579</v>
      </c>
      <c r="BJ55" s="213">
        <f t="shared" si="50"/>
        <v>9.2786600072742642E-2</v>
      </c>
      <c r="BK55" s="282">
        <f t="shared" si="50"/>
        <v>5710.794899832028</v>
      </c>
      <c r="BL55" s="218"/>
      <c r="BM55" s="217"/>
      <c r="BN55" s="213">
        <f t="shared" ref="BN55:BP55" si="65">BN$16-BN18</f>
        <v>1.3231814786360392</v>
      </c>
      <c r="BO55" s="281">
        <f t="shared" si="65"/>
        <v>1.2028922533054924</v>
      </c>
      <c r="BP55" s="213">
        <f t="shared" si="65"/>
        <v>1.0308234209104983E-2</v>
      </c>
      <c r="BQ55" s="281">
        <f t="shared" ref="BQ55" si="66">BQ18-BQ$16</f>
        <v>2.4052546487911997E-2</v>
      </c>
      <c r="BR55" s="213">
        <f t="shared" si="51"/>
        <v>-2.2889758965228602E-2</v>
      </c>
      <c r="BS55" s="281">
        <f t="shared" si="51"/>
        <v>-5.0866131033842521E-2</v>
      </c>
      <c r="BT55" s="213">
        <f t="shared" si="51"/>
        <v>-0.18819458204486228</v>
      </c>
      <c r="BU55" s="281">
        <f t="shared" si="51"/>
        <v>-8.2805616099739154</v>
      </c>
      <c r="BV55" s="213" t="e">
        <f t="shared" si="51"/>
        <v>#REF!</v>
      </c>
      <c r="BW55" s="281" t="e">
        <f t="shared" si="51"/>
        <v>#REF!</v>
      </c>
    </row>
    <row r="56" spans="2:75" x14ac:dyDescent="0.35">
      <c r="B56" s="327"/>
      <c r="C56" s="200" t="str">
        <f>$C$9</f>
        <v>YOIGO</v>
      </c>
      <c r="D56" s="201"/>
      <c r="E56" s="219">
        <f>IF($C$9="","",E$16-E19)</f>
        <v>6.9745333840673851</v>
      </c>
      <c r="F56" s="283">
        <f>IF($C$9="","",F$16-F19)</f>
        <v>1.6190881070156422</v>
      </c>
      <c r="G56" s="219">
        <f>IF($C$9="","",G$16-G19)</f>
        <v>3.5020317744090921</v>
      </c>
      <c r="H56" s="283">
        <f>IF($C$9="","",H19-H$16)</f>
        <v>1.8969338778049245</v>
      </c>
      <c r="I56" s="220">
        <f>IF($C$9="","",I$16-I19)</f>
        <v>3.1957564084713894</v>
      </c>
      <c r="J56" s="283">
        <f>IF($C$9="","",J$16-J19)</f>
        <v>0.72724155470041563</v>
      </c>
      <c r="K56" s="216"/>
      <c r="L56" s="216"/>
      <c r="M56" s="222"/>
      <c r="N56" s="220">
        <f>IF($C$9="","",N$16-N19)</f>
        <v>1.91370309653907</v>
      </c>
      <c r="O56" s="283">
        <f>IF($C$9="","",O$16-O19)</f>
        <v>1.3821189030559964</v>
      </c>
      <c r="P56" s="220">
        <f>IF($C$9="","",P$16-P19)</f>
        <v>0.6588545299883144</v>
      </c>
      <c r="Q56" s="283">
        <f>IF($C$9="","",Q19-Q$16)</f>
        <v>0.49414089749123491</v>
      </c>
      <c r="R56" s="223"/>
      <c r="S56" s="222"/>
      <c r="T56" s="220">
        <f>IF($C$9="","",T$16-T19)</f>
        <v>0.76548123861562978</v>
      </c>
      <c r="U56" s="283">
        <f>IF($C$9="","",U$16-U19)</f>
        <v>1.3821189030559964</v>
      </c>
      <c r="V56" s="220">
        <f>IF($C$9="","",V$16-V19)</f>
        <v>0.59296907698948242</v>
      </c>
      <c r="W56" s="283">
        <f>IF($C$9="","",W19-W$16)</f>
        <v>0.49414089749123491</v>
      </c>
      <c r="X56" s="223"/>
      <c r="Y56" s="222"/>
      <c r="Z56" s="220">
        <f>IF($C$9="","",Z$16-Z19)</f>
        <v>0.39561939975803817</v>
      </c>
      <c r="AA56" s="283">
        <f>IF($C$9="","",AA$16-AA19)</f>
        <v>0.71431280511868067</v>
      </c>
      <c r="AB56" s="219">
        <f>IF($C$9="","",AB$16-AB19)</f>
        <v>0.12262430633484245</v>
      </c>
      <c r="AC56" s="283">
        <f>IF($C$9="","",AC19-AC$16)</f>
        <v>2.0002113795784267</v>
      </c>
      <c r="AD56" s="219">
        <f>IF($C$9="","",AD$16-AD19)</f>
        <v>0.95219857467205271</v>
      </c>
      <c r="AE56" s="284">
        <f>IF($C$9="","",AE$16-AE19)</f>
        <v>10544.688925415378</v>
      </c>
      <c r="AF56" s="220">
        <f>IF($C$9="","",AF$16-AF19)</f>
        <v>0.54839316899932633</v>
      </c>
      <c r="AG56" s="284">
        <f>IF($C$9="","",AG$16-AG19)</f>
        <v>29075.992776556028</v>
      </c>
      <c r="AH56" s="223"/>
      <c r="AI56" s="222"/>
      <c r="AJ56" s="220">
        <f>IF($C$9="","",AJ$16-AJ19)</f>
        <v>1.3239429163356018</v>
      </c>
      <c r="AK56" s="283">
        <f>IF($C$9="","",AK$16-AK19)</f>
        <v>2.3904524878281705</v>
      </c>
      <c r="AL56" s="219">
        <f>IF($C$9="","",AL$16-AL19)</f>
        <v>3.8202676196408936E-2</v>
      </c>
      <c r="AM56" s="283">
        <f>IF($C$9="","",AM19-AM$16)</f>
        <v>0.47023925957452084</v>
      </c>
      <c r="AN56" s="219">
        <f>IF($C$9="","",AN$16-AN19)</f>
        <v>0.75112177713800121</v>
      </c>
      <c r="AO56" s="284">
        <f>IF($C$9="","",AO$16-AO19)</f>
        <v>2482.2703248777229</v>
      </c>
      <c r="AP56" s="220">
        <f>IF($C$9="","",AP$16-AP19)</f>
        <v>0.3348703239106206</v>
      </c>
      <c r="AQ56" s="284">
        <f>IF($C$9="","",AQ$16-AQ19)</f>
        <v>3181.4332255567624</v>
      </c>
      <c r="AR56" s="223"/>
      <c r="AS56" s="222"/>
      <c r="AT56" s="220">
        <f t="shared" ref="AT56:BA56" si="67">IF($C$9="","",AT$16-AT19)</f>
        <v>0.51841266198175973</v>
      </c>
      <c r="AU56" s="283">
        <f t="shared" si="67"/>
        <v>0.93602286191151052</v>
      </c>
      <c r="AV56" s="219">
        <f t="shared" si="67"/>
        <v>0.5655315058266196</v>
      </c>
      <c r="AW56" s="284">
        <f t="shared" si="67"/>
        <v>31289.878279124681</v>
      </c>
      <c r="AX56" s="219">
        <f t="shared" si="67"/>
        <v>0.72531866767745923</v>
      </c>
      <c r="AY56" s="284">
        <f t="shared" si="67"/>
        <v>11479.668002923008</v>
      </c>
      <c r="AZ56" s="220">
        <f t="shared" si="67"/>
        <v>0.42381078647247467</v>
      </c>
      <c r="BA56" s="284">
        <f t="shared" si="67"/>
        <v>58668.26516815956</v>
      </c>
      <c r="BB56" s="223"/>
      <c r="BC56" s="222"/>
      <c r="BD56" s="220">
        <f t="shared" ref="BD56:BK56" si="68">IF($C$9="","",BD$16-BD19)</f>
        <v>0.46968636845705625</v>
      </c>
      <c r="BE56" s="283">
        <f t="shared" si="68"/>
        <v>0.84804483193634894</v>
      </c>
      <c r="BF56" s="219">
        <f t="shared" si="68"/>
        <v>0.45740440348645584</v>
      </c>
      <c r="BG56" s="284">
        <f t="shared" si="68"/>
        <v>13468.65996891925</v>
      </c>
      <c r="BH56" s="219">
        <f t="shared" si="68"/>
        <v>0.9412308431778651</v>
      </c>
      <c r="BI56" s="284">
        <f t="shared" si="68"/>
        <v>5057.4614065180122</v>
      </c>
      <c r="BJ56" s="220">
        <f t="shared" si="68"/>
        <v>0.38792681191001088</v>
      </c>
      <c r="BK56" s="284">
        <f t="shared" si="68"/>
        <v>19527.831671097698</v>
      </c>
      <c r="BL56" s="223"/>
      <c r="BM56" s="222"/>
      <c r="BN56" s="219">
        <f>IF($C$9="","",BN$16-BN19)</f>
        <v>1.5887328243274297</v>
      </c>
      <c r="BO56" s="283">
        <f>IF($C$9="","",BO$16-BO19)</f>
        <v>1.4443025675703893</v>
      </c>
      <c r="BP56" s="219">
        <f>IF($C$9="","",BP$16-BP19)</f>
        <v>1.9050311543362231E-2</v>
      </c>
      <c r="BQ56" s="283">
        <f>IF($C$9="","",BQ19-BQ$16)</f>
        <v>4.4450726934512019E-2</v>
      </c>
      <c r="BR56" s="219">
        <f t="shared" ref="BR56:BW56" si="69">IF($C$9="","",BR$16-BR19)</f>
        <v>0.14160188447834088</v>
      </c>
      <c r="BS56" s="283">
        <f t="shared" si="69"/>
        <v>0.31467085439631148</v>
      </c>
      <c r="BT56" s="219">
        <f t="shared" si="69"/>
        <v>1.3549805389617271</v>
      </c>
      <c r="BU56" s="283">
        <f t="shared" si="69"/>
        <v>59.61914371431601</v>
      </c>
      <c r="BV56" s="220" t="e">
        <f t="shared" si="69"/>
        <v>#REF!</v>
      </c>
      <c r="BW56" s="283" t="e">
        <f t="shared" si="69"/>
        <v>#REF!</v>
      </c>
    </row>
    <row r="57" spans="2:75" x14ac:dyDescent="0.35">
      <c r="F57" s="285"/>
      <c r="H57" s="285"/>
      <c r="J57" s="285"/>
      <c r="O57" s="285"/>
      <c r="Q57" s="285"/>
      <c r="U57" s="285"/>
      <c r="W57" s="285"/>
      <c r="AA57" s="285"/>
      <c r="AC57" s="285"/>
      <c r="AE57" s="286"/>
      <c r="AG57" s="286"/>
      <c r="AK57" s="285"/>
      <c r="AM57" s="285"/>
      <c r="AO57" s="286"/>
      <c r="AQ57" s="286"/>
      <c r="AU57" s="285"/>
      <c r="AW57" s="286"/>
      <c r="AY57" s="286"/>
      <c r="BA57" s="286"/>
      <c r="BE57" s="285"/>
      <c r="BG57" s="286"/>
      <c r="BI57" s="286"/>
      <c r="BK57" s="286"/>
      <c r="BO57" s="285"/>
      <c r="BQ57" s="285"/>
      <c r="BS57" s="285"/>
      <c r="BU57" s="285"/>
      <c r="BW57" s="285"/>
    </row>
    <row r="58" spans="2:75" x14ac:dyDescent="0.35">
      <c r="B58" s="325" t="s">
        <v>650</v>
      </c>
      <c r="C58" s="196" t="str">
        <f>$C$7</f>
        <v>MOVISTAR</v>
      </c>
      <c r="D58" s="197"/>
      <c r="E58" s="207">
        <f>E$21-E22</f>
        <v>0</v>
      </c>
      <c r="F58" s="279">
        <f>F$21-F22</f>
        <v>0</v>
      </c>
      <c r="G58" s="207">
        <f>G$21-G22</f>
        <v>0</v>
      </c>
      <c r="H58" s="279">
        <f>H22-H$21</f>
        <v>0</v>
      </c>
      <c r="I58" s="207">
        <f>I$21-I22</f>
        <v>0</v>
      </c>
      <c r="J58" s="279">
        <f>J$21-J22</f>
        <v>0</v>
      </c>
      <c r="K58" s="210"/>
      <c r="L58" s="210"/>
      <c r="M58" s="211"/>
      <c r="N58" s="207">
        <f>N$21-N22</f>
        <v>1.0477220621356444</v>
      </c>
      <c r="O58" s="279">
        <f>O$21-O22</f>
        <v>1.1641356245951613</v>
      </c>
      <c r="P58" s="207">
        <f>P$21-P22</f>
        <v>0.35034445947372106</v>
      </c>
      <c r="Q58" s="279">
        <f>Q22-Q$21</f>
        <v>0.24816065879388605</v>
      </c>
      <c r="R58" s="212"/>
      <c r="S58" s="211"/>
      <c r="T58" s="207">
        <f>T$21-T22</f>
        <v>0.41908882485425814</v>
      </c>
      <c r="U58" s="279">
        <f>U$21-U22</f>
        <v>1.1641356245951613</v>
      </c>
      <c r="V58" s="207">
        <f>V$21-V22</f>
        <v>0.29779279055266317</v>
      </c>
      <c r="W58" s="279">
        <f>W22-W$21</f>
        <v>0.24816065879388605</v>
      </c>
      <c r="X58" s="212"/>
      <c r="Y58" s="211"/>
      <c r="Z58" s="207">
        <f>Z$21-Z22</f>
        <v>0.1783084000503532</v>
      </c>
      <c r="AA58" s="279">
        <f>AA$21-AA22</f>
        <v>0.49530111125098131</v>
      </c>
      <c r="AB58" s="207">
        <f>AB$21-AB22</f>
        <v>0</v>
      </c>
      <c r="AC58" s="279">
        <f>AC22-AC$21</f>
        <v>0.16513489071368004</v>
      </c>
      <c r="AD58" s="207">
        <f>AD$21-AD22</f>
        <v>-1.2628724744074171E-2</v>
      </c>
      <c r="AE58" s="280">
        <f>AE$21-AE22</f>
        <v>-61.416004398460245</v>
      </c>
      <c r="AF58" s="207">
        <f>AF$21-AF22</f>
        <v>4.0607353186816408E-2</v>
      </c>
      <c r="AG58" s="280">
        <f>AG$21-AG22</f>
        <v>2512.4445203140931</v>
      </c>
      <c r="AH58" s="212"/>
      <c r="AI58" s="211"/>
      <c r="AJ58" s="207">
        <f>AJ$21-AJ22</f>
        <v>-0.69871947751019547</v>
      </c>
      <c r="AK58" s="279">
        <f>AK$21-AK22</f>
        <v>-1.9408874375283176</v>
      </c>
      <c r="AL58" s="207">
        <f>AL$21-AL22</f>
        <v>5.262393370597529E-5</v>
      </c>
      <c r="AM58" s="279">
        <f>AM22-AM$21</f>
        <v>0.12494258780358725</v>
      </c>
      <c r="AN58" s="207">
        <f>AN$21-AN22</f>
        <v>9.1210883820514232E-2</v>
      </c>
      <c r="AO58" s="280">
        <f>AO$21-AO22</f>
        <v>153.13785928843163</v>
      </c>
      <c r="AP58" s="207">
        <f>AP$21-AP22</f>
        <v>-4.6596555342722779E-3</v>
      </c>
      <c r="AQ58" s="280">
        <f>AQ$21-AQ22</f>
        <v>-110.14980667735108</v>
      </c>
      <c r="AR58" s="212"/>
      <c r="AS58" s="211"/>
      <c r="AT58" s="207">
        <f t="shared" ref="AT58:BA59" si="70">AT$21-AT22</f>
        <v>0.10144761788681311</v>
      </c>
      <c r="AU58" s="279">
        <f t="shared" si="70"/>
        <v>0.28179893857448235</v>
      </c>
      <c r="AV58" s="207">
        <f t="shared" si="70"/>
        <v>0.15311900427608993</v>
      </c>
      <c r="AW58" s="280">
        <f t="shared" si="70"/>
        <v>6332.4147937719354</v>
      </c>
      <c r="AX58" s="207">
        <f t="shared" si="70"/>
        <v>5.5721301149448177E-2</v>
      </c>
      <c r="AY58" s="280">
        <f t="shared" si="70"/>
        <v>338.57882623705518</v>
      </c>
      <c r="AZ58" s="207">
        <f t="shared" si="70"/>
        <v>0.16236749556315211</v>
      </c>
      <c r="BA58" s="280">
        <f t="shared" si="70"/>
        <v>19214.149659863921</v>
      </c>
      <c r="BB58" s="212"/>
      <c r="BC58" s="211"/>
      <c r="BD58" s="207">
        <f t="shared" ref="BD58:BK59" si="71">BD$21-BD22</f>
        <v>0.15133579032283873</v>
      </c>
      <c r="BE58" s="279">
        <f t="shared" si="71"/>
        <v>0.4203771953412172</v>
      </c>
      <c r="BF58" s="207">
        <f t="shared" si="71"/>
        <v>0.12730520675660451</v>
      </c>
      <c r="BG58" s="280">
        <f t="shared" si="71"/>
        <v>2779.5202346002752</v>
      </c>
      <c r="BH58" s="207">
        <f t="shared" si="71"/>
        <v>9.0654602350857427E-2</v>
      </c>
      <c r="BI58" s="280">
        <f t="shared" si="71"/>
        <v>186.17206717342629</v>
      </c>
      <c r="BJ58" s="207">
        <f t="shared" si="71"/>
        <v>0.14603784472899528</v>
      </c>
      <c r="BK58" s="280">
        <f t="shared" si="71"/>
        <v>8743.3316343866863</v>
      </c>
      <c r="BL58" s="212"/>
      <c r="BM58" s="211"/>
      <c r="BN58" s="207">
        <f>BN$21-BN22</f>
        <v>1.3918266469084273</v>
      </c>
      <c r="BO58" s="279">
        <f>BO$21-BO22</f>
        <v>2.1088282528915556</v>
      </c>
      <c r="BP58" s="207">
        <f>BP$21-BP22</f>
        <v>0</v>
      </c>
      <c r="BQ58" s="279">
        <f>BQ22-BQ$21</f>
        <v>-7.4208586414103328E-2</v>
      </c>
      <c r="BR58" s="207">
        <f t="shared" ref="BR58:BW59" si="72">BR$21-BR22</f>
        <v>-0.15779197952049362</v>
      </c>
      <c r="BS58" s="279">
        <f t="shared" si="72"/>
        <v>-0.70129768675775495</v>
      </c>
      <c r="BT58" s="207">
        <f t="shared" si="72"/>
        <v>-0.26948051948051965</v>
      </c>
      <c r="BU58" s="279">
        <f t="shared" si="72"/>
        <v>-11.85714285714289</v>
      </c>
      <c r="BV58" s="207" t="e">
        <f t="shared" si="72"/>
        <v>#REF!</v>
      </c>
      <c r="BW58" s="279" t="e">
        <f t="shared" si="72"/>
        <v>#REF!</v>
      </c>
    </row>
    <row r="59" spans="2:75" x14ac:dyDescent="0.35">
      <c r="B59" s="326"/>
      <c r="C59" s="198" t="str">
        <f>$C$8</f>
        <v>ORANGE</v>
      </c>
      <c r="D59" s="199"/>
      <c r="E59" s="213">
        <f t="shared" ref="E59:G59" si="73">E$21-E23</f>
        <v>8.6050921087332952</v>
      </c>
      <c r="F59" s="281">
        <f t="shared" si="73"/>
        <v>3.0732471816904621</v>
      </c>
      <c r="G59" s="213">
        <f t="shared" si="73"/>
        <v>1.5533351943526412</v>
      </c>
      <c r="H59" s="281">
        <f t="shared" ref="H59" si="74">H23-H$21</f>
        <v>0.84138989694101429</v>
      </c>
      <c r="I59" s="213">
        <f t="shared" ref="I59:J59" si="75">I$21-I23</f>
        <v>0.23616165551351465</v>
      </c>
      <c r="J59" s="281">
        <f t="shared" si="75"/>
        <v>6.2379204148379941E-2</v>
      </c>
      <c r="K59" s="216"/>
      <c r="L59" s="216"/>
      <c r="M59" s="217"/>
      <c r="N59" s="213">
        <f t="shared" ref="N59:P59" si="76">N$21-N23</f>
        <v>1.9217893919149294</v>
      </c>
      <c r="O59" s="281">
        <f t="shared" si="76"/>
        <v>2.1353215465721433</v>
      </c>
      <c r="P59" s="213">
        <f t="shared" si="76"/>
        <v>0.6852679831994859</v>
      </c>
      <c r="Q59" s="281">
        <f t="shared" ref="Q59" si="77">Q23-Q$21</f>
        <v>0.48539815476630244</v>
      </c>
      <c r="R59" s="218"/>
      <c r="S59" s="217"/>
      <c r="T59" s="213">
        <f t="shared" ref="T59:V59" si="78">T$21-T23</f>
        <v>0.76871575676597281</v>
      </c>
      <c r="U59" s="281">
        <f t="shared" si="78"/>
        <v>2.1353215465721433</v>
      </c>
      <c r="V59" s="213">
        <f t="shared" si="78"/>
        <v>0.58247778571956266</v>
      </c>
      <c r="W59" s="281">
        <f t="shared" ref="W59" si="79">W23-W$21</f>
        <v>0.48539815476630244</v>
      </c>
      <c r="X59" s="218"/>
      <c r="Y59" s="217"/>
      <c r="Z59" s="213">
        <f t="shared" ref="Z59:AB59" si="80">Z$21-Z23</f>
        <v>0.22978067870652819</v>
      </c>
      <c r="AA59" s="281">
        <f t="shared" si="80"/>
        <v>0.63827966307368911</v>
      </c>
      <c r="AB59" s="213">
        <f t="shared" si="80"/>
        <v>5.1529523565863933E-2</v>
      </c>
      <c r="AC59" s="281">
        <f t="shared" ref="AC59" si="81">AC23-AC$21</f>
        <v>1.5738245392529293</v>
      </c>
      <c r="AD59" s="213">
        <f t="shared" ref="AD59:AG59" si="82">AD$21-AD23</f>
        <v>0.50065664543784627</v>
      </c>
      <c r="AE59" s="282">
        <f t="shared" si="82"/>
        <v>2005.7796252605829</v>
      </c>
      <c r="AF59" s="213">
        <f t="shared" si="82"/>
        <v>0.65386951797331361</v>
      </c>
      <c r="AG59" s="282">
        <f t="shared" si="82"/>
        <v>21325.88736106535</v>
      </c>
      <c r="AH59" s="218"/>
      <c r="AI59" s="217"/>
      <c r="AJ59" s="213">
        <f t="shared" ref="AJ59:AL59" si="83">AJ$21-AJ23</f>
        <v>0.37110338587551528</v>
      </c>
      <c r="AK59" s="281">
        <f t="shared" si="83"/>
        <v>1.0308427385431003</v>
      </c>
      <c r="AL59" s="213">
        <f t="shared" si="83"/>
        <v>2.8130067408095538E-2</v>
      </c>
      <c r="AM59" s="281">
        <f t="shared" ref="AM59" si="84">AM23-AM$21</f>
        <v>0.53039844354863508</v>
      </c>
      <c r="AN59" s="213">
        <f t="shared" ref="AN59:AQ59" si="85">AN$21-AN23</f>
        <v>0.23718216095159816</v>
      </c>
      <c r="AO59" s="282">
        <f t="shared" si="85"/>
        <v>364.45904984844447</v>
      </c>
      <c r="AP59" s="213">
        <f t="shared" si="85"/>
        <v>0.11856052424904057</v>
      </c>
      <c r="AQ59" s="282">
        <f t="shared" si="85"/>
        <v>2485.6209072188358</v>
      </c>
      <c r="AR59" s="218"/>
      <c r="AS59" s="217"/>
      <c r="AT59" s="213">
        <f t="shared" si="70"/>
        <v>0.42800687370313018</v>
      </c>
      <c r="AU59" s="281">
        <f t="shared" si="70"/>
        <v>1.1889079825086952</v>
      </c>
      <c r="AV59" s="213">
        <f t="shared" si="70"/>
        <v>0.23082325247997826</v>
      </c>
      <c r="AW59" s="282">
        <f t="shared" si="70"/>
        <v>9148.0798643184135</v>
      </c>
      <c r="AX59" s="213">
        <f t="shared" si="70"/>
        <v>0.34518959042672992</v>
      </c>
      <c r="AY59" s="282">
        <f t="shared" si="70"/>
        <v>1891.5231214441801</v>
      </c>
      <c r="AZ59" s="213">
        <f t="shared" si="70"/>
        <v>0.20211722414228572</v>
      </c>
      <c r="BA59" s="282">
        <f t="shared" si="70"/>
        <v>23177.037037037022</v>
      </c>
      <c r="BB59" s="218"/>
      <c r="BC59" s="217"/>
      <c r="BD59" s="213">
        <f t="shared" si="71"/>
        <v>0.62715469924864031</v>
      </c>
      <c r="BE59" s="281">
        <f t="shared" si="71"/>
        <v>1.7420963868017765</v>
      </c>
      <c r="BF59" s="213">
        <f t="shared" si="71"/>
        <v>0.17379085887855372</v>
      </c>
      <c r="BG59" s="282">
        <f t="shared" si="71"/>
        <v>3700.9610371167528</v>
      </c>
      <c r="BH59" s="213">
        <f t="shared" si="71"/>
        <v>0.21032600256442313</v>
      </c>
      <c r="BI59" s="282">
        <f t="shared" si="71"/>
        <v>410.36494113339074</v>
      </c>
      <c r="BJ59" s="213">
        <f t="shared" si="71"/>
        <v>0.15227921761923346</v>
      </c>
      <c r="BK59" s="282">
        <f t="shared" si="71"/>
        <v>9076.78451178451</v>
      </c>
      <c r="BL59" s="218"/>
      <c r="BM59" s="217"/>
      <c r="BN59" s="213">
        <f t="shared" ref="BN59:BP59" si="86">BN$21-BN23</f>
        <v>0.51141230810145544</v>
      </c>
      <c r="BO59" s="281">
        <f t="shared" si="86"/>
        <v>0.77486713348704939</v>
      </c>
      <c r="BP59" s="213">
        <f t="shared" si="86"/>
        <v>0</v>
      </c>
      <c r="BQ59" s="281">
        <f t="shared" ref="BQ59" si="87">BQ23-BQ$21</f>
        <v>8.1967092024839427E-3</v>
      </c>
      <c r="BR59" s="213">
        <f t="shared" si="72"/>
        <v>0.14083269601841364</v>
      </c>
      <c r="BS59" s="281">
        <f t="shared" si="72"/>
        <v>0.62592309341516739</v>
      </c>
      <c r="BT59" s="213">
        <f t="shared" si="72"/>
        <v>0.27597402597402532</v>
      </c>
      <c r="BU59" s="281">
        <f t="shared" si="72"/>
        <v>12.14285714285711</v>
      </c>
      <c r="BV59" s="213" t="e">
        <f t="shared" si="72"/>
        <v>#REF!</v>
      </c>
      <c r="BW59" s="281" t="e">
        <f t="shared" si="72"/>
        <v>#REF!</v>
      </c>
    </row>
    <row r="60" spans="2:75" x14ac:dyDescent="0.35">
      <c r="B60" s="327"/>
      <c r="C60" s="200" t="str">
        <f>$C$9</f>
        <v>YOIGO</v>
      </c>
      <c r="D60" s="201"/>
      <c r="E60" s="219">
        <f>IF($C$9="","",E$21-E24)</f>
        <v>34.587028320742945</v>
      </c>
      <c r="F60" s="283">
        <f>IF($C$9="","",F$21-F24)</f>
        <v>12.352510114551052</v>
      </c>
      <c r="G60" s="219">
        <f>IF($C$9="","",G$21-G24)</f>
        <v>3.7056407827259594</v>
      </c>
      <c r="H60" s="283">
        <f>IF($C$9="","",H24-H$21)</f>
        <v>2.0072220906432277</v>
      </c>
      <c r="I60" s="220">
        <f>IF($C$9="","",I$21-I24)</f>
        <v>4.6049862040408263</v>
      </c>
      <c r="J60" s="283">
        <f>IF($C$9="","",J$21-J24)</f>
        <v>0.95089980864736434</v>
      </c>
      <c r="K60" s="216"/>
      <c r="L60" s="216"/>
      <c r="M60" s="222"/>
      <c r="N60" s="220">
        <f>IF($C$9="","",N$21-N24)</f>
        <v>6.0631194012526581</v>
      </c>
      <c r="O60" s="283">
        <f>IF($C$9="","",O$21-O24)</f>
        <v>6.7367993347251769</v>
      </c>
      <c r="P60" s="220">
        <f>IF($C$9="","",P$21-P24)</f>
        <v>1.3857497652031565</v>
      </c>
      <c r="Q60" s="283">
        <f>IF($C$9="","",Q24-Q$21)</f>
        <v>0.98157275035223623</v>
      </c>
      <c r="R60" s="223"/>
      <c r="S60" s="222"/>
      <c r="T60" s="220">
        <f>IF($C$9="","",T$21-T24)</f>
        <v>2.4252477605010636</v>
      </c>
      <c r="U60" s="283">
        <f>IF($C$9="","",U$21-U24)</f>
        <v>6.7367993347251769</v>
      </c>
      <c r="V60" s="220">
        <f>IF($C$9="","",V$21-V24)</f>
        <v>1.1778873004226833</v>
      </c>
      <c r="W60" s="283">
        <f>IF($C$9="","",W24-W$21)</f>
        <v>0.98157275035223623</v>
      </c>
      <c r="X60" s="223"/>
      <c r="Y60" s="222"/>
      <c r="Z60" s="220">
        <f>IF($C$9="","",Z$21-Z24)</f>
        <v>0.77921851540962095</v>
      </c>
      <c r="AA60" s="283">
        <f>IF($C$9="","",AA$21-AA24)</f>
        <v>2.1644958761378348</v>
      </c>
      <c r="AB60" s="219">
        <f>IF($C$9="","",AB$21-AB24)</f>
        <v>9.448264718485655E-2</v>
      </c>
      <c r="AC60" s="283">
        <f>IF($C$9="","",AC24-AC$21)</f>
        <v>2.3100480749557368</v>
      </c>
      <c r="AD60" s="219">
        <f>IF($C$9="","",AD$21-AD24)</f>
        <v>0.6516521904619621</v>
      </c>
      <c r="AE60" s="284">
        <f>IF($C$9="","",AE$21-AE24)</f>
        <v>2446.4451276045484</v>
      </c>
      <c r="AF60" s="220">
        <f>IF($C$9="","",AF$21-AF24)</f>
        <v>0.65386951797331361</v>
      </c>
      <c r="AG60" s="284">
        <f>IF($C$9="","",AG$21-AG24)</f>
        <v>23341.934089458842</v>
      </c>
      <c r="AH60" s="223"/>
      <c r="AI60" s="222"/>
      <c r="AJ60" s="220">
        <f>IF($C$9="","",AJ$21-AJ24)</f>
        <v>1.0273693088580833</v>
      </c>
      <c r="AK60" s="283">
        <f>IF($C$9="","",AK$21-AK24)</f>
        <v>2.8538036357169005</v>
      </c>
      <c r="AL60" s="219">
        <f>IF($C$9="","",AL$21-AL24)</f>
        <v>5.7895797734864418E-2</v>
      </c>
      <c r="AM60" s="283">
        <f>IF($C$9="","",AM24-AM$21)</f>
        <v>0.95151589469653275</v>
      </c>
      <c r="AN60" s="219">
        <f>IF($C$9="","",AN$21-AN24)</f>
        <v>0.36075201439183646</v>
      </c>
      <c r="AO60" s="284">
        <f>IF($C$9="","",AO$21-AO24)</f>
        <v>510.87543932699634</v>
      </c>
      <c r="AP60" s="220">
        <f>IF($C$9="","",AP$21-AP24)</f>
        <v>0.15488658399620459</v>
      </c>
      <c r="AQ60" s="284">
        <f>IF($C$9="","",AQ$21-AQ24)</f>
        <v>3125.0954882534734</v>
      </c>
      <c r="AR60" s="223"/>
      <c r="AS60" s="222"/>
      <c r="AT60" s="220">
        <f t="shared" ref="AT60:BA60" si="88">IF($C$9="","",AT$21-AT24)</f>
        <v>0.62906880954971367</v>
      </c>
      <c r="AU60" s="283">
        <f t="shared" si="88"/>
        <v>1.7474133598603174</v>
      </c>
      <c r="AV60" s="219">
        <f t="shared" si="88"/>
        <v>0.40933321932960287</v>
      </c>
      <c r="AW60" s="284">
        <f t="shared" si="88"/>
        <v>14601.898541080689</v>
      </c>
      <c r="AX60" s="219">
        <f t="shared" si="88"/>
        <v>0.54973801379598641</v>
      </c>
      <c r="AY60" s="284">
        <f t="shared" si="88"/>
        <v>2780.6119290038523</v>
      </c>
      <c r="AZ60" s="220">
        <f t="shared" si="88"/>
        <v>0.39961133070134042</v>
      </c>
      <c r="BA60" s="284">
        <f t="shared" si="88"/>
        <v>38544.991087344024</v>
      </c>
      <c r="BB60" s="223"/>
      <c r="BC60" s="222"/>
      <c r="BD60" s="220">
        <f t="shared" ref="BD60:BK60" si="89">IF($C$9="","",BD$21-BD24)</f>
        <v>1.5526786116472255</v>
      </c>
      <c r="BE60" s="283">
        <f t="shared" si="89"/>
        <v>4.3129961434645168</v>
      </c>
      <c r="BF60" s="219">
        <f t="shared" si="89"/>
        <v>0.30155751476988102</v>
      </c>
      <c r="BG60" s="284">
        <f t="shared" si="89"/>
        <v>5975.8767969516466</v>
      </c>
      <c r="BH60" s="219">
        <f t="shared" si="89"/>
        <v>0.35297344310828838</v>
      </c>
      <c r="BI60" s="284">
        <f t="shared" si="89"/>
        <v>645.53512032870253</v>
      </c>
      <c r="BJ60" s="220">
        <f t="shared" si="89"/>
        <v>0.22460967295006007</v>
      </c>
      <c r="BK60" s="284">
        <f t="shared" si="89"/>
        <v>12700.629064178687</v>
      </c>
      <c r="BL60" s="223"/>
      <c r="BM60" s="222"/>
      <c r="BN60" s="219">
        <f>IF($C$9="","",BN$21-BN24)</f>
        <v>0.16100319890629855</v>
      </c>
      <c r="BO60" s="283">
        <f>IF($C$9="","",BO$21-BO24)</f>
        <v>0.24394424076712085</v>
      </c>
      <c r="BP60" s="219">
        <f>IF($C$9="","",BP$21-BP24)</f>
        <v>0</v>
      </c>
      <c r="BQ60" s="283">
        <f>IF($C$9="","",BQ24-BQ$21)</f>
        <v>-1.4971270673431514E-2</v>
      </c>
      <c r="BR60" s="219">
        <f t="shared" ref="BR60:BW60" si="90">IF($C$9="","",BR$21-BR24)</f>
        <v>7.7620198262202678E-3</v>
      </c>
      <c r="BS60" s="283">
        <f t="shared" si="90"/>
        <v>3.4497865894309143E-2</v>
      </c>
      <c r="BT60" s="219">
        <f t="shared" si="90"/>
        <v>1.0259740259740253</v>
      </c>
      <c r="BU60" s="283">
        <f t="shared" si="90"/>
        <v>45.14285714285711</v>
      </c>
      <c r="BV60" s="220" t="e">
        <f t="shared" si="90"/>
        <v>#REF!</v>
      </c>
      <c r="BW60" s="283" t="e">
        <f t="shared" si="90"/>
        <v>#REF!</v>
      </c>
    </row>
  </sheetData>
  <mergeCells count="47">
    <mergeCell ref="B11:B14"/>
    <mergeCell ref="B16:B19"/>
    <mergeCell ref="B21:B24"/>
    <mergeCell ref="BN4:BO4"/>
    <mergeCell ref="BP4:BQ4"/>
    <mergeCell ref="AN4:AO4"/>
    <mergeCell ref="AP4:AQ4"/>
    <mergeCell ref="AT4:AU4"/>
    <mergeCell ref="AV4:AW4"/>
    <mergeCell ref="AX4:AY4"/>
    <mergeCell ref="AF4:AG4"/>
    <mergeCell ref="AJ4:AK4"/>
    <mergeCell ref="AL4:AM4"/>
    <mergeCell ref="T4:U4"/>
    <mergeCell ref="V4:W4"/>
    <mergeCell ref="Z4:AA4"/>
    <mergeCell ref="BV4:BW4"/>
    <mergeCell ref="AZ4:BA4"/>
    <mergeCell ref="BD4:BE4"/>
    <mergeCell ref="BF4:BG4"/>
    <mergeCell ref="BH4:BI4"/>
    <mergeCell ref="BJ4:BK4"/>
    <mergeCell ref="BR4:BS4"/>
    <mergeCell ref="BT4:BU4"/>
    <mergeCell ref="AB4:AC4"/>
    <mergeCell ref="AD4:AE4"/>
    <mergeCell ref="E4:F4"/>
    <mergeCell ref="G4:H4"/>
    <mergeCell ref="I4:J4"/>
    <mergeCell ref="N4:O4"/>
    <mergeCell ref="P4:Q4"/>
    <mergeCell ref="E2:J2"/>
    <mergeCell ref="N2:BW2"/>
    <mergeCell ref="N3:Q3"/>
    <mergeCell ref="T3:W3"/>
    <mergeCell ref="Z3:AG3"/>
    <mergeCell ref="AJ3:AQ3"/>
    <mergeCell ref="AT3:BA3"/>
    <mergeCell ref="BD3:BK3"/>
    <mergeCell ref="BN3:BW3"/>
    <mergeCell ref="B54:B56"/>
    <mergeCell ref="B58:B60"/>
    <mergeCell ref="B28:G28"/>
    <mergeCell ref="B36:G36"/>
    <mergeCell ref="B44:G44"/>
    <mergeCell ref="B46:B48"/>
    <mergeCell ref="B50:B52"/>
  </mergeCells>
  <conditionalFormatting sqref="E32:J34 BN32:BW34 BD32:BK34 AT32:BA34 AJ32:AQ34 T32:W34 N32:Q34 Z32:AG3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0:J30 BN30:BW30 BD30:BK30 AT30:BA30 AJ30:AQ30 T30:W30 N30:Q30 Z30:AG3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8:G40 BN38:BP40 BJ38:BJ40 BH38:BH40 BD38:BF40 AZ38:AZ40 AX38:AX40 AP38:AP40 AT38:AV40 AJ38:AL40 AF38:AF40 I38:J40 BR38:BW40 AN38:AN40 AD38:AD40 Z38:AB40 T38:V40 N38:P4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:J4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8:O4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8:J4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8:O4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8:O4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8:U4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8:U4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8:AA4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8:AA4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8:AK4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8:AK4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 J38:J40 O38:O4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8:F40 J38:J40 O38:O40 U38:U40 AA38:AA40 AK38:AK40 AU38:AU40 BE38:BE40 BO38:BO40 BS38:BS40 BU38:BU40 BW38:BW4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38:AO40 AQ38:AQ40 AW38:AW40 AY38:AY40 BA38:BA40 BG38:BG40 BI38:BI40 BK38:BK4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8:Q40 W38:W40 AC38:AC40 AM38:AM40 BQ38:BQ40 H38:H4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:AE4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8:AE4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:AE4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8:AE4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8:AG4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8:AG4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8:J40 AE38:AE40 AG38:AG40 AO38:AO40 AQ38:AQ40 AW38:AW40 AY38:AY40 BA38:BA40 BG38:BG40 BI38:BI40 BK38:BK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:J48 N46:Q48 T46:W48 Z46:AG48 AJ46:AQ48 AT46:BA48 BD46:BK48 BN46:BW48 BN58:BW60 BD58:BK60 AT58:BA60 AJ58:AQ60 Z58:AG60 T58:W60 N58:Q60 E58:J60 BN54:BW56 BD54:BK56 AT54:BA56 AJ54:AQ56 Z54:AG56 T54:W56 N54:Q56 E54:J56 BN50:BW52 BD50:BK52 AT50:BA52 AJ50:AQ52 Z50:AG52 T50:W52 N50:Q52 E50:J52">
    <cfRule type="expression" dxfId="0" priority="1">
      <formula>E46&lt;0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tabColor rgb="FFFFFF00"/>
  </sheetPr>
  <dimension ref="A1:BO70"/>
  <sheetViews>
    <sheetView topLeftCell="A40" zoomScale="80" zoomScaleNormal="80" workbookViewId="0">
      <selection activeCell="P14" sqref="P14"/>
    </sheetView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5703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39" max="39" width="9.7109375" bestFit="1" customWidth="1"/>
    <col min="41" max="41" width="9.7109375" bestFit="1" customWidth="1"/>
    <col min="52" max="52" width="40" customWidth="1"/>
    <col min="53" max="55" width="1.5703125" customWidth="1"/>
    <col min="56" max="56" width="30.140625" bestFit="1" customWidth="1"/>
    <col min="57" max="59" width="11.28515625" customWidth="1"/>
    <col min="60" max="60" width="35.5703125" customWidth="1"/>
    <col min="61" max="63" width="11.28515625" customWidth="1"/>
    <col min="64" max="64" width="34.5703125" bestFit="1" customWidth="1"/>
    <col min="65" max="67" width="11.285156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17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643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99.439243042002914</v>
      </c>
      <c r="K6" s="18">
        <v>87</v>
      </c>
      <c r="L6" s="19">
        <v>100</v>
      </c>
      <c r="M6" s="27">
        <f>IFERROR(IF($AZ$7="AVG",BI6,VLOOKUP($AZ$7,OBIEE_VOICE!$A$1:$ZZ$999,$AX6,FALSE)),I6)</f>
        <v>99.328589156491333</v>
      </c>
      <c r="O6" s="18">
        <v>80</v>
      </c>
      <c r="P6" s="19">
        <v>100</v>
      </c>
      <c r="Q6" s="27">
        <f>IFERROR(IF($AZ$8="AVG",IF(ISNUMBER(VLOOKUP(CONCATENATE($BL$6,$BN$4),OBIEE_VOICE!$A$1:$ZZ$999, $AX6,FALSE)),BM6,BN6),VLOOKUP($AZ$8,OBIEE_VOICE!$A$1:$ZZ$999,$AX6,FALSE)),"")</f>
        <v>94.962113454843333</v>
      </c>
      <c r="S6" s="62">
        <f>IF(I6&lt;&gt;"",IF(I6&lt;=(0.9*G6+0.1*H6),0.1*D6*I6/(0.9*G6+0.1*H6),IF(I6&gt;=H6,D6,(I6-G6)/(H6-G6)*D6)),0)</f>
        <v>0.66980539456938759</v>
      </c>
      <c r="T6" s="41">
        <f>IF(M6&lt;&gt;"",IF(M6&lt;=(0.9*K6+0.1*L6),0.1*D6*M6/(0.9*K6+0.1*L6),IF(M6&gt;=L6,D6,(M6-K6)/(L6-K6)*D6)),0)</f>
        <v>0.66384710842645633</v>
      </c>
      <c r="U6" s="41">
        <f>IF(Q6&lt;&gt;"",IF(Q6&lt;=(0.9*O6+0.1*P6),0.1*D6*Q6/(0.9*O6+0.1*P6),IF(Q6&gt;=P6,D6,(Q6-O6)/(P6-O6)*D6)),0)</f>
        <v>0.52367397091951662</v>
      </c>
      <c r="V6" s="139">
        <f>(S6*Service_Weights!$E$2) + (T6*Service_Weights!$F$2) + (U6*Service_Weights!$G$2)</f>
        <v>255.75498104433086</v>
      </c>
      <c r="W6" s="10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10"/>
      <c r="AM6" s="247">
        <f>(S6*Service_Weights!$E$2)</f>
        <v>160.75329469665303</v>
      </c>
      <c r="AN6" s="247">
        <f>(T6*Service_Weights!$F$2)</f>
        <v>53.107768674116507</v>
      </c>
      <c r="AO6" s="247">
        <f xml:space="preserve"> (U6*Service_Weights!$G$2)</f>
        <v>41.893917673561333</v>
      </c>
      <c r="AX6">
        <v>2</v>
      </c>
      <c r="AZ6" t="str">
        <f>CONFIG!B20</f>
        <v>VF-ES_VODAFONE_MAIN CITIES_4G</v>
      </c>
      <c r="BD6" s="34" t="str">
        <f>CONFIG!B21</f>
        <v>VF-ES_VODAFONE_MAIN CITIES_</v>
      </c>
      <c r="BE6" s="10">
        <f>AVERAGE(BF6,BG6)</f>
        <v>99.255862632326057</v>
      </c>
      <c r="BF6" s="10">
        <f>IFERROR(IFERROR(VLOOKUP(CONCATENATE($BD$6,$BF$4),OBIEE_VOICE!$A$1:$ZZ$999, $AX6,FALSE),VLOOKUP(CONCATENATE($BD$6,"4G"),OBIEE_VOICE!$A$1:$ZZ$999, $AX6,FALSE)),"")</f>
        <v>99.439243042002914</v>
      </c>
      <c r="BG6" s="9">
        <f>IFERROR(VLOOKUP(CONCATENATE($BD$6,"3G+4G"),OBIEE_VOICE!$A$1:$ZZ$999, $AX6,FALSE),"")</f>
        <v>99.072482222649199</v>
      </c>
      <c r="BH6" s="34" t="str">
        <f>CONFIG!B23</f>
        <v>VF-ES_VODAFONE_SMALLER CITIES_</v>
      </c>
      <c r="BI6" s="10">
        <f>AVERAGE(BJ6,BK6)</f>
        <v>99.089690993543456</v>
      </c>
      <c r="BJ6" s="10">
        <f>IFERROR(IFERROR(VLOOKUP(CONCATENATE($BH$6,$BJ$4),OBIEE_VOICE!$A$1:$ZZ$999, $AX6,FALSE),VLOOKUP(CONCATENATE($BH$6,"4G"),OBIEE_VOICE!$A$1:$ZZ$999, $AX6,FALSE)),"")</f>
        <v>99.328589156491333</v>
      </c>
      <c r="BK6" s="9">
        <f>IFERROR(VLOOKUP(CONCATENATE($BH$6,"3G+4G"),OBIEE_VOICE!$A$1:$ZZ$999, $AX6,FALSE),"")</f>
        <v>98.85079283059558</v>
      </c>
      <c r="BL6" s="34" t="str">
        <f>CONFIG!B25</f>
        <v>VF-ES_VODAFONE_MAIN HIGHWAYS_</v>
      </c>
      <c r="BM6" s="10">
        <f>AVERAGE(BN6,BO6)</f>
        <v>94.962113454843333</v>
      </c>
      <c r="BN6" s="10">
        <f>IFERROR(IFERROR(VLOOKUP(CONCATENATE($BL$6,$BN$4),OBIEE_VOICE!$A$1:$ZZ$999, $AX6,FALSE),VLOOKUP(CONCATENATE($BL$6,"4G"),OBIEE_VOICE!$A$1:$ZZ$999, $AX6,FALSE)),"")</f>
        <v>94.962113454843333</v>
      </c>
      <c r="BO6" s="9">
        <f>IFERROR(VLOOKUP(CONCATENATE($BL$6,"3G+4G"),OBIEE_VOICE!$A$1:$ZZ$999, $AX6,FALSE),"")</f>
        <v>94.962113454843333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5.195340833700155</v>
      </c>
      <c r="K7" s="20">
        <v>3.5</v>
      </c>
      <c r="L7" s="21">
        <v>10</v>
      </c>
      <c r="M7" s="28">
        <f>IFERROR(IF($AZ$7="AVG",BI7,VLOOKUP($AZ$7,OBIEE_VOICE!$A$1:$ZZ$999,$AX7,FALSE)),I7)</f>
        <v>5.8421387347067553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5.8314297584105574</v>
      </c>
      <c r="S7" s="62">
        <f>IF(AND(I7&lt;&gt;"",I7&lt;&gt;0),IF(I7&lt;=G7,D7,IF(I7&gt;=H7,0,D7-(I7-G7)/(H7-G7)*D7)),0)</f>
        <v>0.11087674999153488</v>
      </c>
      <c r="T7" s="41">
        <f>IF(AND(M7&lt;&gt;"",M7&lt;&gt;0),IF(M7&lt;=K7,D7,IF(M7&gt;=L7,0,D7-(M7-K7)/(L7-K7)*D7)),0)</f>
        <v>9.5950644583690264E-2</v>
      </c>
      <c r="U7" s="41">
        <f>IF(AND(Q7&lt;&gt;"",Q7&lt;&gt;0),IF(Q7&lt;=O7,D7,IF(Q7&gt;=P7,0,D7-(Q7-O7)/(P7-O7)*D7)),0)</f>
        <v>9.6197774805910213E-2</v>
      </c>
      <c r="V7" s="139">
        <f>(S7*Service_Weights!$E$2) + (T7*Service_Weights!$F$2) + (U7*Service_Weights!$G$2)</f>
        <v>41.982293549136408</v>
      </c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247">
        <f>(S7*Service_Weights!$E$2)</f>
        <v>26.610419997968371</v>
      </c>
      <c r="AN7" s="247">
        <f>(T7*Service_Weights!$F$2)</f>
        <v>7.6760515666952216</v>
      </c>
      <c r="AO7" s="247">
        <f>(U7*Service_Weights!$G$2)</f>
        <v>7.6958219844728166</v>
      </c>
      <c r="AX7">
        <f>AX6+1</f>
        <v>3</v>
      </c>
      <c r="AZ7" t="str">
        <f>CONFIG!B22</f>
        <v>VF-ES_VODAFONE_SMALLER CITIES_4G</v>
      </c>
      <c r="BD7" s="34"/>
      <c r="BE7" s="10">
        <f t="shared" ref="BE7:BE8" si="2">AVERAGE(BF7,BG7)</f>
        <v>5.1377928729241411</v>
      </c>
      <c r="BF7" s="10">
        <f>IFERROR(IFERROR(VLOOKUP(CONCATENATE($BD$6,$BF$4),OBIEE_VOICE!$A$1:$ZZ$999, $AX7,FALSE),VLOOKUP(CONCATENATE($BD$6,"4G"),OBIEE_VOICE!$A$1:$ZZ$999, $AX7,FALSE)),"")</f>
        <v>5.195340833700155</v>
      </c>
      <c r="BG7" s="9">
        <f>IFERROR(VLOOKUP(CONCATENATE($BD$6,"3G+4G"),OBIEE_VOICE!$A$1:$ZZ$999, $AX7,FALSE),"")</f>
        <v>5.0802449121481263</v>
      </c>
      <c r="BH7" s="34"/>
      <c r="BI7" s="10">
        <f t="shared" ref="BI7:BI8" si="3">AVERAGE(BJ7,BK7)</f>
        <v>5.7223620181794006</v>
      </c>
      <c r="BJ7" s="10">
        <f>IFERROR(IFERROR(VLOOKUP(CONCATENATE($BH$6,$BJ$4),OBIEE_VOICE!$A$1:$ZZ$999, $AX7,FALSE),VLOOKUP(CONCATENATE($BH$6,"4G"),OBIEE_VOICE!$A$1:$ZZ$999, $AX7,FALSE)),"")</f>
        <v>5.8421387347067553</v>
      </c>
      <c r="BK7" s="9">
        <f>IFERROR(VLOOKUP(CONCATENATE($BH$6,"3G+4G"),OBIEE_VOICE!$A$1:$ZZ$999, $AX7,FALSE),"")</f>
        <v>5.6025853016520459</v>
      </c>
      <c r="BL7" s="34"/>
      <c r="BM7" s="10">
        <f t="shared" ref="BM7:BM8" si="4">AVERAGE(BN7,BO7)</f>
        <v>5.8314297584105574</v>
      </c>
      <c r="BN7" s="10">
        <f>IFERROR(IFERROR(VLOOKUP(CONCATENATE($BL$6,$BN$4),OBIEE_VOICE!$A$1:$ZZ$999, $AX7,FALSE),VLOOKUP(CONCATENATE($BL$6,"4G"),OBIEE_VOICE!$A$1:$ZZ$999, $AX7,FALSE)),"")</f>
        <v>5.8314297584105574</v>
      </c>
      <c r="BO7" s="9">
        <f>IFERROR(VLOOKUP(CONCATENATE($BL$6,"3G+4G"),OBIEE_VOICE!$A$1:$ZZ$999, $AX7,FALSE),"")</f>
        <v>5.8314297584105574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3.6680455142792967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3.5785121826354742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3.5533076253323186</v>
      </c>
      <c r="S8" s="62">
        <f>IF(I8&lt;&gt;"",IF(I8&lt;=G8,0,IF(I8&gt;=H8,D8,SQRT((I8-G8)/(H8-G8))*D8)),0)</f>
        <v>0.13185124008215546</v>
      </c>
      <c r="T8" s="41">
        <f>IF(M8&lt;&gt;"",IF(M8&lt;=K8,0,IF(M8&gt;=L8,D8,SQRT((M8-K8)/(L8-K8))*D8)),0)</f>
        <v>0.12776731339945607</v>
      </c>
      <c r="U8" s="41">
        <f>IF(Q8&lt;&gt;"",IF(Q8&lt;=O8,0,IF(Q8&gt;=P8,D8,SQRT((Q8-O8)/(P8-O8))*D8)),0)</f>
        <v>0.12659388355137685</v>
      </c>
      <c r="V8" s="139">
        <f>(S8*Service_Weights!$E$2) + (T8*Service_Weights!$F$2) + (U8*Service_Weights!$G$2)</f>
        <v>51.993193375783946</v>
      </c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247">
        <f>(S8*Service_Weights!$E$2)</f>
        <v>31.64429761971731</v>
      </c>
      <c r="AN8" s="247">
        <f>(T8*Service_Weights!$F$2)</f>
        <v>10.221385071956487</v>
      </c>
      <c r="AO8" s="247">
        <f>(U8*Service_Weights!$G$2)</f>
        <v>10.127510684110149</v>
      </c>
      <c r="AX8">
        <f>AX7+1</f>
        <v>4</v>
      </c>
      <c r="AZ8" t="str">
        <f>CONFIG!B24</f>
        <v>VF-ES_VODAFONE_MAIN HIGHWAYS_4G</v>
      </c>
      <c r="BD8" s="37"/>
      <c r="BE8" s="38">
        <f t="shared" si="2"/>
        <v>3.6700905493868268</v>
      </c>
      <c r="BF8" s="38">
        <f>IFERROR(IFERROR(VLOOKUP(CONCATENATE($BD$6,$BF$4),OBIEE_VOICE!$A$1:$ZZ$999, $AX8,FALSE),VLOOKUP(CONCATENATE($BD$6,"4G"),OBIEE_VOICE!$A$1:$ZZ$999, $AX8,FALSE)),"")</f>
        <v>3.6680455142792967</v>
      </c>
      <c r="BG8" s="39">
        <f>IFERROR(VLOOKUP(CONCATENATE($BD$6,"3G+4G"),OBIEE_VOICE!$A$1:$ZZ$999, $AX8,FALSE),"")</f>
        <v>3.6721355844943568</v>
      </c>
      <c r="BH8" s="37"/>
      <c r="BI8" s="38">
        <f t="shared" si="3"/>
        <v>3.5842059820456651</v>
      </c>
      <c r="BJ8" s="38">
        <f>IFERROR(IFERROR(VLOOKUP(CONCATENATE($BH$6,$BJ$4),OBIEE_VOICE!$A$1:$ZZ$999, $AX8,FALSE),VLOOKUP(CONCATENATE($BH$6,"4G"),OBIEE_VOICE!$A$1:$ZZ$999, $AX8,FALSE)),"")</f>
        <v>3.5785121826354742</v>
      </c>
      <c r="BK8" s="39">
        <f>IFERROR(VLOOKUP(CONCATENATE($BH$6,"3G+4G"),OBIEE_VOICE!$A$1:$ZZ$999, $AX8,FALSE),"")</f>
        <v>3.5898997814558555</v>
      </c>
      <c r="BL8" s="37"/>
      <c r="BM8" s="38">
        <f t="shared" si="4"/>
        <v>3.5533076253323186</v>
      </c>
      <c r="BN8" s="38">
        <f>IFERROR(IFERROR(VLOOKUP(CONCATENATE($BL$6,$BN$4),OBIEE_VOICE!$A$1:$ZZ$999, $AX8,FALSE),VLOOKUP(CONCATENATE($BL$6,"4G"),OBIEE_VOICE!$A$1:$ZZ$999, $AX8,FALSE)),"")</f>
        <v>3.5533076253323186</v>
      </c>
      <c r="BO8" s="39">
        <f>IFERROR(VLOOKUP(CONCATENATE($BL$6,"3G+4G"),OBIEE_VOICE!$A$1:$ZZ$999, $AX8,FALSE),"")</f>
        <v>3.5533076253323186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62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4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130">
        <f>SUM(S6:S9)</f>
        <v>0.91253338464307787</v>
      </c>
      <c r="T10" s="130">
        <f t="shared" ref="T10:U10" si="5">SUM(T6:T9)</f>
        <v>0.88756506640960264</v>
      </c>
      <c r="U10" s="130">
        <f t="shared" si="5"/>
        <v>0.74646562927680371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CONFIG!B28</f>
        <v>VF-ES_VODAFONE_MAIN CITIES_4G</v>
      </c>
    </row>
    <row r="11" spans="1:67" x14ac:dyDescent="0.25">
      <c r="D11" s="1"/>
      <c r="R11" t="s">
        <v>483</v>
      </c>
      <c r="S11" s="131">
        <f>S10*Service_Weights!E2</f>
        <v>219.00801231433869</v>
      </c>
      <c r="T11" s="131">
        <f>T10*Service_Weights!F2</f>
        <v>71.005205312768211</v>
      </c>
      <c r="U11" s="131">
        <f>U10*Service_Weights!G2</f>
        <v>59.717250342144297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CONFIG!B30</f>
        <v>VF-ES_VODAFONE_SMALLER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CONFIG!B32</f>
        <v>VF-ES_VODAFONE_MAIN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CONFIG!B34</f>
        <v>VF-ES_VODAFONE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  <c r="BH15" s="263"/>
    </row>
    <row r="16" spans="1:67" ht="15.75" thickBot="1" x14ac:dyDescent="0.3">
      <c r="A16" s="61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99.779415679502819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99.886947539345982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97.178765464423648</v>
      </c>
      <c r="S17" s="41">
        <f>IF(I7&lt;&gt;"",IF(I17&lt;=(0.9*G17+0.1*H17),0.1*D17*I17/(0.9*G17+0.1*H17),IF(I17&gt;=H17,D17,(I17-G17)/(H17-G17)*D17)),0)</f>
        <v>0.58981918520782239</v>
      </c>
      <c r="T17" s="41">
        <f>IF(M17&lt;&gt;"",IF(M17&lt;=(0.9*K17+0.1*L17),0.1*D17*M17/(0.9*K17+0.1*L17),IF(M17&gt;=L17,D17,(M17-K17)/(L17-K17)*D17)),0)</f>
        <v>0.59478219412366073</v>
      </c>
      <c r="U17" s="41">
        <f>IF(Q17&lt;&gt;"",IF(Q17&lt;=(0.9*O17+0.1*P17),0.1*D17*Q17/(0.9*O17+0.1*P17),IF(Q17&gt;=P17,D17,(Q17-O17)/(P17-O17)*D17)),0)</f>
        <v>0.51536296393270942</v>
      </c>
      <c r="V17" s="139">
        <f>(S17*Service_Weights!$E$7) + (T17*Service_Weights!$F$7) + (U17*Service_Weights!$G$7)</f>
        <v>86.388081410395117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247">
        <f>(S17*Service_Weights!$E$7)</f>
        <v>53.083726668704017</v>
      </c>
      <c r="AN17" s="247">
        <f xml:space="preserve"> (T17*Service_Weights!$F$7)</f>
        <v>17.84346582370982</v>
      </c>
      <c r="AO17" s="247">
        <f>(U17*Service_Weights!$G$7)</f>
        <v>15.460888917981283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2.2240191274719114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2.3433846928422168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2.7571436171907653</v>
      </c>
      <c r="S18" s="41">
        <f>IF(AND(I18&lt;&gt;"",I18&lt;&gt;0),IF(I18&lt;=G18,D18,IF(I18&gt;=H18,0,D18-(I18-G18)/(H18-G18)*D18)),0)</f>
        <v>0.34559914989013729</v>
      </c>
      <c r="T18" s="41">
        <f>IF(AND(M18&lt;&gt;"",M18&lt;&gt;0),IF(M18&lt;=K18,D18,IF(M18&gt;=L18,0,D18-(M18-K18)/(L18-K18)*D18)),0)</f>
        <v>0.34029401365145706</v>
      </c>
      <c r="U18" s="41">
        <f>IF(AND(Q18&lt;&gt;"",Q18&lt;&gt;0),IF(Q18&lt;=O18,D18,IF(Q18&gt;=P18,0,D18-(Q18-O18)/(P18-O18)*D18)),0)</f>
        <v>0.34084030036749341</v>
      </c>
      <c r="V18" s="139">
        <f>(S18*Service_Weights!$E$7) + (T18*Service_Weights!$F$7) + (U18*Service_Weights!$G$7)</f>
        <v>51.537952910680872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247">
        <f>(S18*Service_Weights!$E$7)</f>
        <v>31.103923490112358</v>
      </c>
      <c r="AN18" s="247">
        <f>(T18*Service_Weights!$F$7)</f>
        <v>10.208820409543712</v>
      </c>
      <c r="AO18" s="247">
        <f xml:space="preserve"> (U18*Service_Weights!$G$7)</f>
        <v>10.225209011024802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0.93541833509795969</v>
      </c>
      <c r="T19" s="53">
        <f t="shared" ref="T19:U19" si="7">SUM(T17:T18)</f>
        <v>0.9350762077751178</v>
      </c>
      <c r="U19" s="53">
        <f t="shared" si="7"/>
        <v>0.85620326430020288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84.187650158816368</v>
      </c>
      <c r="T20" s="131">
        <f>T19*Service_Weights!F7</f>
        <v>28.052286233253533</v>
      </c>
      <c r="U20" s="131">
        <f>U19*Service_Weights!G7</f>
        <v>25.686097929006088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99.779415679502819</v>
      </c>
      <c r="J24" s="25"/>
      <c r="K24" s="18">
        <v>87</v>
      </c>
      <c r="L24" s="30">
        <v>100</v>
      </c>
      <c r="M24" s="27">
        <f>IFERROR( VLOOKUP($AZ$11,OBIEE_DATA!$A$1:$ZZ$999, $AX24,FALSE),I24)</f>
        <v>99.886947539345982</v>
      </c>
      <c r="N24" s="25"/>
      <c r="O24" s="18">
        <v>80</v>
      </c>
      <c r="P24" s="30">
        <v>100</v>
      </c>
      <c r="Q24" s="27">
        <f>IFERROR( VLOOKUP($AZ$12,OBIEE_DATA!$A$1:$ZZ$999, $AX24,FALSE),"")</f>
        <v>97.178765464423648</v>
      </c>
      <c r="S24" s="41">
        <f>IF(I24&lt;&gt;"",IF(I24&lt;=(0.9*G24+0.1*H24),0.1*D24*I24/(0.9*G24+0.1*H24),IF(I24&gt;=H24,D24,(I24-G24)/(H24-G24)*D24)),0)</f>
        <v>0.58981918520782239</v>
      </c>
      <c r="T24" s="41">
        <f>IF(M24&lt;&gt;"",IF(M24&lt;=(0.9*K24+0.1*L24),0.1*D24*M24/(0.9*K24+0.1*L24),IF(M24&gt;=L24,D24,(M24-K24)/(L24-K24)*D24)),0)</f>
        <v>0.59478219412366073</v>
      </c>
      <c r="U24" s="41">
        <f>IF(Q24&lt;&gt;"",IF(Q24&lt;=(0.9*O24+0.1*P24),0.1*D24*Q24/(0.9*O24+0.1*P24),IF(Q24&gt;=P24,D24,(Q24-O24)/(P24-O24)*D24)),0)</f>
        <v>0.51536296393270942</v>
      </c>
      <c r="V24" s="139">
        <f>(S24*Service_Weights!$E$6) + (T24*Service_Weights!$F$6) + (U24*Service_Weights!$G$6)</f>
        <v>34.555232564158047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247">
        <f>(S24*Service_Weights!$E$6)</f>
        <v>21.233490667481608</v>
      </c>
      <c r="AN24" s="247">
        <f>(T24*Service_Weights!$F$6)</f>
        <v>7.1373863294839293</v>
      </c>
      <c r="AO24" s="247">
        <f>(U24*Service_Weights!$G$6)</f>
        <v>6.1843555671925134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2.2240191274719114</v>
      </c>
      <c r="J25" s="25"/>
      <c r="K25" s="22">
        <v>1</v>
      </c>
      <c r="L25" s="31">
        <v>5</v>
      </c>
      <c r="M25" s="29">
        <f>IFERROR( VLOOKUP($AZ$11,OBIEE_DATA!$A$1:$ZZ$999, $AX25,FALSE),I25)</f>
        <v>2.3433846928422168</v>
      </c>
      <c r="N25" s="25"/>
      <c r="O25" s="22">
        <v>1</v>
      </c>
      <c r="P25" s="31">
        <v>5</v>
      </c>
      <c r="Q25" s="29">
        <f>IFERROR( VLOOKUP($AZ$12,OBIEE_DATA!$A$1:$ZZ$999, $AX25,FALSE),"")</f>
        <v>2.7571436171907653</v>
      </c>
      <c r="S25" s="41">
        <f>IF(AND(I25&lt;&gt;"",I25&lt;&gt;0),IF(I25&lt;=G25,D25,IF(I25&gt;=H25,0,D25-(I25-G25)/(H25-G25)*D25)),0)</f>
        <v>0.27759808725280888</v>
      </c>
      <c r="T25" s="41">
        <f>IF(AND(M25&lt;&gt;"",M25&lt;&gt;0),IF(M25&lt;=K25,D25,IF(M25&gt;=L25,0,D25-(M25-K25)/(L25-K25)*D25)),0)</f>
        <v>0.26566153071577836</v>
      </c>
      <c r="U25" s="41">
        <f>IF(AND(Q25&lt;&gt;"",Q25&lt;&gt;0),IF(Q25&lt;=O25,D25,IF(Q25&gt;=P25,0,D25-(Q25-O25)/(P25-O25)*D25)),0)</f>
        <v>0.22428563828092349</v>
      </c>
      <c r="V25" s="139">
        <f>(S25*Service_Weights!$E$6) + (T25*Service_Weights!$F$6) + (U25*Service_Weights!$G$6)</f>
        <v>15.87289716906154</v>
      </c>
      <c r="AM25" s="247">
        <f>(S25*Service_Weights!$E$6)</f>
        <v>9.9935311411011192</v>
      </c>
      <c r="AN25" s="247">
        <f>(T25*Service_Weights!$F$6)</f>
        <v>3.1879383685893403</v>
      </c>
      <c r="AO25" s="247">
        <f>(U25*Service_Weights!$G$6)</f>
        <v>2.6914276593710817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0.86741727246063127</v>
      </c>
      <c r="T26" s="53">
        <f t="shared" ref="T26:U26" si="9">SUM(T24:T25)</f>
        <v>0.86044372483943909</v>
      </c>
      <c r="U26" s="53">
        <f t="shared" si="9"/>
        <v>0.73964860221363293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31.227021808582727</v>
      </c>
      <c r="T27" s="131">
        <f>T26*Service_Weights!F6</f>
        <v>10.325324698073269</v>
      </c>
      <c r="U27" s="131">
        <f>U26*Service_Weights!G6</f>
        <v>8.8757832265635948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99.768982133429944</v>
      </c>
      <c r="J30" s="25"/>
      <c r="K30" s="18">
        <v>87</v>
      </c>
      <c r="L30" s="30">
        <v>100</v>
      </c>
      <c r="M30" s="27">
        <f>IFERROR( VLOOKUP($AZ$11,OBIEE_DATA!$A$1:$ZZ$999, $AX30,FALSE),I30)</f>
        <v>99.968082737259039</v>
      </c>
      <c r="N30" s="25"/>
      <c r="O30" s="18">
        <v>80</v>
      </c>
      <c r="P30" s="30">
        <v>100</v>
      </c>
      <c r="Q30" s="27">
        <f>IFERROR( VLOOKUP($AZ$12,OBIEE_DATA!$A$1:$ZZ$999, $AX30,FALSE),"")</f>
        <v>99.058084772370492</v>
      </c>
      <c r="S30" s="41">
        <f>IF(I30&lt;&gt;"",IF(I30&lt;=(0.9*G30+0.1*H30),0.1*D30*I30/(0.9*G30+0.1*H30),IF(I30&gt;=H30,D30,(I30-G30)/(H30-G30)*D30)),0)</f>
        <v>0.58933763692753582</v>
      </c>
      <c r="T30" s="41">
        <f>IF(M30&lt;&gt;"",IF(M30&lt;=(0.9*K30+0.1*L30),0.1*D30*M30/(0.9*K30+0.1*L30),IF(M30&gt;=L30,D30,(M30-K30)/(L30-K30)*D30)),0)</f>
        <v>0.59852689556580174</v>
      </c>
      <c r="U30" s="41">
        <f>IF(Q30&lt;&gt;"",IF(Q30&lt;=(0.9*O30+0.1*P30),0.1*D30*Q30/(0.9*O30+0.1*P30),IF(Q30&gt;=P30,D30,(Q30-O30)/(P30-O30)*D30)),0)</f>
        <v>0.57174254317111473</v>
      </c>
      <c r="V30" s="139">
        <f>(S30*Service_Weights!$E$8) + (T30*Service_Weights!$F$8) + (U30*Service_Weights!$G$8)</f>
        <v>35.25938819423429</v>
      </c>
      <c r="AM30" s="247">
        <f>(S30*Service_Weights!$E$8)</f>
        <v>21.216154929391291</v>
      </c>
      <c r="AN30" s="247">
        <f>(T30*Service_Weights!$F$8)</f>
        <v>7.1823227467896213</v>
      </c>
      <c r="AO30" s="247">
        <f xml:space="preserve"> (U30*Service_Weights!$G$8)</f>
        <v>6.8609105180533767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0.84243562177544784</v>
      </c>
      <c r="J31" s="25"/>
      <c r="K31" s="20">
        <v>1</v>
      </c>
      <c r="L31" s="24">
        <v>12.5</v>
      </c>
      <c r="M31" s="28">
        <f>IFERROR( VLOOKUP($AZ$11,OBIEE_DATA!$A$1:$ZZ$999, $AX31,FALSE),I31)</f>
        <v>0.87497898501108884</v>
      </c>
      <c r="N31" s="25"/>
      <c r="O31" s="20">
        <v>2</v>
      </c>
      <c r="P31" s="24">
        <v>15</v>
      </c>
      <c r="Q31" s="28">
        <f>IFERROR( VLOOKUP($AZ$12,OBIEE_DATA!$A$1:$ZZ$999, $AX31,FALSE),"")</f>
        <v>1.3399228415919417</v>
      </c>
      <c r="S31" s="41">
        <f>IF(AND(I31&lt;&gt;"",I31&lt;&gt;0),IF(I31&lt;=G31,D31,IF(I31&gt;=H31,0,SQRT((I31-H31)/(G31-H31))*D31)),0)</f>
        <v>0.12</v>
      </c>
      <c r="T31" s="41">
        <f>IF(AND(M31&lt;&gt;"",M31&lt;&gt;0),IF(M31&lt;=K31,D31,IF(M31&gt;=L31,0,SQRT((M31-L31)/(K31-L31))*D31)),0)</f>
        <v>0.12</v>
      </c>
      <c r="U31" s="41">
        <f>IF(AND(Q31&lt;&gt;"",Q31&lt;&gt;0),IF(Q31&lt;=O31,D31,IF(Q31&gt;=P31,0,SQRT((Q31-P31)/(O31-P31))*D31)),0)</f>
        <v>0.12</v>
      </c>
      <c r="V31" s="139">
        <f>(S31*Service_Weights!$E$8) + (T31*Service_Weights!$F$8) + (U31*Service_Weights!$G$8)</f>
        <v>7.1999999999999993</v>
      </c>
      <c r="AM31" s="247">
        <f>(S31*Service_Weights!$E$8)</f>
        <v>4.32</v>
      </c>
      <c r="AN31" s="247">
        <f>(T31*Service_Weights!$F$8)</f>
        <v>1.44</v>
      </c>
      <c r="AO31" s="247">
        <f>(U31*Service_Weights!$G$8)</f>
        <v>1.44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12597.53593429158</v>
      </c>
      <c r="J32" s="25"/>
      <c r="K32" s="20">
        <v>384</v>
      </c>
      <c r="L32" s="24">
        <v>25000</v>
      </c>
      <c r="M32" s="63">
        <f>IFERROR( VLOOKUP($AZ$11,OBIEE_DATA!$A$1:$ZZ$999, $AX32,FALSE),I32)</f>
        <v>13798.982188295166</v>
      </c>
      <c r="N32" s="25"/>
      <c r="O32" s="20">
        <v>384</v>
      </c>
      <c r="P32" s="24">
        <v>10000</v>
      </c>
      <c r="Q32" s="63">
        <f>IFERROR( VLOOKUP($AZ$12,OBIEE_DATA!$A$1:$ZZ$999, $AX32,FALSE),"")</f>
        <v>3895.0617283950623</v>
      </c>
      <c r="S32" s="41">
        <f>IF(I32&lt;&gt;"",IF(I32&lt;=G32,0,IF(I32&gt;=H32,D32,SQRT((I32-G32)/(H32-G32))*D32)),0)</f>
        <v>0.14087760549757564</v>
      </c>
      <c r="T32" s="41">
        <f>IF(M32&lt;&gt;"",IF(M32&lt;=K32,0,IF(M32&gt;=L32,D32,SQRT((M32-K32)/(L32-K32))*D32)),0)</f>
        <v>0.14764417051124132</v>
      </c>
      <c r="U32" s="41">
        <f>IF(Q32&lt;&gt;"",IF(Q32&lt;=O32,0,IF(Q32&gt;=P32,D32,SQRT((Q32-O32)/(P32-O32))*D32)),0)</f>
        <v>0.12085148764029059</v>
      </c>
      <c r="V32" s="139">
        <f>(S32*Service_Weights!$E$8) + (T32*Service_Weights!$F$8) + (U32*Service_Weights!$G$8)</f>
        <v>8.2935416957311059</v>
      </c>
      <c r="AM32" s="247">
        <f>(S32*Service_Weights!$E$8)</f>
        <v>5.0715937979127226</v>
      </c>
      <c r="AN32" s="247">
        <f>(T32*Service_Weights!$F$8)</f>
        <v>1.7717300461348957</v>
      </c>
      <c r="AO32" s="247">
        <f>(U32*Service_Weights!$G$8)</f>
        <v>1.4502178516834872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45384.615384615383</v>
      </c>
      <c r="J33" s="25"/>
      <c r="K33" s="22">
        <v>25000</v>
      </c>
      <c r="L33" s="31">
        <v>80000</v>
      </c>
      <c r="M33" s="64">
        <f>IFERROR( VLOOKUP($AZ$11,OBIEE_DATA!$A$1:$ZZ$999, $AX33,FALSE),I33)</f>
        <v>42947.513812154735</v>
      </c>
      <c r="N33" s="25"/>
      <c r="O33" s="22">
        <v>15000</v>
      </c>
      <c r="P33" s="31">
        <v>60000</v>
      </c>
      <c r="Q33" s="64">
        <f>IFERROR( VLOOKUP($AZ$12,OBIEE_DATA!$A$1:$ZZ$999, $AX33,FALSE),"")</f>
        <v>35876.237623762376</v>
      </c>
      <c r="S33" s="41">
        <f>IF(I33&lt;&gt;"",IF(I33&lt;=G33,0,IF(I33&gt;=H33,D33,SQRT((I33-G33)/(H33-G33))*D33)),0)</f>
        <v>4.8703469815075513E-2</v>
      </c>
      <c r="T33" s="41">
        <f>IF(M33&lt;&gt;"",IF(M33&lt;=K33,0,IF(M33&gt;=L33,D33,SQRT((M33-K33)/(L33-K33))*D33)),0)</f>
        <v>4.5699430749943863E-2</v>
      </c>
      <c r="U33" s="41">
        <f>IF(Q33&lt;&gt;"",IF(Q33&lt;=O33,0,IF(Q33&gt;=P33,D33,SQRT((Q33-O33)/(P33-O33))*D33)),0)</f>
        <v>5.4489126497776132E-2</v>
      </c>
      <c r="V33" s="139">
        <f>(S33*Service_Weights!$E$8) + (T33*Service_Weights!$F$8) + (U33*Service_Weights!$G$8)</f>
        <v>2.9555876003153587</v>
      </c>
      <c r="AM33" s="247">
        <f>(S33*Service_Weights!$E$8)</f>
        <v>1.7533249133427184</v>
      </c>
      <c r="AN33" s="247">
        <f xml:space="preserve"> (T33*Service_Weights!$F$8)</f>
        <v>0.54839316899932633</v>
      </c>
      <c r="AO33" s="247">
        <f>(U33*Service_Weights!$G$8)</f>
        <v>0.65386951797331361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0.89891871224018705</v>
      </c>
      <c r="T34" s="53">
        <f t="shared" ref="T34:U34" si="10">SUM(T30:T33)</f>
        <v>0.91187049682698695</v>
      </c>
      <c r="U34" s="53">
        <f t="shared" si="10"/>
        <v>0.86708315730918151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32.361073640646737</v>
      </c>
      <c r="T35" s="131">
        <f>T34*Service_Weights!F8</f>
        <v>10.942445961923843</v>
      </c>
      <c r="U35" s="131">
        <f>U34*Service_Weights!G8</f>
        <v>10.404997887710177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99.638908936228901</v>
      </c>
      <c r="J38" s="25"/>
      <c r="K38" s="18">
        <v>87</v>
      </c>
      <c r="L38" s="30">
        <v>100</v>
      </c>
      <c r="M38" s="27">
        <f>IFERROR( VLOOKUP($AZ$11,OBIEE_DATA!$A$1:$ZZ$999, $AX38,FALSE),I38)</f>
        <v>99.852119880883876</v>
      </c>
      <c r="N38" s="25"/>
      <c r="O38" s="18">
        <v>80</v>
      </c>
      <c r="P38" s="30">
        <v>100</v>
      </c>
      <c r="Q38" s="27">
        <f>IFERROR( VLOOKUP($AZ$12,OBIEE_DATA!$A$1:$ZZ$999, $AX38,FALSE),"")</f>
        <v>95.12833944473546</v>
      </c>
      <c r="S38" s="41">
        <f>IF(I38&lt;&gt;"",IF(I38&lt;=(0.9*G38+0.1*H38),0.1*D38*I38/(0.9*G38+0.1*H38),IF(I38&gt;=H38,D38,(I38-G38)/(H38-G38)*D38)),0)</f>
        <v>0.58333425859518007</v>
      </c>
      <c r="T38" s="41">
        <f>IF(M38&lt;&gt;"",IF(M38&lt;=(0.9*K38+0.1*L38),0.1*D38*M38/(0.9*K38+0.1*L38),IF(M38&gt;=L38,D38,(M38-K38)/(L38-K38)*D38)),0)</f>
        <v>0.59317476373310196</v>
      </c>
      <c r="U38" s="41">
        <f>IF(Q38&lt;&gt;"",IF(Q38&lt;=(0.9*O38+0.1*P38),0.1*D38*Q38/(0.9*O38+0.1*P38),IF(Q38&gt;=P38,D38,(Q38-O38)/(P38-O38)*D38)),0)</f>
        <v>0.45385018334206373</v>
      </c>
      <c r="V38" s="139">
        <f>(S38*Service_Weights!$E$9) + (T38*Service_Weights!$F$9) + (U38*Service_Weights!$G$9)</f>
        <v>33.564332674328469</v>
      </c>
      <c r="AM38" s="247">
        <f>(S38*Service_Weights!$E$9)</f>
        <v>21.000033309426481</v>
      </c>
      <c r="AN38" s="247">
        <f>(T38*Service_Weights!$F$9)</f>
        <v>7.1180971647972235</v>
      </c>
      <c r="AO38" s="247">
        <f xml:space="preserve"> (U38*Service_Weights!$G$9)</f>
        <v>5.4462022001047643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0.96260162643078928</v>
      </c>
      <c r="J39" s="25"/>
      <c r="K39" s="20">
        <v>1</v>
      </c>
      <c r="L39" s="24">
        <v>10</v>
      </c>
      <c r="M39" s="28">
        <f>IFERROR( VLOOKUP($AZ$11,OBIEE_DATA!$A$1:$ZZ$999, $AX39,FALSE),I39)</f>
        <v>1.0361419931775024</v>
      </c>
      <c r="N39" s="25"/>
      <c r="O39" s="20">
        <v>1.5</v>
      </c>
      <c r="P39" s="24">
        <v>12</v>
      </c>
      <c r="Q39" s="28">
        <f>IFERROR( VLOOKUP($AZ$12,OBIEE_DATA!$A$1:$ZZ$999, $AX39,FALSE),"")</f>
        <v>1.3758248305402809</v>
      </c>
      <c r="S39" s="41">
        <f>IF(AND(I39&lt;&gt;"",I39&lt;&gt;0),IF(I39&lt;=G39,D39,IF(I39&gt;=H39,0,SQRT((I39-H39)/(G39-H39))*D39)),0)</f>
        <v>0.12</v>
      </c>
      <c r="T39" s="41">
        <f>IF(AND(M39&lt;&gt;"",M39&lt;&gt;0),IF(M39&lt;=K39,D39,IF(M39&gt;=L39,0,SQRT((M39-L39)/(K39-L39))*D39)),0)</f>
        <v>0.11975881099491592</v>
      </c>
      <c r="U39" s="41">
        <f>IF(AND(Q39&lt;&gt;"",Q39&lt;&gt;0),IF(Q39&lt;=O39,D39,IF(Q39&gt;=P39,0,SQRT((Q39-P39)/(O39-P39))*D39)),0)</f>
        <v>0.12</v>
      </c>
      <c r="V39" s="139">
        <f>(S39*Service_Weights!$E$9) + (T39*Service_Weights!$F$9) + (U39*Service_Weights!$G$9)</f>
        <v>7.1971057319389917</v>
      </c>
      <c r="AM39" s="247">
        <f>(S39*Service_Weights!$E$9)</f>
        <v>4.32</v>
      </c>
      <c r="AN39" s="247">
        <f>(T39*Service_Weights!$F$9)</f>
        <v>1.437105731938991</v>
      </c>
      <c r="AO39" s="247">
        <f xml:space="preserve"> (U39*Service_Weights!$G$9)</f>
        <v>1.44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3354.096520763188</v>
      </c>
      <c r="J40" s="25"/>
      <c r="K40" s="20">
        <v>384</v>
      </c>
      <c r="L40" s="24">
        <v>8000</v>
      </c>
      <c r="M40" s="63">
        <f>IFERROR( VLOOKUP($AZ$11,OBIEE_DATA!$A$1:$ZZ$999, $AX40,FALSE),I40)</f>
        <v>3876.5957446808502</v>
      </c>
      <c r="N40" s="25"/>
      <c r="O40" s="20">
        <v>384</v>
      </c>
      <c r="P40" s="24">
        <v>6000</v>
      </c>
      <c r="Q40" s="63">
        <f>IFERROR( VLOOKUP($AZ$12,OBIEE_DATA!$A$1:$ZZ$999, $AX40,FALSE),"")</f>
        <v>1185.3785900783294</v>
      </c>
      <c r="S40" s="41">
        <f>IF(I40&lt;&gt;"",IF(I40&lt;=G40,0,IF(I40&gt;=H40,D40,SQRT((I40-G40)/(H40-G40))*D40)),0)</f>
        <v>0.12489694324754218</v>
      </c>
      <c r="T40" s="41">
        <f>IF(M40&lt;&gt;"",IF(M40&lt;=K40,0,IF(M40&gt;=L40,D40,SQRT((M40-K40)/(L40-K40))*D40)),0)</f>
        <v>0.13543804873665563</v>
      </c>
      <c r="U40" s="41">
        <f>IF(Q40&lt;&gt;"",IF(Q40&lt;=O40,0,IF(Q40&gt;=P40,D40,SQRT((Q40-O40)/(P40-O40))*D40)),0)</f>
        <v>7.555014702604898E-2</v>
      </c>
      <c r="V40" s="139">
        <f>(S40*Service_Weights!$E$9) + (T40*Service_Weights!$F$9) + (U40*Service_Weights!$G$9)</f>
        <v>7.0281483060639731</v>
      </c>
      <c r="AM40" s="247">
        <f>(S40*Service_Weights!$E$9)</f>
        <v>4.496289956911518</v>
      </c>
      <c r="AN40" s="247">
        <f>(T40*Service_Weights!$F$9)</f>
        <v>1.6252565848398675</v>
      </c>
      <c r="AO40" s="247">
        <f xml:space="preserve"> (U40*Service_Weights!$G$9)</f>
        <v>0.90660176431258777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13480.709876543213</v>
      </c>
      <c r="J41" s="25"/>
      <c r="K41" s="22">
        <v>10000</v>
      </c>
      <c r="L41" s="31">
        <v>30000</v>
      </c>
      <c r="M41" s="64">
        <f>IFERROR( VLOOKUP($AZ$11,OBIEE_DATA!$A$1:$ZZ$999, $AX41,FALSE),I41)</f>
        <v>12433.553251649391</v>
      </c>
      <c r="N41" s="25"/>
      <c r="O41" s="22">
        <v>5000</v>
      </c>
      <c r="P41" s="31">
        <v>25000</v>
      </c>
      <c r="Q41" s="64">
        <f>IFERROR( VLOOKUP($AZ$12,OBIEE_DATA!$A$1:$ZZ$999, $AX41,FALSE),"")</f>
        <v>11382.470119521911</v>
      </c>
      <c r="S41" s="41">
        <f>IF(I41&lt;&gt;"",IF(I41&lt;=G41,0,IF(I41&gt;=H41,D41,SQRT((I41-G41)/(H41-G41))*D41)),0)</f>
        <v>3.337404920733815E-2</v>
      </c>
      <c r="T41" s="41">
        <f>IF(M41&lt;&gt;"",IF(M41&lt;=K41,0,IF(M41&gt;=L41,D41,SQRT((M41-K41)/(L41-K41))*D41)),0)</f>
        <v>2.7905860325885049E-2</v>
      </c>
      <c r="U41" s="41">
        <f>IF(Q41&lt;&gt;"",IF(Q41&lt;=O41,0,IF(Q41&gt;=P41,D41,SQRT((Q41-O41)/(P41-O41))*D41)),0)</f>
        <v>4.5192814011156816E-2</v>
      </c>
      <c r="V41" s="139">
        <f>(S41*Service_Weights!$E$9) + (T41*Service_Weights!$F$9) + (U41*Service_Weights!$G$9)</f>
        <v>2.0786498635086756</v>
      </c>
      <c r="AM41" s="247">
        <f>(S41*Service_Weights!$E$9)</f>
        <v>1.2014657714641734</v>
      </c>
      <c r="AN41" s="247">
        <f>(T41*Service_Weights!$F$9)</f>
        <v>0.3348703239106206</v>
      </c>
      <c r="AO41" s="247">
        <f xml:space="preserve"> (U41*Service_Weights!$G$9)</f>
        <v>0.54231376813388177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0.86160525105006036</v>
      </c>
      <c r="T42" s="53">
        <f t="shared" ref="T42:U42" si="11">SUM(T38:T41)</f>
        <v>0.87627748379055859</v>
      </c>
      <c r="U42" s="53">
        <f t="shared" si="11"/>
        <v>0.69459314437926956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31.017789037802174</v>
      </c>
      <c r="T43" s="131">
        <f>T42*Service_Weights!F9</f>
        <v>10.515329805486703</v>
      </c>
      <c r="U43" s="131">
        <f>U42*Service_Weights!G9</f>
        <v>8.3351177325512342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99.883566174776888</v>
      </c>
      <c r="J46" s="25"/>
      <c r="K46" s="18">
        <v>87</v>
      </c>
      <c r="L46" s="30">
        <v>100</v>
      </c>
      <c r="M46" s="27">
        <f>IFERROR( VLOOKUP($AZ$11,OBIEE_DATA!$A$1:$ZZ$999, $AX46,FALSE),I46)</f>
        <v>99.977604007946269</v>
      </c>
      <c r="N46" s="25"/>
      <c r="O46" s="18">
        <v>80</v>
      </c>
      <c r="P46" s="30">
        <v>100</v>
      </c>
      <c r="Q46" s="27">
        <f>IFERROR( VLOOKUP($AZ$12,OBIEE_DATA!$A$1:$ZZ$999, $AX46,FALSE),"")</f>
        <v>98.744113029827318</v>
      </c>
      <c r="S46" s="41">
        <f>IF(I46&lt;&gt;"",IF(I46&lt;=(0.9*G46+0.1*H46),0.1*D46*I46/(0.9*G46+0.1*H46),IF(I46&gt;=H46,D46,(I46-G46)/(H46-G46)*D46)),0)</f>
        <v>0.59462613114354868</v>
      </c>
      <c r="T46" s="41">
        <f>IF(M46&lt;&gt;"",IF(M46&lt;=(0.9*K46+0.1*L46),0.1*D46*M46/(0.9*K46+0.1*L46),IF(M46&gt;=L46,D46,(M46-K46)/(L46-K46)*D46)),0)</f>
        <v>0.59896633882828931</v>
      </c>
      <c r="U46" s="41">
        <f>IF(Q46&lt;&gt;"",IF(Q46&lt;=(0.9*O46+0.1*P46),0.1*D46*Q46/(0.9*O46+0.1*P46),IF(Q46&gt;=P46,D46,(Q46-O46)/(P46-O46)*D46)),0)</f>
        <v>0.56232339089481953</v>
      </c>
      <c r="V46" s="139">
        <f>(S46*Service_Weights!$E$10) + (T46*Service_Weights!$F$10) + (U46*Service_Weights!$G$10)</f>
        <v>35.342017477845062</v>
      </c>
      <c r="AM46" s="247">
        <f>(S46*Service_Weights!$E$10)</f>
        <v>21.406540721167751</v>
      </c>
      <c r="AN46" s="247">
        <f>(T46*Service_Weights!$F$10)</f>
        <v>7.1875960659394718</v>
      </c>
      <c r="AO46" s="247">
        <f xml:space="preserve"> (U46*Service_Weights!$G$10)</f>
        <v>6.7478806907378344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52005.820995323957</v>
      </c>
      <c r="J47" s="25"/>
      <c r="K47" s="20">
        <v>7500</v>
      </c>
      <c r="L47" s="24">
        <v>80000</v>
      </c>
      <c r="M47" s="28">
        <f>IFERROR( VLOOKUP($AZ$11,OBIEE_DATA!$A$1:$ZZ$999, $AX47,FALSE),I47)</f>
        <v>47829.24336682658</v>
      </c>
      <c r="N47" s="25"/>
      <c r="O47" s="20">
        <v>4000</v>
      </c>
      <c r="P47" s="24">
        <v>50000</v>
      </c>
      <c r="Q47" s="28">
        <f>IFERROR( VLOOKUP($AZ$12,OBIEE_DATA!$A$1:$ZZ$999, $AX47,FALSE),"")</f>
        <v>26570.935918309413</v>
      </c>
      <c r="S47" s="41">
        <f>IF(I47&lt;&gt;"",IF(I47&lt;=G47,0,IF(I47&gt;=H47,D47,SQRT((I47-G47)/(H47-G47))*D47)),0)</f>
        <v>9.4020087533254817E-2</v>
      </c>
      <c r="T47" s="41">
        <f>IF(M47&lt;&gt;"",IF(M47&lt;=K47,0,IF(M47&gt;=L47,D47,SQRT((M47-K47)/(L47-K47))*D47)),0)</f>
        <v>8.9499844305956103E-2</v>
      </c>
      <c r="U47" s="41">
        <f>IF(Q47&lt;&gt;"",IF(Q47&lt;=O47,0,IF(Q47&gt;=P47,D47,SQRT((Q47-O47)/(P47-O47))*D47)),0)</f>
        <v>8.4057624802695755E-2</v>
      </c>
      <c r="V47" s="139">
        <f>(S47*Service_Weights!$E$10) + (T47*Service_Weights!$F$10) + (U47*Service_Weights!$G$10)</f>
        <v>5.4674127805009958</v>
      </c>
      <c r="AM47" s="247">
        <f>(S47*Service_Weights!$E$10)</f>
        <v>3.3847231511971736</v>
      </c>
      <c r="AN47" s="247">
        <f>(T47*Service_Weights!$F$10)</f>
        <v>1.0739981316714733</v>
      </c>
      <c r="AO47" s="247">
        <f xml:space="preserve"> (U47*Service_Weights!$G$10)</f>
        <v>1.0086914976323491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16577.868852459014</v>
      </c>
      <c r="J48" s="25"/>
      <c r="K48" s="20">
        <v>128</v>
      </c>
      <c r="L48" s="24">
        <v>35000</v>
      </c>
      <c r="M48" s="63">
        <f>IFERROR( VLOOKUP($AZ$11,OBIEE_DATA!$A$1:$ZZ$999, $AX48,FALSE),I48)</f>
        <v>17008.042895442359</v>
      </c>
      <c r="N48" s="25"/>
      <c r="O48" s="20">
        <v>128</v>
      </c>
      <c r="P48" s="24">
        <v>12000</v>
      </c>
      <c r="Q48" s="63">
        <f>IFERROR( VLOOKUP($AZ$12,OBIEE_DATA!$A$1:$ZZ$999, $AX48,FALSE),"")</f>
        <v>4777.2151898734182</v>
      </c>
      <c r="S48" s="41">
        <f>IF(I48&lt;&gt;"",IF(I48&lt;=G48,0,IF(I48&gt;=H48,D48,SQRT((I48-G48)/(H48-G48))*D48)),0)</f>
        <v>0.13736395531522405</v>
      </c>
      <c r="T48" s="41">
        <f>IF(M48&lt;&gt;"",IF(M48&lt;=K48,0,IF(M48&gt;=L48,D48,SQRT((M48-K48)/(L48-K48))*D48)),0)</f>
        <v>0.13914843962099929</v>
      </c>
      <c r="U48" s="41">
        <f>IF(Q48&lt;&gt;"",IF(Q48&lt;=O48,0,IF(Q48&gt;=P48,D48,SQRT((Q48-O48)/(P48-O48))*D48)),0)</f>
        <v>0.12515778706893951</v>
      </c>
      <c r="V48" s="139">
        <f>(S48*Service_Weights!$E$10) + (T48*Service_Weights!$F$10) + (U48*Service_Weights!$G$10)</f>
        <v>8.1167771116273304</v>
      </c>
      <c r="AM48" s="247">
        <f>(S48*Service_Weights!$E$10)</f>
        <v>4.9451023913480654</v>
      </c>
      <c r="AN48" s="247">
        <f>(T48*Service_Weights!$F$10)</f>
        <v>1.6697812754519914</v>
      </c>
      <c r="AO48" s="247">
        <f xml:space="preserve"> (U48*Service_Weights!$G$10)</f>
        <v>1.501893444827274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98415.178571428551</v>
      </c>
      <c r="J49" s="25"/>
      <c r="K49" s="22">
        <v>25000</v>
      </c>
      <c r="L49" s="31">
        <v>180000</v>
      </c>
      <c r="M49" s="64">
        <f>IFERROR( VLOOKUP($AZ$11,OBIEE_DATA!$A$1:$ZZ$999, $AX49,FALSE),I49)</f>
        <v>90371.134020618571</v>
      </c>
      <c r="N49" s="25"/>
      <c r="O49" s="22">
        <v>15000</v>
      </c>
      <c r="P49" s="31">
        <v>100000</v>
      </c>
      <c r="Q49" s="64">
        <f>IFERROR( VLOOKUP($AZ$12,OBIEE_DATA!$A$1:$ZZ$999, $AX49,FALSE),"")</f>
        <v>63173.333333333321</v>
      </c>
      <c r="S49" s="41">
        <f>IF(I49&lt;&gt;"",IF(I49&lt;=G49,0,IF(I49&gt;=H49,D49,SQRT((I49-G49)/(H49-G49))*D49)),0)</f>
        <v>5.5057573552872385E-2</v>
      </c>
      <c r="T49" s="41">
        <f>IF(M49&lt;&gt;"",IF(M49&lt;=K49,0,IF(M49&gt;=L49,D49,SQRT((M49-K49)/(L49-K49))*D49)),0)</f>
        <v>5.1953779565821083E-2</v>
      </c>
      <c r="U49" s="41">
        <f>IF(Q49&lt;&gt;"",IF(Q49&lt;=O49,0,IF(Q49&gt;=P49,D49,SQRT((Q49-O49)/(P49-O49))*D49)),0)</f>
        <v>6.0225979671990226E-2</v>
      </c>
      <c r="V49" s="139">
        <f>(S49*Service_Weights!$E$10) + (T49*Service_Weights!$F$10) + (U49*Service_Weights!$G$10)</f>
        <v>3.3282297587571419</v>
      </c>
      <c r="AM49" s="247">
        <f>(S49*Service_Weights!$E$10)</f>
        <v>1.9820726479034059</v>
      </c>
      <c r="AN49" s="247">
        <f>(T49*Service_Weights!$F$10)</f>
        <v>0.62344535478985297</v>
      </c>
      <c r="AO49" s="247">
        <f xml:space="preserve"> (U49*Service_Weights!$G$10)</f>
        <v>0.72271175606388272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0.88106774754490003</v>
      </c>
      <c r="T50" s="53">
        <f t="shared" ref="T50:U50" si="13">SUM(T46:T49)</f>
        <v>0.87956840232106581</v>
      </c>
      <c r="U50" s="53">
        <f t="shared" si="13"/>
        <v>0.83176478243844509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31.718438911616403</v>
      </c>
      <c r="T51" s="131">
        <f>T50*Service_Weights!F10</f>
        <v>10.55482082785279</v>
      </c>
      <c r="U51" s="131">
        <f>U50*Service_Weights!G10</f>
        <v>9.9811773892613402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99.809943439505204</v>
      </c>
      <c r="J54" s="25"/>
      <c r="K54" s="18">
        <v>87</v>
      </c>
      <c r="L54" s="30">
        <v>100</v>
      </c>
      <c r="M54" s="27">
        <f>IFERROR( VLOOKUP($AZ$11,OBIEE_DATA!$A$1:$ZZ$999, $AX54,FALSE),I54)</f>
        <v>99.942604380570216</v>
      </c>
      <c r="N54" s="25"/>
      <c r="O54" s="18">
        <v>80</v>
      </c>
      <c r="P54" s="30">
        <v>100</v>
      </c>
      <c r="Q54" s="27">
        <f>IFERROR( VLOOKUP($AZ$12,OBIEE_DATA!$A$1:$ZZ$999, $AX54,FALSE),"")</f>
        <v>97.827225130890056</v>
      </c>
      <c r="S54" s="41">
        <f>IF(I54&lt;&gt;"",IF(I54&lt;=(0.9*G54+0.1*H54),0.1*D54*I54/(0.9*G54+0.1*H54),IF(I54&gt;=H54,D54,(I54-G54)/(H54-G54)*D54)),0)</f>
        <v>0.59122815874639401</v>
      </c>
      <c r="T54" s="41">
        <f>IF(M54&lt;&gt;"",IF(M54&lt;=(0.9*K54+0.1*L54),0.1*D54*M54/(0.9*K54+0.1*L54),IF(M54&gt;=L54,D54,(M54-K54)/(L54-K54)*D54)),0)</f>
        <v>0.59735097141093307</v>
      </c>
      <c r="U54" s="41">
        <f>IF(Q54&lt;&gt;"",IF(Q54&lt;=(0.9*O54+0.1*P54),0.1*D54*Q54/(0.9*O54+0.1*P54),IF(Q54&gt;=P54,D54,(Q54-O54)/(P54-O54)*D54)),0)</f>
        <v>0.53481675392670169</v>
      </c>
      <c r="V54" s="139">
        <f>(S54*Service_Weights!$E$11) + (T54*Service_Weights!$F$11) + (U54*Service_Weights!$G$11)</f>
        <v>34.870226418921803</v>
      </c>
      <c r="AM54" s="247">
        <f>(S54*Service_Weights!$E$11)</f>
        <v>21.284213714870184</v>
      </c>
      <c r="AN54" s="247">
        <f>(T54*Service_Weights!$F$11)</f>
        <v>7.1682116569311969</v>
      </c>
      <c r="AO54" s="247">
        <f xml:space="preserve">  (U54*Service_Weights!$G$11)</f>
        <v>6.4178010471204203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24473.537849906697</v>
      </c>
      <c r="J55" s="25"/>
      <c r="K55" s="20">
        <v>4000</v>
      </c>
      <c r="L55" s="24">
        <v>35000</v>
      </c>
      <c r="M55" s="28">
        <f>IFERROR( VLOOKUP($AZ$11,OBIEE_DATA!$A$1:$ZZ$999, $AX55,FALSE),I55)</f>
        <v>26015.722639791336</v>
      </c>
      <c r="N55" s="25"/>
      <c r="O55" s="20">
        <v>1000</v>
      </c>
      <c r="P55" s="24">
        <v>25000</v>
      </c>
      <c r="Q55" s="28">
        <f>IFERROR( VLOOKUP($AZ$12,OBIEE_DATA!$A$1:$ZZ$999, $AX55,FALSE),"")</f>
        <v>12733.426299845018</v>
      </c>
      <c r="S55" s="41">
        <f>IF(I55&lt;&gt;"",IF(I55&lt;=G55,0,IF(I55&gt;=H55,D55,SQRT((I55-G55)/(H55-G55))*D55)),0)</f>
        <v>9.7520708311794352E-2</v>
      </c>
      <c r="T55" s="41">
        <f>IF(M55&lt;&gt;"",IF(M55&lt;=K55,0,IF(M55&gt;=L55,D55,SQRT((M55-K55)/(L55-K55))*D55)),0)</f>
        <v>0.10112694130885061</v>
      </c>
      <c r="U55" s="41">
        <f>IF(Q55&lt;&gt;"",IF(Q55&lt;=O55,0,IF(Q55&gt;=P55,D55,SQRT((Q55-O55)/(P55-O55))*D55)),0)</f>
        <v>8.3905040253294733E-2</v>
      </c>
      <c r="V55" s="139">
        <f>(S55*Service_Weights!$E$11) + (T55*Service_Weights!$F$11) + (U55*Service_Weights!$G$11)</f>
        <v>5.7311292779703411</v>
      </c>
      <c r="AM55" s="247">
        <f>(S55*Service_Weights!$E$11)</f>
        <v>3.5107454992245968</v>
      </c>
      <c r="AN55" s="247">
        <f>(T55*Service_Weights!$F$11)</f>
        <v>1.2135232957062074</v>
      </c>
      <c r="AO55" s="247">
        <f xml:space="preserve">  (U55*Service_Weights!$G$11)</f>
        <v>1.0068604830395369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6181.1263318112624</v>
      </c>
      <c r="J56" s="25"/>
      <c r="K56" s="20">
        <v>64</v>
      </c>
      <c r="L56" s="24">
        <v>10000</v>
      </c>
      <c r="M56" s="63">
        <f>IFERROR( VLOOKUP($AZ$11,OBIEE_DATA!$A$1:$ZZ$999, $AX56,FALSE),I56)</f>
        <v>7159.0909090909108</v>
      </c>
      <c r="N56" s="25"/>
      <c r="O56" s="20">
        <v>64</v>
      </c>
      <c r="P56" s="24">
        <v>5000</v>
      </c>
      <c r="Q56" s="63">
        <f>IFERROR( VLOOKUP($AZ$12,OBIEE_DATA!$A$1:$ZZ$999, $AX56,FALSE),"")</f>
        <v>1389.2193308550184</v>
      </c>
      <c r="S56" s="41">
        <f>IF(I56&lt;&gt;"",IF(I56&lt;=G56,0,IF(I56&gt;=H56,D56,SQRT((I56-G56)/(H56-G56))*D56)),0)</f>
        <v>0.15692709277529246</v>
      </c>
      <c r="T56" s="41">
        <f>IF(M56&lt;&gt;"",IF(M56&lt;=K56,0,IF(M56&gt;=L56,D56,SQRT((M56-K56)/(L56-K56))*D56)),0)</f>
        <v>0.1690064138161449</v>
      </c>
      <c r="U56" s="41">
        <f>IF(Q56&lt;&gt;"",IF(Q56&lt;=O56,0,IF(Q56&gt;=P56,D56,SQRT((Q56-O56)/(P56-O56))*D56)),0)</f>
        <v>0.10363019164109777</v>
      </c>
      <c r="V56" s="139">
        <f>(S56*Service_Weights!$E$11) + (T56*Service_Weights!$F$11) + (U56*Service_Weights!$G$11)</f>
        <v>8.9210146053974402</v>
      </c>
      <c r="AM56" s="247">
        <f>(S56*Service_Weights!$E$11)</f>
        <v>5.6493753399105282</v>
      </c>
      <c r="AN56" s="247">
        <f>(T56*Service_Weights!$F$11)</f>
        <v>2.0280769657937388</v>
      </c>
      <c r="AO56" s="247">
        <f xml:space="preserve">  (U56*Service_Weights!$G$11)</f>
        <v>1.2435622996931732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42453.907815631253</v>
      </c>
      <c r="J57" s="25"/>
      <c r="K57" s="22">
        <v>15000</v>
      </c>
      <c r="L57" s="31">
        <v>50000</v>
      </c>
      <c r="M57" s="64">
        <f>IFERROR( VLOOKUP($AZ$11,OBIEE_DATA!$A$1:$ZZ$999, $AX57,FALSE),I57)</f>
        <v>42873.725934314803</v>
      </c>
      <c r="N57" s="25"/>
      <c r="O57" s="22">
        <v>6000</v>
      </c>
      <c r="P57" s="31">
        <v>45000</v>
      </c>
      <c r="Q57" s="64">
        <f>IFERROR( VLOOKUP($AZ$12,OBIEE_DATA!$A$1:$ZZ$999, $AX57,FALSE),"")</f>
        <v>31773.148148148153</v>
      </c>
      <c r="S57" s="41">
        <f>IF(I57&lt;&gt;"",IF(I57&lt;=G57,0,IF(I57&gt;=H57,D57,SQRT((I57-G57)/(H57-G57))*D57)),0)</f>
        <v>7.0852968487069859E-2</v>
      </c>
      <c r="T57" s="41">
        <f>IF(M57&lt;&gt;"",IF(M57&lt;=K57,0,IF(M57&gt;=L57,D57,SQRT((M57-K57)/(L57-K57))*D57)),0)</f>
        <v>7.1392645875691219E-2</v>
      </c>
      <c r="U57" s="41">
        <f>IF(Q57&lt;&gt;"",IF(Q57&lt;=O57,0,IF(Q57&gt;=P57,D57,SQRT((Q57-O57)/(P57-O57))*D57)),0)</f>
        <v>6.5034142541486345E-2</v>
      </c>
      <c r="V57" s="139">
        <f>(S57*Service_Weights!$E$11) + (T57*Service_Weights!$F$11) + (U57*Service_Weights!$G$11)</f>
        <v>4.1878283265406457</v>
      </c>
      <c r="AM57" s="247">
        <f>(S57*Service_Weights!$E$11)</f>
        <v>2.5507068655345151</v>
      </c>
      <c r="AN57" s="247">
        <f>(T57*Service_Weights!$F$11)</f>
        <v>0.85671175050829462</v>
      </c>
      <c r="AO57" s="247">
        <f xml:space="preserve">  (U57*Service_Weights!$G$11)</f>
        <v>0.78040971049783614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0.91652892832055077</v>
      </c>
      <c r="T58" s="53">
        <f t="shared" ref="T58:U58" si="15">SUM(T54:T57)</f>
        <v>0.93887697241161971</v>
      </c>
      <c r="U58" s="53">
        <f t="shared" si="15"/>
        <v>0.78738612836258048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32.995041419539831</v>
      </c>
      <c r="T59" s="131">
        <f>T58*Service_Weights!F11</f>
        <v>11.266523668939437</v>
      </c>
      <c r="U59" s="131">
        <f>U58*Service_Weights!G11</f>
        <v>9.4486335403509649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F61" s="10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F62" s="10"/>
      <c r="G62" s="18">
        <v>85</v>
      </c>
      <c r="H62" s="19">
        <v>100</v>
      </c>
      <c r="I62" s="65">
        <f>IFERROR( VLOOKUP($AZ$10,OBIEE_DATA!$A$1:$ZZ$999, $AX62,FALSE),"")</f>
        <v>99.330650370922626</v>
      </c>
      <c r="J62" s="48"/>
      <c r="K62" s="18">
        <v>85</v>
      </c>
      <c r="L62" s="19">
        <v>100</v>
      </c>
      <c r="M62" s="65">
        <f>IFERROR( VLOOKUP($AZ$11,OBIEE_DATA!$A$1:$ZZ$999, $AX62,FALSE),I62)</f>
        <v>99.970744518158966</v>
      </c>
      <c r="N62" s="48"/>
      <c r="O62" s="18">
        <v>75</v>
      </c>
      <c r="P62" s="19">
        <v>100</v>
      </c>
      <c r="Q62" s="65">
        <f>IFERROR( VLOOKUP($AZ$12,OBIEE_DATA!$A$1:$ZZ$999, $AX62,FALSE),"")</f>
        <v>98.686009218701017</v>
      </c>
      <c r="S62" s="41">
        <f>IF(I62&lt;&gt;"",IF(I62&lt;=(0.9*G62+0.1*H62),0.1*D62*I62/(0.9*G62+0.1*H62),IF(I62&gt;=H62,D62,(I62-G62)/(H62-G62)*D62)),0)</f>
        <v>0.52545718026716304</v>
      </c>
      <c r="T62" s="41">
        <f>IF(M62&lt;&gt;"",IF(M62&lt;=(0.9*K62+0.1*L62),0.1*D62*M62/(0.9*K62+0.1*L62),IF(M62&gt;=L62,D62,(M62-K62)/(L62-K62)*D62)),0)</f>
        <v>0.54892729899916215</v>
      </c>
      <c r="U62" s="41">
        <f>IF(Q62&lt;&gt;"",IF(Q62&lt;=(0.9*O62+0.1*P62),0.1*D62*Q62/(0.9*O62+0.1*P62),IF(Q62&gt;=P62,D62,(Q62-O62)/(P62-O62)*D62)),0)</f>
        <v>0.52109220281142243</v>
      </c>
      <c r="V62" s="139">
        <f>(S62*Service_Weights!$E$12) + (T62*Service_Weights!$F$12) + (U62*Service_Weights!$G$12)</f>
        <v>79.391731278362215</v>
      </c>
      <c r="AM62" s="247">
        <f>(S62*Service_Weights!$E$12)</f>
        <v>47.291146224044674</v>
      </c>
      <c r="AN62" s="247">
        <f xml:space="preserve"> (T62*Service_Weights!$F$12)</f>
        <v>16.467818969974864</v>
      </c>
      <c r="AO62" s="247">
        <f xml:space="preserve"> (U62*Service_Weights!$G$12)</f>
        <v>15.632766084342673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F63" s="10"/>
      <c r="G63" s="20">
        <v>1</v>
      </c>
      <c r="H63" s="21">
        <v>4.5</v>
      </c>
      <c r="I63" s="63">
        <f>IFERROR( VLOOKUP($AZ$10,OBIEE_DATA!$A$1:$ZZ$999, $AX63,FALSE),"")</f>
        <v>1.044654674409486</v>
      </c>
      <c r="J63" s="48"/>
      <c r="K63" s="20">
        <v>1</v>
      </c>
      <c r="L63" s="21">
        <v>4.5</v>
      </c>
      <c r="M63" s="63">
        <f>IFERROR( VLOOKUP($AZ$11,OBIEE_DATA!$A$1:$ZZ$999, $AX63,FALSE),I63)</f>
        <v>1.0812257011239335</v>
      </c>
      <c r="N63" s="48"/>
      <c r="O63" s="20">
        <v>1.5</v>
      </c>
      <c r="P63" s="21">
        <v>5</v>
      </c>
      <c r="Q63" s="63">
        <f>IFERROR( VLOOKUP($AZ$12,OBIEE_DATA!$A$1:$ZZ$999, $AX63,FALSE),"")</f>
        <v>1.302868997538642</v>
      </c>
      <c r="S63" s="41">
        <f>IF(AND(I63&lt;&gt;"",I63&lt;&gt;0),IF(I63&lt;=G63,D63,IF(I63&gt;=H63,0,D63-(I63-G63)/(H63-G63)*D63)),0)</f>
        <v>4.9362076079864488E-2</v>
      </c>
      <c r="T63" s="41">
        <f>IF(AND(M63&lt;&gt;"",M63&lt;&gt;0),IF(M63&lt;=K63,D63,IF(M63&gt;=L63,0,D63-(M63-K63)/(L63-K63)*D63)),0)</f>
        <v>4.8839632841086666E-2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7.4077758324204037</v>
      </c>
      <c r="AM63" s="247">
        <f>(S63*Service_Weights!$E$12)</f>
        <v>4.4425868471878038</v>
      </c>
      <c r="AN63" s="247">
        <f xml:space="preserve"> (T63*Service_Weights!$F$12)</f>
        <v>1.4651889852325999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F64" s="10"/>
      <c r="G64" s="20">
        <v>90</v>
      </c>
      <c r="H64" s="21">
        <v>100</v>
      </c>
      <c r="I64" s="63">
        <f>IFERROR( VLOOKUP($AZ$10,OBIEE_DATA!$A$1:$ZZ$999, $AX64,FALSE),"")</f>
        <v>99.455759426917382</v>
      </c>
      <c r="J64" s="48"/>
      <c r="K64" s="20">
        <v>90</v>
      </c>
      <c r="L64" s="21">
        <v>100</v>
      </c>
      <c r="M64" s="63">
        <f>IFERROR( VLOOKUP($AZ$11,OBIEE_DATA!$A$1:$ZZ$999, $AX64,FALSE),I64)</f>
        <v>99.794911345009609</v>
      </c>
      <c r="N64" s="48"/>
      <c r="O64" s="20">
        <v>80</v>
      </c>
      <c r="P64" s="21">
        <v>100</v>
      </c>
      <c r="Q64" s="63">
        <f>IFERROR( VLOOKUP($AZ$12,OBIEE_DATA!$A$1:$ZZ$999, $AX64,FALSE),"")</f>
        <v>98.045212042674336</v>
      </c>
      <c r="S64" s="41">
        <f>IF(OR(I64&lt;=G64,I64=""),0,IF(I64&gt;=H64,D64,(I64-G64)/(H64-G64)*D64))</f>
        <v>0.14183639140376073</v>
      </c>
      <c r="T64" s="41">
        <f>IF(OR(M64&lt;=K64,M64=""),0,IF(M64&gt;=L64,D64,(M64-K64)/(L64-K64)*D64))</f>
        <v>0.14692367017514413</v>
      </c>
      <c r="U64" s="41">
        <f>IF(OR(Q64&lt;=O64,Q64=""),0,IF(Q64&gt;=P64,D64,(Q64-O64)/(P64-O64)*D64))</f>
        <v>0.13533909032005753</v>
      </c>
      <c r="V64" s="139">
        <f>(S64*Service_Weights!$E$12) + (T64*Service_Weights!$F$12) + (U64*Service_Weights!$G$12)</f>
        <v>21.233158041194518</v>
      </c>
      <c r="AM64" s="247">
        <f>(S64*Service_Weights!$E$12)</f>
        <v>12.765275226338465</v>
      </c>
      <c r="AN64" s="247">
        <f xml:space="preserve"> (T64*Service_Weights!$F$12)</f>
        <v>4.4077101052543242</v>
      </c>
      <c r="AO64" s="247">
        <f xml:space="preserve"> (U64*Service_Weights!$G$12)</f>
        <v>4.0601727096017264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F65" s="10"/>
      <c r="G65" s="249">
        <v>360</v>
      </c>
      <c r="H65" s="250">
        <v>690</v>
      </c>
      <c r="I65" s="64">
        <f>IFERROR( VLOOKUP($AZ$10,OBIEE_DATA!$A$1:$ZZ$999, $AX65,FALSE),"")</f>
        <v>641.87879764208742</v>
      </c>
      <c r="J65" s="48"/>
      <c r="K65" s="249">
        <v>360</v>
      </c>
      <c r="L65" s="250">
        <v>690</v>
      </c>
      <c r="M65" s="64">
        <f>IFERROR( VLOOKUP($AZ$11,OBIEE_DATA!$A$1:$ZZ$999, $AX65,FALSE),I65)</f>
        <v>631.05336106008303</v>
      </c>
      <c r="N65" s="48"/>
      <c r="O65" s="22">
        <v>360</v>
      </c>
      <c r="P65" s="248">
        <v>690</v>
      </c>
      <c r="Q65" s="64">
        <f>IFERROR( VLOOKUP($AZ$12,OBIEE_DATA!$A$1:$ZZ$999, $AX65,FALSE),"")</f>
        <v>560</v>
      </c>
      <c r="S65" s="41">
        <f t="shared" ref="S65" si="16">IF(OR(I65&lt;=G65,I65=""),0,IF(I65&gt;=H65,D65,(I65-G65)/(H65-G65)*D65))</f>
        <v>0.21354454366824804</v>
      </c>
      <c r="T65" s="41">
        <f t="shared" ref="T65" si="17">IF(OR(M65&lt;=K65,M65=""),0,IF(M65&gt;=L65,D65,(M65-K65)/(L65-K65)*D65))</f>
        <v>0.20534345534854775</v>
      </c>
      <c r="U65" s="41">
        <f t="shared" ref="U65" si="18">IF(OR(Q65&lt;=O65,Q65=""),0,IF(Q65&gt;=P65,D65,(Q65-O65)/(P65-O65)*D65))</f>
        <v>0.15151515151515152</v>
      </c>
      <c r="V65" s="139">
        <f>(S65*Service_Weights!$E$12) + (T65*Service_Weights!$F$12) + (U65*Service_Weights!$G$12)</f>
        <v>29.924767136053301</v>
      </c>
      <c r="AM65" s="247">
        <f>(S65*Service_Weights!$E$12)</f>
        <v>19.219008930142323</v>
      </c>
      <c r="AN65" s="247">
        <f xml:space="preserve"> (T65*Service_Weights!$F$12)</f>
        <v>6.1603036604564325</v>
      </c>
      <c r="AO65" s="247">
        <f xml:space="preserve"> (U65*Service_Weights!$G$12)</f>
        <v>4.5454545454545459</v>
      </c>
      <c r="AX65">
        <v>29</v>
      </c>
    </row>
    <row r="66" spans="1:50" x14ac:dyDescent="0.25">
      <c r="D66" s="1"/>
      <c r="F66" s="10"/>
      <c r="G66" s="251"/>
      <c r="H66" s="251"/>
      <c r="I66" s="252"/>
      <c r="J66" s="251"/>
      <c r="K66" s="251"/>
      <c r="L66" s="251"/>
      <c r="M66" s="252"/>
      <c r="N66" s="251"/>
      <c r="O66" s="252"/>
      <c r="P66" s="252"/>
      <c r="Q66" s="252"/>
      <c r="R66" t="s">
        <v>42</v>
      </c>
      <c r="S66" s="53">
        <f>SUM(S62:S65)</f>
        <v>0.93020019141903632</v>
      </c>
      <c r="T66" s="53">
        <f>SUM(T62:T65)</f>
        <v>0.95003405736394075</v>
      </c>
      <c r="U66" s="53">
        <f>SUM(U62:U65)</f>
        <v>0.8579464446466315</v>
      </c>
    </row>
    <row r="67" spans="1:50" x14ac:dyDescent="0.25">
      <c r="D67" s="1"/>
      <c r="F67" s="10"/>
      <c r="G67" s="251"/>
      <c r="H67" s="251"/>
      <c r="I67" s="252"/>
      <c r="J67" s="251"/>
      <c r="K67" s="251"/>
      <c r="L67" s="251"/>
      <c r="M67" s="252"/>
      <c r="N67" s="251"/>
      <c r="O67" s="252"/>
      <c r="P67" s="252"/>
      <c r="Q67" s="252"/>
      <c r="R67" t="s">
        <v>483</v>
      </c>
      <c r="S67" s="131">
        <f>S66*Service_Weights!E12</f>
        <v>83.718017227713261</v>
      </c>
      <c r="T67" s="131">
        <f>T66*Service_Weights!F12</f>
        <v>28.501021720918224</v>
      </c>
      <c r="U67" s="131">
        <f>U66*Service_Weights!G12</f>
        <v>25.738393339398947</v>
      </c>
    </row>
    <row r="68" spans="1:50" x14ac:dyDescent="0.25"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</row>
    <row r="69" spans="1:50" ht="45" x14ac:dyDescent="0.25">
      <c r="H69" s="71"/>
      <c r="R69" s="129" t="s">
        <v>484</v>
      </c>
      <c r="S69" s="132">
        <f>S67+S59+S51+S43+S35+S27+S20</f>
        <v>327.22503220471748</v>
      </c>
      <c r="T69" s="132">
        <f>T67+T59+T51+T43+T35+T27+T20</f>
        <v>110.15775291644781</v>
      </c>
      <c r="U69" s="132">
        <f>U67+U59+U51+U43+U35+U27+U20</f>
        <v>98.470201044842355</v>
      </c>
    </row>
    <row r="70" spans="1:50" x14ac:dyDescent="0.25">
      <c r="U70" s="61"/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9.85546875" customWidth="1"/>
    <col min="53" max="55" width="1.5703125" customWidth="1"/>
    <col min="56" max="56" width="29.85546875" customWidth="1"/>
    <col min="57" max="59" width="11.42578125" customWidth="1"/>
    <col min="60" max="60" width="29.85546875" customWidth="1"/>
    <col min="61" max="63" width="11.42578125" customWidth="1"/>
    <col min="64" max="64" width="29.8554687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97.095857374904227</v>
      </c>
      <c r="K6" s="18">
        <v>87</v>
      </c>
      <c r="L6" s="19">
        <v>100</v>
      </c>
      <c r="M6" s="27">
        <f>IFERROR(IF($AZ$7="AVG",BI6,VLOOKUP($AZ$7,OBIEE_VOICE!$A$1:$ZZ$999,$AX6,FALSE)),I6)</f>
        <v>96.554402607392689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94.962113454843333</v>
      </c>
      <c r="S6" s="41">
        <f>IF(I6&lt;&gt;"",IF(I6&lt;=(0.9*G6+0.1*H6),0.1*D6*I6/(0.9*G6+0.1*H6),IF(I6&gt;=H6,D6,(I6-G6)/(H6-G6)*D6)),0)</f>
        <v>0.54362308941791992</v>
      </c>
      <c r="T6" s="41">
        <f>IF(M6&lt;&gt;"",IF(M6&lt;=(0.9*K6+0.1*L6),0.1*D6*M6/(0.9*K6+0.1*L6),IF(M6&gt;=L6,D6,(M6-K6)/(L6-K6)*D6)),0)</f>
        <v>0.51446783270576013</v>
      </c>
      <c r="U6" s="41">
        <f>IF(Q6&lt;&gt;"",IF(Q6&lt;=(0.9*O6+0.1*P6),0.1*D6*Q6/(0.9*O6+0.1*P6),IF(Q6&gt;=P6,D6,(Q6-O6)/(P6-O6)*D6)),0)</f>
        <v>0.52367397091951662</v>
      </c>
      <c r="V6" s="139">
        <f>(S6*Service_Weights!$E$2) + (T6*Service_Weights!$F$2) + (U6*Service_Weights!$G$2)</f>
        <v>213.52088575032292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130.46954146030077</v>
      </c>
      <c r="AN6" s="247">
        <f>(T6*Service_Weights!$F$2)</f>
        <v>41.15742661646081</v>
      </c>
      <c r="AO6" s="247">
        <f xml:space="preserve"> (U6*Service_Weights!$G$2)</f>
        <v>41.893917673561333</v>
      </c>
      <c r="AX6">
        <v>2</v>
      </c>
      <c r="AZ6" t="str">
        <f>CONFIG!C20</f>
        <v>VF-ES_MOVISTAR_MAIN CITIES_4G</v>
      </c>
      <c r="BD6" s="34" t="str">
        <f>CONFIG!C21</f>
        <v>VF-ES_MOVISTAR_MAIN CITIES_</v>
      </c>
      <c r="BE6" s="10">
        <f>AVERAGE(BF6,BG6)</f>
        <v>96.624256373636214</v>
      </c>
      <c r="BF6" s="10">
        <f>IFERROR(IFERROR(VLOOKUP(CONCATENATE($BD$6,$BF$4),OBIEE_VOICE!$A$1:$ZZ$999, $AX6,FALSE),VLOOKUP(CONCATENATE($BD$6,"4G"),OBIEE_VOICE!$A$1:$ZZ$999, $AX6,FALSE)),"")</f>
        <v>97.095857374904227</v>
      </c>
      <c r="BG6" s="9">
        <f>IFERROR(VLOOKUP(CONCATENATE($BD$6,"3G+4G"),OBIEE_VOICE!$A$1:$ZZ$999, $AX6,FALSE),"")</f>
        <v>96.152655372368201</v>
      </c>
      <c r="BH6" s="34" t="str">
        <f>CONFIG!C23</f>
        <v>VF-ES_MOVISTAR_SMALLER CITIES_</v>
      </c>
      <c r="BI6" s="10">
        <f>AVERAGE(BJ6,BK6)</f>
        <v>96.768639161663486</v>
      </c>
      <c r="BJ6" s="10">
        <f>IFERROR(IFERROR(VLOOKUP(CONCATENATE($BH$6,$BJ$4),OBIEE_VOICE!$A$1:$ZZ$999, $AX6,FALSE),VLOOKUP(CONCATENATE($BH$6,"4G"),OBIEE_VOICE!$A$1:$ZZ$999, $AX6,FALSE)),"")</f>
        <v>96.554402607392689</v>
      </c>
      <c r="BK6" s="9">
        <f>IFERROR(VLOOKUP(CONCATENATE($BH$6,"3G+4G"),OBIEE_VOICE!$A$1:$ZZ$999, $AX6,FALSE),"")</f>
        <v>96.982875715934284</v>
      </c>
      <c r="BL6" s="34" t="str">
        <f>CONFIG!C25</f>
        <v>VF-ES_MOVISTAR_MAIN HIGHWAYS_</v>
      </c>
      <c r="BM6" s="10">
        <f>AVERAGE(BN6,BO6)</f>
        <v>94.962113454843333</v>
      </c>
      <c r="BN6" s="10">
        <f>IFERROR(IFERROR(VLOOKUP(CONCATENATE($BL$6,$BN$4),OBIEE_VOICE!$A$1:$ZZ$999, $AX6,FALSE),VLOOKUP(CONCATENATE($BL$6,"4G"),OBIEE_VOICE!$A$1:$ZZ$999, $AX6,FALSE)),"")</f>
        <v>94.962113454843333</v>
      </c>
      <c r="BO6" s="9">
        <f>IFERROR(VLOOKUP(CONCATENATE($BL$6,"3G+4G"),OBIEE_VOICE!$A$1:$ZZ$999, $AX6,FALSE),"")</f>
        <v>94.962113454843333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7.7039539896934253</v>
      </c>
      <c r="K7" s="20">
        <v>3.5</v>
      </c>
      <c r="L7" s="21">
        <v>10</v>
      </c>
      <c r="M7" s="28">
        <f>IFERROR(IF($AZ$7="AVG",BI7,VLOOKUP($AZ$7,OBIEE_VOICE!$A$1:$ZZ$999,$AX7,FALSE)),I7)</f>
        <v>7.9372056042281276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5.8314297584105574</v>
      </c>
      <c r="S7" s="41">
        <f>IF(AND(I7&lt;&gt;"",I7&lt;&gt;0),IF(I7&lt;=G7,D7,IF(I7&gt;=H7,0,D7-(I7-G7)/(H7-G7)*D7)),0)</f>
        <v>5.2985677160920966E-2</v>
      </c>
      <c r="T7" s="41">
        <f>IF(AND(M7&lt;&gt;"",M7&lt;&gt;0),IF(M7&lt;=K7,D7,IF(M7&gt;=L7,0,D7-(M7-K7)/(L7-K7)*D7)),0)</f>
        <v>4.7602947594735504E-2</v>
      </c>
      <c r="U7" s="41">
        <f>IF(Q7&lt;&gt;"",IF(Q7&lt;=O7,D7,IF(Q7&gt;=P7,0,D7-(Q7-O7)/(P7-O7)*D7)),0)</f>
        <v>9.6197774805910213E-2</v>
      </c>
      <c r="V7" s="139">
        <f>(S7*Service_Weights!$E$2) + (T7*Service_Weights!$F$2) + (U7*Service_Weights!$G$2)</f>
        <v>24.220620310672686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12.716562518621032</v>
      </c>
      <c r="AN7" s="247">
        <f>(T7*Service_Weights!$F$2)</f>
        <v>3.8082358075788401</v>
      </c>
      <c r="AO7" s="247">
        <f>(U7*Service_Weights!$G$2)</f>
        <v>7.6958219844728166</v>
      </c>
      <c r="AX7">
        <f>AX6+1</f>
        <v>3</v>
      </c>
      <c r="AZ7" t="str">
        <f>CONFIG!C22</f>
        <v>VF-ES_MOVISTAR_SMALLER CITIES_4G</v>
      </c>
      <c r="BD7" s="34"/>
      <c r="BE7" s="10">
        <f t="shared" ref="BE7:BE8" si="2">AVERAGE(BF7,BG7)</f>
        <v>7.2951245199603729</v>
      </c>
      <c r="BF7" s="10">
        <f>IFERROR(IFERROR(VLOOKUP(CONCATENATE($BD$6,$BF$4),OBIEE_VOICE!$A$1:$ZZ$999, $AX7,FALSE),VLOOKUP(CONCATENATE($BD$6,"4G"),OBIEE_VOICE!$A$1:$ZZ$999, $AX7,FALSE)),"")</f>
        <v>7.7039539896934253</v>
      </c>
      <c r="BG7" s="9">
        <f>IFERROR(VLOOKUP(CONCATENATE($BD$6,"3G+4G"),OBIEE_VOICE!$A$1:$ZZ$999, $AX7,FALSE),"")</f>
        <v>6.8862950502273215</v>
      </c>
      <c r="BH7" s="34"/>
      <c r="BI7" s="10">
        <f t="shared" ref="BI7:BI8" si="3">AVERAGE(BJ7,BK7)</f>
        <v>7.4933449541355657</v>
      </c>
      <c r="BJ7" s="10">
        <f>IFERROR(IFERROR(VLOOKUP(CONCATENATE($BH$6,$BJ$4),OBIEE_VOICE!$A$1:$ZZ$999, $AX7,FALSE),VLOOKUP(CONCATENATE($BH$6,"4G"),OBIEE_VOICE!$A$1:$ZZ$999, $AX7,FALSE)),"")</f>
        <v>7.9372056042281276</v>
      </c>
      <c r="BK7" s="9">
        <f>IFERROR(VLOOKUP(CONCATENATE($BH$6,"3G+4G"),OBIEE_VOICE!$A$1:$ZZ$999, $AX7,FALSE),"")</f>
        <v>7.0494843040430037</v>
      </c>
      <c r="BL7" s="34"/>
      <c r="BM7" s="10">
        <f t="shared" ref="BM7:BM8" si="4">AVERAGE(BN7,BO7)</f>
        <v>5.8314297584105574</v>
      </c>
      <c r="BN7" s="10">
        <f>IFERROR(IFERROR(VLOOKUP(CONCATENATE($BL$6,$BN$4),OBIEE_VOICE!$A$1:$ZZ$999, $AX7,FALSE),VLOOKUP(CONCATENATE($BL$6,"4G"),OBIEE_VOICE!$A$1:$ZZ$999, $AX7,FALSE)),"")</f>
        <v>5.8314297584105574</v>
      </c>
      <c r="BO7" s="9">
        <f>IFERROR(VLOOKUP(CONCATENATE($BL$6,"3G+4G"),OBIEE_VOICE!$A$1:$ZZ$999, $AX7,FALSE),"")</f>
        <v>5.8314297584105574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3.2973773199017824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3.1892316426827767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3.5533076253323186</v>
      </c>
      <c r="S8" s="41">
        <f>IF(I8&lt;&gt;"",IF(I8&lt;=G8,0,IF(I8&gt;=H8,D8,SQRT((I8-G8)/(H8-G8))*D8)),0)</f>
        <v>0.11399674440824614</v>
      </c>
      <c r="T8" s="41">
        <f>IF(M8&lt;&gt;"",IF(M8&lt;=K8,0,IF(M8&gt;=L8,D8,SQRT((M8-K8)/(L8-K8))*D8)),0)</f>
        <v>0.10823393757179881</v>
      </c>
      <c r="U8" s="41">
        <f>IF(Q8&lt;&gt;"",IF(Q8&lt;=O8,0,IF(Q8&gt;=P8,D8,SQRT((Q8-O8)/(P8-O8))*D8)),0)</f>
        <v>0.12659388355137685</v>
      </c>
      <c r="V8" s="139">
        <f>(S8*Service_Weights!$E$2) + (T8*Service_Weights!$F$2) + (U8*Service_Weights!$G$2)</f>
        <v>46.145444347833127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27.359218657979074</v>
      </c>
      <c r="AN8" s="247">
        <f>(T8*Service_Weights!$F$2)</f>
        <v>8.658715005743904</v>
      </c>
      <c r="AO8" s="247">
        <f>(U8*Service_Weights!$G$2)</f>
        <v>10.127510684110149</v>
      </c>
      <c r="AX8">
        <f>AX7+1</f>
        <v>4</v>
      </c>
      <c r="AZ8" t="str">
        <f>CONFIG!C24</f>
        <v>VF-ES_MOVISTAR_MAIN HIGHWAYS_4G</v>
      </c>
      <c r="BD8" s="37"/>
      <c r="BE8" s="38">
        <f t="shared" si="2"/>
        <v>3.3062428687840066</v>
      </c>
      <c r="BF8" s="38">
        <f>IFERROR(IFERROR(VLOOKUP(CONCATENATE($BD$6,$BF$4),OBIEE_VOICE!$A$1:$ZZ$999, $AX8,FALSE),VLOOKUP(CONCATENATE($BD$6,"4G"),OBIEE_VOICE!$A$1:$ZZ$999, $AX8,FALSE)),"")</f>
        <v>3.2973773199017824</v>
      </c>
      <c r="BG8" s="39">
        <f>IFERROR(VLOOKUP(CONCATENATE($BD$6,"3G+4G"),OBIEE_VOICE!$A$1:$ZZ$999, $AX8,FALSE),"")</f>
        <v>3.3151084176662304</v>
      </c>
      <c r="BH8" s="37"/>
      <c r="BI8" s="38">
        <f t="shared" si="3"/>
        <v>3.1901075988757617</v>
      </c>
      <c r="BJ8" s="38">
        <f>IFERROR(IFERROR(VLOOKUP(CONCATENATE($BH$6,$BJ$4),OBIEE_VOICE!$A$1:$ZZ$999, $AX8,FALSE),VLOOKUP(CONCATENATE($BH$6,"4G"),OBIEE_VOICE!$A$1:$ZZ$999, $AX8,FALSE)),"")</f>
        <v>3.1892316426827767</v>
      </c>
      <c r="BK8" s="39">
        <f>IFERROR(VLOOKUP(CONCATENATE($BH$6,"3G+4G"),OBIEE_VOICE!$A$1:$ZZ$999, $AX8,FALSE),"")</f>
        <v>3.1909835550687466</v>
      </c>
      <c r="BL8" s="37"/>
      <c r="BM8" s="38">
        <f t="shared" si="4"/>
        <v>3.5533076253323186</v>
      </c>
      <c r="BN8" s="38">
        <f>IFERROR(IFERROR(VLOOKUP(CONCATENATE($BL$6,$BN$4),OBIEE_VOICE!$A$1:$ZZ$999, $AX8,FALSE),VLOOKUP(CONCATENATE($BL$6,"4G"),OBIEE_VOICE!$A$1:$ZZ$999, $AX8,FALSE)),"")</f>
        <v>3.5533076253323186</v>
      </c>
      <c r="BO8" s="39">
        <f>IFERROR(VLOOKUP(CONCATENATE($BL$6,"3G+4G"),OBIEE_VOICE!$A$1:$ZZ$999, $AX8,FALSE),"")</f>
        <v>3.5533076253323186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0.71060551098708702</v>
      </c>
      <c r="T10" s="53">
        <f t="shared" ref="T10:U10" si="5">SUM(T6:T9)</f>
        <v>0.6703047178722944</v>
      </c>
      <c r="U10" s="53">
        <f t="shared" si="5"/>
        <v>0.74646562927680371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CONFIG!C28</f>
        <v>VF-ES_MOVISTAR_MAIN CITIES_4G</v>
      </c>
    </row>
    <row r="11" spans="1:67" x14ac:dyDescent="0.25">
      <c r="D11" s="1"/>
      <c r="R11" t="s">
        <v>483</v>
      </c>
      <c r="S11" s="131">
        <f>S10*Service_Weights!E2</f>
        <v>170.54532263690089</v>
      </c>
      <c r="T11" s="131">
        <f>T10*Service_Weights!F2</f>
        <v>53.62437742978355</v>
      </c>
      <c r="U11" s="131">
        <f>U10*Service_Weights!G2</f>
        <v>59.717250342144297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CONFIG!C30</f>
        <v>VF-ES_MOVISTAR_SMALLER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CONFIG!C32</f>
        <v>VF-ES_MOVISTAR_MAIN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CONFIG!C34</f>
        <v>VF-ES_MOVISTAR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99.614655727508449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99.681247534665758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96.014629839828487</v>
      </c>
      <c r="S17" s="41">
        <f>IF(I7&lt;&gt;"",IF(I17&lt;=(0.9*G17+0.1*H17),0.1*D17*I17/(0.9*G17+0.1*H17),IF(I17&gt;=H17,D17,(I17-G17)/(H17-G17)*D17)),0)</f>
        <v>0.58221487973115915</v>
      </c>
      <c r="T17" s="41">
        <f>IF(M17&lt;&gt;"",IF(M17&lt;=(0.9*K17+0.1*L17),0.1*D17*M17/(0.9*K17+0.1*L17),IF(M17&gt;=L17,D17,(M17-K17)/(L17-K17)*D17)),0)</f>
        <v>0.58528834775380423</v>
      </c>
      <c r="U17" s="41">
        <f>IF(Q17&lt;&gt;"",IF(Q17&lt;=(0.9*O17+0.1*P17),0.1*D17*Q17/(0.9*O17+0.1*P17),IF(Q17&gt;=P17,D17,(Q17-O17)/(P17-O17)*D17)),0)</f>
        <v>0.48043889519485461</v>
      </c>
      <c r="V17" s="139">
        <f>(S17*Service_Weights!$E$7) + (T17*Service_Weights!$F$7) + (U17*Service_Weights!$G$7)</f>
        <v>84.371156464264089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52.399339175804322</v>
      </c>
      <c r="AN17" s="247">
        <f xml:space="preserve"> (T17*Service_Weights!$F$7)</f>
        <v>17.558650432614126</v>
      </c>
      <c r="AO17" s="247">
        <f>(U17*Service_Weights!$G$7)</f>
        <v>14.413166855845638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2.3999658870036753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2.4395189292858013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3.0053042759846513</v>
      </c>
      <c r="S18" s="41">
        <f>IF(AND(I18&lt;&gt;"",I18&lt;&gt;0),IF(I18&lt;=G18,D18,IF(I18&gt;=H18,0,D18-(I18-G18)/(H18-G18)*D18)),0)</f>
        <v>0.3377792939109478</v>
      </c>
      <c r="T18" s="41">
        <f>IF(AND(M18&lt;&gt;"",M18&lt;&gt;0),IF(M18&lt;=K18,D18,IF(M18&gt;=L18,0,D18-(M18-K18)/(L18-K18)*D18)),0)</f>
        <v>0.33602138092063105</v>
      </c>
      <c r="U18" s="41">
        <f>IF(AND(Q18&lt;&gt;"",Q18&lt;&gt;0),IF(Q18&lt;=O18,D18,IF(Q18&gt;=P18,0,D18-(Q18-O18)/(P18-O18)*D18)),0)</f>
        <v>0.32916215171836938</v>
      </c>
      <c r="V18" s="139">
        <f>(S18*Service_Weights!$E$7) + (T18*Service_Weights!$F$7) + (U18*Service_Weights!$G$7)</f>
        <v>50.355642431155317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30.400136451985301</v>
      </c>
      <c r="AN18" s="247">
        <f>(T18*Service_Weights!$F$7)</f>
        <v>10.080641427618932</v>
      </c>
      <c r="AO18" s="247">
        <f xml:space="preserve"> (U18*Service_Weights!$G$7)</f>
        <v>9.8748645515510809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0.91999417364210689</v>
      </c>
      <c r="T19" s="53">
        <f t="shared" ref="T19:U19" si="7">SUM(T17:T18)</f>
        <v>0.92130972867443528</v>
      </c>
      <c r="U19" s="53">
        <f t="shared" si="7"/>
        <v>0.80960104691322399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82.799475627789619</v>
      </c>
      <c r="T20" s="131">
        <f>T19*Service_Weights!F7</f>
        <v>27.639291860233058</v>
      </c>
      <c r="U20" s="131">
        <f>U19*Service_Weights!G7</f>
        <v>24.288031407396719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99.614655727508449</v>
      </c>
      <c r="J24" s="25"/>
      <c r="K24" s="18">
        <v>87</v>
      </c>
      <c r="L24" s="30">
        <v>100</v>
      </c>
      <c r="M24" s="27">
        <f>IFERROR( VLOOKUP($AZ$11,OBIEE_DATA!$A$1:$ZZ$999, $AX24,FALSE),I24)</f>
        <v>99.681247534665758</v>
      </c>
      <c r="N24" s="25"/>
      <c r="O24" s="18">
        <v>80</v>
      </c>
      <c r="P24" s="30">
        <v>100</v>
      </c>
      <c r="Q24" s="27">
        <f>IFERROR( VLOOKUP($AZ$12,OBIEE_DATA!$A$1:$ZZ$999, $AX24,FALSE),"")</f>
        <v>96.014629839828487</v>
      </c>
      <c r="S24" s="41">
        <f>IF(I24&lt;&gt;"",IF(I24&lt;=(0.9*G24+0.1*H24),0.1*D24*I24/(0.9*G24+0.1*H24),IF(I24&gt;=H24,D24,(I24-G24)/(H24-G24)*D24)),0)</f>
        <v>0.58221487973115915</v>
      </c>
      <c r="T24" s="41">
        <f>IF(M24&lt;&gt;"",IF(M24&lt;=(0.9*K24+0.1*L24),0.1*D24*M24/(0.9*K24+0.1*L24),IF(M24&gt;=L24,D24,(M24-K24)/(L24-K24)*D24)),0)</f>
        <v>0.58528834775380423</v>
      </c>
      <c r="U24" s="41">
        <f>IF(Q24&lt;&gt;"",IF(Q24&lt;=(0.9*O24+0.1*P24),0.1*D24*Q24/(0.9*O24+0.1*P24),IF(Q24&gt;=P24,D24,(Q24-O24)/(P24-O24)*D24)),0)</f>
        <v>0.48043889519485461</v>
      </c>
      <c r="V24" s="139">
        <f>(S24*Service_Weights!$E$6) + (T24*Service_Weights!$F$6) + (U24*Service_Weights!$G$6)</f>
        <v>33.748462585705639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20.959735670321731</v>
      </c>
      <c r="AN24" s="247">
        <f>(T24*Service_Weights!$F$6)</f>
        <v>7.0234601730456507</v>
      </c>
      <c r="AO24" s="247">
        <f>(U24*Service_Weights!$G$6)</f>
        <v>5.7652667423382553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2.3999658870036753</v>
      </c>
      <c r="J25" s="25"/>
      <c r="K25" s="22">
        <v>1</v>
      </c>
      <c r="L25" s="31">
        <v>5</v>
      </c>
      <c r="M25" s="29">
        <f>IFERROR( VLOOKUP($AZ$11,OBIEE_DATA!$A$1:$ZZ$999, $AX25,FALSE),I25)</f>
        <v>2.4395189292858013</v>
      </c>
      <c r="N25" s="25"/>
      <c r="O25" s="22">
        <v>1</v>
      </c>
      <c r="P25" s="31">
        <v>5</v>
      </c>
      <c r="Q25" s="29">
        <f>IFERROR( VLOOKUP($AZ$12,OBIEE_DATA!$A$1:$ZZ$999, $AX25,FALSE),"")</f>
        <v>3.0053042759846513</v>
      </c>
      <c r="S25" s="41">
        <f>IF(AND(I25&lt;&gt;"",I25&lt;&gt;0),IF(I25&lt;=G25,D25,IF(I25&gt;=H25,0,D25-(I25-G25)/(H25-G25)*D25)),0)</f>
        <v>0.26000341129963245</v>
      </c>
      <c r="T25" s="41">
        <f>IF(AND(M25&lt;&gt;"",M25&lt;&gt;0),IF(M25&lt;=K25,D25,IF(M25&gt;=L25,0,D25-(M25-K25)/(L25-K25)*D25)),0)</f>
        <v>0.25604810707141989</v>
      </c>
      <c r="U25" s="41">
        <f>IF(AND(Q25&lt;&gt;"",Q25&lt;&gt;0),IF(Q25&lt;=O25,D25,IF(Q25&gt;=P25,0,D25-(Q25-O25)/(P25-O25)*D25)),0)</f>
        <v>0.19946957240153487</v>
      </c>
      <c r="V25" s="139">
        <f>(S25*Service_Weights!$E$6) + (T25*Service_Weights!$F$6) + (U25*Service_Weights!$G$6)</f>
        <v>14.826334960462225</v>
      </c>
      <c r="AM25" s="247">
        <f>(S25*Service_Weights!$E$6)</f>
        <v>9.3601228067867677</v>
      </c>
      <c r="AN25" s="247">
        <f>(T25*Service_Weights!$F$6)</f>
        <v>3.0725772848570387</v>
      </c>
      <c r="AO25" s="247">
        <f>(U25*Service_Weights!$G$6)</f>
        <v>2.3936348688184186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0.8422182910307916</v>
      </c>
      <c r="T26" s="53">
        <f t="shared" ref="T26:U26" si="9">SUM(T24:T25)</f>
        <v>0.84133645482522412</v>
      </c>
      <c r="U26" s="53">
        <f t="shared" si="9"/>
        <v>0.67990846759638945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30.319858477108497</v>
      </c>
      <c r="T27" s="131">
        <f>T26*Service_Weights!F6</f>
        <v>10.096037457902689</v>
      </c>
      <c r="U27" s="131">
        <f>U26*Service_Weights!G6</f>
        <v>8.1589016111566739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99.885196467530406</v>
      </c>
      <c r="J30" s="25"/>
      <c r="K30" s="18">
        <v>87</v>
      </c>
      <c r="L30" s="30">
        <v>100</v>
      </c>
      <c r="M30" s="27">
        <f>IFERROR( VLOOKUP($AZ$11,OBIEE_DATA!$A$1:$ZZ$999, $AX30,FALSE),I30)</f>
        <v>99.900711218822522</v>
      </c>
      <c r="N30" s="25"/>
      <c r="O30" s="18">
        <v>80</v>
      </c>
      <c r="P30" s="30">
        <v>100</v>
      </c>
      <c r="Q30" s="27">
        <f>IFERROR( VLOOKUP($AZ$12,OBIEE_DATA!$A$1:$ZZ$999, $AX30,FALSE),"")</f>
        <v>98.562783661119511</v>
      </c>
      <c r="S30" s="41">
        <f>IF(I30&lt;&gt;"",IF(I30&lt;=(0.9*G30+0.1*H30),0.1*D30*I30/(0.9*G30+0.1*H30),IF(I30&gt;=H30,D30,(I30-G30)/(H30-G30)*D30)),0)</f>
        <v>0.59470137542448032</v>
      </c>
      <c r="T30" s="41">
        <f>IF(M30&lt;&gt;"",IF(M30&lt;=(0.9*K30+0.1*L30),0.1*D30*M30/(0.9*K30+0.1*L30),IF(M30&gt;=L30,D30,(M30-K30)/(L30-K30)*D30)),0)</f>
        <v>0.59541744086873183</v>
      </c>
      <c r="U30" s="41">
        <f>IF(Q30&lt;&gt;"",IF(Q30&lt;=(0.9*O30+0.1*P30),0.1*D30*Q30/(0.9*O30+0.1*P30),IF(Q30&gt;=P30,D30,(Q30-O30)/(P30-O30)*D30)),0)</f>
        <v>0.55688350983358526</v>
      </c>
      <c r="V30" s="139">
        <f>(S30*Service_Weights!$E$8) + (T30*Service_Weights!$F$8) + (U30*Service_Weights!$G$8)</f>
        <v>35.236860923709095</v>
      </c>
      <c r="AM30" s="247">
        <f>(S30*Service_Weights!$E$8)</f>
        <v>21.409249515281292</v>
      </c>
      <c r="AN30" s="247">
        <f>(T30*Service_Weights!$F$8)</f>
        <v>7.1450092904247819</v>
      </c>
      <c r="AO30" s="247">
        <f xml:space="preserve"> (U30*Service_Weights!$G$8)</f>
        <v>6.6826021180030235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0.95088803391943211</v>
      </c>
      <c r="J31" s="25"/>
      <c r="K31" s="20">
        <v>1</v>
      </c>
      <c r="L31" s="24">
        <v>12.5</v>
      </c>
      <c r="M31" s="28">
        <f>IFERROR( VLOOKUP($AZ$11,OBIEE_DATA!$A$1:$ZZ$999, $AX31,FALSE),I31)</f>
        <v>0.89226761128511012</v>
      </c>
      <c r="N31" s="25"/>
      <c r="O31" s="20">
        <v>2</v>
      </c>
      <c r="P31" s="24">
        <v>15</v>
      </c>
      <c r="Q31" s="28">
        <f>IFERROR( VLOOKUP($AZ$12,OBIEE_DATA!$A$1:$ZZ$999, $AX31,FALSE),"")</f>
        <v>1.5050577323056218</v>
      </c>
      <c r="S31" s="41">
        <f>IF(AND(I31&lt;&gt;"",I31&lt;&gt;0),IF(I31&lt;=G31,D31,IF(I31&gt;=H31,0,SQRT((I31-H31)/(G31-H31))*D31)),0)</f>
        <v>0.12</v>
      </c>
      <c r="T31" s="41">
        <f>IF(AND(M31&lt;&gt;"",M31&lt;&gt;0),IF(M31&lt;=K31,D31,IF(M31&gt;=L31,0,SQRT((M31-L31)/(K31-L31))*D31)),0)</f>
        <v>0.12</v>
      </c>
      <c r="U31" s="41">
        <f>IF(AND(Q31&lt;&gt;"",Q31&lt;&gt;0),IF(Q31&lt;=O31,D31,IF(Q31&gt;=P31,0,SQRT((Q31-P31)/(O31-P31))*D31)),0)</f>
        <v>0.12</v>
      </c>
      <c r="V31" s="139">
        <f>(S31*Service_Weights!$E$8) + (T31*Service_Weights!$F$8) + (U31*Service_Weights!$G$8)</f>
        <v>7.1999999999999993</v>
      </c>
      <c r="AM31" s="247">
        <f>(S31*Service_Weights!$E$8)</f>
        <v>4.32</v>
      </c>
      <c r="AN31" s="247">
        <f>(T31*Service_Weights!$F$8)</f>
        <v>1.44</v>
      </c>
      <c r="AO31" s="247">
        <f>(U31*Service_Weights!$G$8)</f>
        <v>1.44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11191.330343796713</v>
      </c>
      <c r="J32" s="25"/>
      <c r="K32" s="20">
        <v>384</v>
      </c>
      <c r="L32" s="24">
        <v>25000</v>
      </c>
      <c r="M32" s="63">
        <f>IFERROR( VLOOKUP($AZ$11,OBIEE_DATA!$A$1:$ZZ$999, $AX32,FALSE),I32)</f>
        <v>13311.813186813184</v>
      </c>
      <c r="N32" s="25"/>
      <c r="O32" s="20">
        <v>384</v>
      </c>
      <c r="P32" s="24">
        <v>10000</v>
      </c>
      <c r="Q32" s="63">
        <f>IFERROR( VLOOKUP($AZ$12,OBIEE_DATA!$A$1:$ZZ$999, $AX32,FALSE),"")</f>
        <v>3956.4777327935226</v>
      </c>
      <c r="S32" s="41">
        <f>IF(I32&lt;&gt;"",IF(I32&lt;=G32,0,IF(I32&gt;=H32,D32,SQRT((I32-G32)/(H32-G32))*D32)),0)</f>
        <v>0.13251970710747274</v>
      </c>
      <c r="T32" s="41">
        <f>IF(M32&lt;&gt;"",IF(M32&lt;=K32,0,IF(M32&gt;=L32,D32,SQRT((M32-K32)/(L32-K32))*D32)),0)</f>
        <v>0.14493850851064458</v>
      </c>
      <c r="U32" s="41">
        <f>IF(Q32&lt;&gt;"",IF(Q32&lt;=O32,0,IF(Q32&gt;=P32,D32,SQRT((Q32-O32)/(P32-O32))*D32)),0)</f>
        <v>0.12190388136896345</v>
      </c>
      <c r="V32" s="139">
        <f>(S32*Service_Weights!$E$8) + (T32*Service_Weights!$F$8) + (U32*Service_Weights!$G$8)</f>
        <v>7.9728181344243154</v>
      </c>
      <c r="AM32" s="247">
        <f>(S32*Service_Weights!$E$8)</f>
        <v>4.7707094558690191</v>
      </c>
      <c r="AN32" s="247">
        <f>(T32*Service_Weights!$F$8)</f>
        <v>1.7392621021277348</v>
      </c>
      <c r="AO32" s="247">
        <f>(U32*Service_Weights!$G$8)</f>
        <v>1.4628465764275613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41665.562913907292</v>
      </c>
      <c r="J33" s="25"/>
      <c r="K33" s="22">
        <v>25000</v>
      </c>
      <c r="L33" s="31">
        <v>80000</v>
      </c>
      <c r="M33" s="64">
        <f>IFERROR( VLOOKUP($AZ$11,OBIEE_DATA!$A$1:$ZZ$999, $AX33,FALSE),I33)</f>
        <v>40991.987179487216</v>
      </c>
      <c r="N33" s="25"/>
      <c r="O33" s="22">
        <v>15000</v>
      </c>
      <c r="P33" s="31">
        <v>60000</v>
      </c>
      <c r="Q33" s="64">
        <f>IFERROR( VLOOKUP($AZ$12,OBIEE_DATA!$A$1:$ZZ$999, $AX33,FALSE),"")</f>
        <v>33363.793103448283</v>
      </c>
      <c r="S33" s="41">
        <f>IF(I33&lt;&gt;"",IF(I33&lt;=G33,0,IF(I33&gt;=H33,D33,SQRT((I33-G33)/(H33-G33))*D33)),0)</f>
        <v>4.4037092350758263E-2</v>
      </c>
      <c r="T33" s="41">
        <f>IF(M33&lt;&gt;"",IF(M33&lt;=K33,0,IF(M33&gt;=L33,D33,SQRT((M33-K33)/(L33-K33))*D33)),0)</f>
        <v>4.3137985359608361E-2</v>
      </c>
      <c r="U33" s="41">
        <f>IF(Q33&lt;&gt;"",IF(Q33&lt;=O33,0,IF(Q33&gt;=P33,D33,SQRT((Q33-O33)/(P33-O33))*D33)),0)</f>
        <v>5.1105180398874767E-2</v>
      </c>
      <c r="V33" s="139">
        <f>(S33*Service_Weights!$E$8) + (T33*Service_Weights!$F$8) + (U33*Service_Weights!$G$8)</f>
        <v>2.7162533137290947</v>
      </c>
      <c r="AM33" s="247">
        <f>(S33*Service_Weights!$E$8)</f>
        <v>1.5853353246272974</v>
      </c>
      <c r="AN33" s="247">
        <f xml:space="preserve"> (T33*Service_Weights!$F$8)</f>
        <v>0.51765582431530033</v>
      </c>
      <c r="AO33" s="247">
        <f>(U33*Service_Weights!$G$8)</f>
        <v>0.6132621647864972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0.89125817488271131</v>
      </c>
      <c r="T34" s="53">
        <f t="shared" ref="T34:U34" si="10">SUM(T30:T33)</f>
        <v>0.90349393473898476</v>
      </c>
      <c r="U34" s="53">
        <f t="shared" si="10"/>
        <v>0.84989257160142351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32.085294295777608</v>
      </c>
      <c r="T35" s="131">
        <f>T34*Service_Weights!F8</f>
        <v>10.841927216867816</v>
      </c>
      <c r="U35" s="131">
        <f>U34*Service_Weights!G8</f>
        <v>10.198710859217082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99.607943899967125</v>
      </c>
      <c r="J38" s="25"/>
      <c r="K38" s="18">
        <v>87</v>
      </c>
      <c r="L38" s="30">
        <v>100</v>
      </c>
      <c r="M38" s="27">
        <f>IFERROR( VLOOKUP($AZ$11,OBIEE_DATA!$A$1:$ZZ$999, $AX38,FALSE),I38)</f>
        <v>99.659006692444123</v>
      </c>
      <c r="N38" s="25"/>
      <c r="O38" s="18">
        <v>80</v>
      </c>
      <c r="P38" s="30">
        <v>100</v>
      </c>
      <c r="Q38" s="27">
        <f>IFERROR( VLOOKUP($AZ$12,OBIEE_DATA!$A$1:$ZZ$999, $AX38,FALSE),"")</f>
        <v>97.069226882263777</v>
      </c>
      <c r="S38" s="41">
        <f>IF(I38&lt;&gt;"",IF(I38&lt;=(0.9*G38+0.1*H38),0.1*D38*I38/(0.9*G38+0.1*H38),IF(I38&gt;=H38,D38,(I38-G38)/(H38-G38)*D38)),0)</f>
        <v>0.58190510307540577</v>
      </c>
      <c r="T38" s="41">
        <f>IF(M38&lt;&gt;"",IF(M38&lt;=(0.9*K38+0.1*L38),0.1*D38*M38/(0.9*K38+0.1*L38),IF(M38&gt;=L38,D38,(M38-K38)/(L38-K38)*D38)),0)</f>
        <v>0.58426184734357489</v>
      </c>
      <c r="U38" s="41">
        <f>IF(Q38&lt;&gt;"",IF(Q38&lt;=(0.9*O38+0.1*P38),0.1*D38*Q38/(0.9*O38+0.1*P38),IF(Q38&gt;=P38,D38,(Q38-O38)/(P38-O38)*D38)),0)</f>
        <v>0.51207680646791331</v>
      </c>
      <c r="V38" s="139">
        <f>(S38*Service_Weights!$E$9) + (T38*Service_Weights!$F$9) + (U38*Service_Weights!$G$9)</f>
        <v>34.104647556452463</v>
      </c>
      <c r="AM38" s="247">
        <f>(S38*Service_Weights!$E$9)</f>
        <v>20.948583710714608</v>
      </c>
      <c r="AN38" s="247">
        <f>(T38*Service_Weights!$F$9)</f>
        <v>7.0111421681228983</v>
      </c>
      <c r="AO38" s="247">
        <f xml:space="preserve"> (U38*Service_Weights!$G$9)</f>
        <v>6.1449216776149598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0.91981554482369476</v>
      </c>
      <c r="J39" s="25"/>
      <c r="K39" s="20">
        <v>1</v>
      </c>
      <c r="L39" s="24">
        <v>10</v>
      </c>
      <c r="M39" s="28">
        <f>IFERROR( VLOOKUP($AZ$11,OBIEE_DATA!$A$1:$ZZ$999, $AX39,FALSE),I39)</f>
        <v>0.99893211631706658</v>
      </c>
      <c r="N39" s="25"/>
      <c r="O39" s="20">
        <v>1.5</v>
      </c>
      <c r="P39" s="24">
        <v>12</v>
      </c>
      <c r="Q39" s="28">
        <f>IFERROR( VLOOKUP($AZ$12,OBIEE_DATA!$A$1:$ZZ$999, $AX39,FALSE),"")</f>
        <v>1.5007674183438682</v>
      </c>
      <c r="S39" s="41">
        <f>IF(AND(I39&lt;&gt;"",I39&lt;&gt;0),IF(I39&lt;=G39,D39,IF(I39&gt;=H39,0,SQRT((I39-H39)/(G39-H39))*D39)),0)</f>
        <v>0.12</v>
      </c>
      <c r="T39" s="41">
        <f>IF(AND(M39&lt;&gt;"",M39&lt;&gt;0),IF(M39&lt;=K39,D39,IF(M39&gt;=L39,0,SQRT((M39-L39)/(K39-L39))*D39)),0)</f>
        <v>0.12</v>
      </c>
      <c r="U39" s="41">
        <f>IF(AND(Q39&lt;&gt;"",Q39&lt;&gt;0),IF(Q39&lt;=O39,D39,IF(Q39&gt;=P39,0,SQRT((Q39-P39)/(O39-P39))*D39)),0)</f>
        <v>0.11999561467219116</v>
      </c>
      <c r="V39" s="139">
        <f>(S39*Service_Weights!$E$9) + (T39*Service_Weights!$F$9) + (U39*Service_Weights!$G$9)</f>
        <v>7.1999473760662935</v>
      </c>
      <c r="AM39" s="247">
        <f>(S39*Service_Weights!$E$9)</f>
        <v>4.32</v>
      </c>
      <c r="AN39" s="247">
        <f>(T39*Service_Weights!$F$9)</f>
        <v>1.44</v>
      </c>
      <c r="AO39" s="247">
        <f xml:space="preserve"> (U39*Service_Weights!$G$9)</f>
        <v>1.439947376066294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3379.8882681564246</v>
      </c>
      <c r="J40" s="25"/>
      <c r="K40" s="20">
        <v>384</v>
      </c>
      <c r="L40" s="24">
        <v>8000</v>
      </c>
      <c r="M40" s="63">
        <f>IFERROR( VLOOKUP($AZ$11,OBIEE_DATA!$A$1:$ZZ$999, $AX40,FALSE),I40)</f>
        <v>4401.6000000000013</v>
      </c>
      <c r="N40" s="25"/>
      <c r="O40" s="20">
        <v>384</v>
      </c>
      <c r="P40" s="24">
        <v>6000</v>
      </c>
      <c r="Q40" s="63">
        <f>IFERROR( VLOOKUP($AZ$12,OBIEE_DATA!$A$1:$ZZ$999, $AX40,FALSE),"")</f>
        <v>1032.2407307898977</v>
      </c>
      <c r="S40" s="41">
        <f>IF(I40&lt;&gt;"",IF(I40&lt;=G40,0,IF(I40&gt;=H40,D40,SQRT((I40-G40)/(H40-G40))*D40)),0)</f>
        <v>0.1254380615711895</v>
      </c>
      <c r="T40" s="41">
        <f>IF(M40&lt;&gt;"",IF(M40&lt;=K40,0,IF(M40&gt;=L40,D40,SQRT((M40-K40)/(L40-K40))*D40)),0)</f>
        <v>0.14526128299080407</v>
      </c>
      <c r="U40" s="41">
        <f>IF(Q40&lt;&gt;"",IF(Q40&lt;=O40,0,IF(Q40&gt;=P40,D40,SQRT((Q40-O40)/(P40-O40))*D40)),0)</f>
        <v>6.7949240041006123E-2</v>
      </c>
      <c r="V40" s="139">
        <f>(S40*Service_Weights!$E$9) + (T40*Service_Weights!$F$9) + (U40*Service_Weights!$G$9)</f>
        <v>7.0742964929445442</v>
      </c>
      <c r="AM40" s="247">
        <f>(S40*Service_Weights!$E$9)</f>
        <v>4.5157702165628217</v>
      </c>
      <c r="AN40" s="247">
        <f>(T40*Service_Weights!$F$9)</f>
        <v>1.7431353958896487</v>
      </c>
      <c r="AO40" s="247">
        <f xml:space="preserve"> (U40*Service_Weights!$G$9)</f>
        <v>0.81539088049207353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13878.067783404753</v>
      </c>
      <c r="J41" s="25"/>
      <c r="K41" s="22">
        <v>10000</v>
      </c>
      <c r="L41" s="31">
        <v>30000</v>
      </c>
      <c r="M41" s="64">
        <f>IFERROR( VLOOKUP($AZ$11,OBIEE_DATA!$A$1:$ZZ$999, $AX41,FALSE),I41)</f>
        <v>13210.595160235454</v>
      </c>
      <c r="N41" s="25"/>
      <c r="O41" s="22">
        <v>5000</v>
      </c>
      <c r="P41" s="31">
        <v>25000</v>
      </c>
      <c r="Q41" s="64">
        <f>IFERROR( VLOOKUP($AZ$12,OBIEE_DATA!$A$1:$ZZ$999, $AX41,FALSE),"")</f>
        <v>11492.619926199262</v>
      </c>
      <c r="S41" s="41">
        <f>IF(I41&lt;&gt;"",IF(I41&lt;=G41,0,IF(I41&gt;=H41,D41,SQRT((I41-G41)/(H41-G41))*D41)),0)</f>
        <v>3.5227570036684634E-2</v>
      </c>
      <c r="T41" s="41">
        <f>IF(M41&lt;&gt;"",IF(M41&lt;=K41,0,IF(M41&gt;=L41,D41,SQRT((M41-K41)/(L41-K41))*D41)),0)</f>
        <v>3.2052932023066867E-2</v>
      </c>
      <c r="U41" s="41">
        <f>IF(Q41&lt;&gt;"",IF(Q41&lt;=O41,0,IF(Q41&gt;=P41,D41,SQRT((Q41-O41)/(P41-O41))*D41)),0)</f>
        <v>4.5581118639012839E-2</v>
      </c>
      <c r="V41" s="139">
        <f>(S41*Service_Weights!$E$9) + (T41*Service_Weights!$F$9) + (U41*Service_Weights!$G$9)</f>
        <v>2.1998011292656034</v>
      </c>
      <c r="AM41" s="247">
        <f>(S41*Service_Weights!$E$9)</f>
        <v>1.2681925213206469</v>
      </c>
      <c r="AN41" s="247">
        <f>(T41*Service_Weights!$F$9)</f>
        <v>0.38463518427680243</v>
      </c>
      <c r="AO41" s="247">
        <f xml:space="preserve"> (U41*Service_Weights!$G$9)</f>
        <v>0.54697342366815405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0.86257073468327994</v>
      </c>
      <c r="T42" s="53">
        <f t="shared" ref="T42:U42" si="11">SUM(T38:T41)</f>
        <v>0.8815760623574459</v>
      </c>
      <c r="U42" s="53">
        <f t="shared" si="11"/>
        <v>0.74560277982012346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31.052546448598079</v>
      </c>
      <c r="T43" s="131">
        <f>T42*Service_Weights!F9</f>
        <v>10.578912748289351</v>
      </c>
      <c r="U43" s="131">
        <f>U42*Service_Weights!G9</f>
        <v>8.9472333578414815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99.782263692426383</v>
      </c>
      <c r="J46" s="25"/>
      <c r="K46" s="18">
        <v>87</v>
      </c>
      <c r="L46" s="30">
        <v>100</v>
      </c>
      <c r="M46" s="27">
        <f>IFERROR( VLOOKUP($AZ$11,OBIEE_DATA!$A$1:$ZZ$999, $AX46,FALSE),I46)</f>
        <v>99.793694796805767</v>
      </c>
      <c r="N46" s="25"/>
      <c r="O46" s="18">
        <v>80</v>
      </c>
      <c r="P46" s="30">
        <v>100</v>
      </c>
      <c r="Q46" s="27">
        <f>IFERROR( VLOOKUP($AZ$12,OBIEE_DATA!$A$1:$ZZ$999, $AX46,FALSE),"")</f>
        <v>98.462314091252836</v>
      </c>
      <c r="S46" s="41">
        <f>IF(I46&lt;&gt;"",IF(I46&lt;=(0.9*G46+0.1*H46),0.1*D46*I46/(0.9*G46+0.1*H46),IF(I46&gt;=H46,D46,(I46-G46)/(H46-G46)*D46)),0)</f>
        <v>0.58995063195814079</v>
      </c>
      <c r="T46" s="41">
        <f>IF(M46&lt;&gt;"",IF(M46&lt;=(0.9*K46+0.1*L46),0.1*D46*M46/(0.9*K46+0.1*L46),IF(M46&gt;=L46,D46,(M46-K46)/(L46-K46)*D46)),0)</f>
        <v>0.59047822139103534</v>
      </c>
      <c r="U46" s="41">
        <f>IF(Q46&lt;&gt;"",IF(Q46&lt;=(0.9*O46+0.1*P46),0.1*D46*Q46/(0.9*O46+0.1*P46),IF(Q46&gt;=P46,D46,(Q46-O46)/(P46-O46)*D46)),0)</f>
        <v>0.5538694227375851</v>
      </c>
      <c r="V46" s="139">
        <f>(S46*Service_Weights!$E$10) + (T46*Service_Weights!$F$10) + (U46*Service_Weights!$G$10)</f>
        <v>34.970394480036518</v>
      </c>
      <c r="AM46" s="247">
        <f>(S46*Service_Weights!$E$10)</f>
        <v>21.238222750493069</v>
      </c>
      <c r="AN46" s="247">
        <f>(T46*Service_Weights!$F$10)</f>
        <v>7.0857386566924241</v>
      </c>
      <c r="AO46" s="247">
        <f xml:space="preserve"> (U46*Service_Weights!$G$10)</f>
        <v>6.6464330728510213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36318.946761760177</v>
      </c>
      <c r="J47" s="25"/>
      <c r="K47" s="20">
        <v>7500</v>
      </c>
      <c r="L47" s="24">
        <v>80000</v>
      </c>
      <c r="M47" s="28">
        <f>IFERROR( VLOOKUP($AZ$11,OBIEE_DATA!$A$1:$ZZ$999, $AX47,FALSE),I47)</f>
        <v>42231.081225111731</v>
      </c>
      <c r="N47" s="25"/>
      <c r="O47" s="20">
        <v>4000</v>
      </c>
      <c r="P47" s="24">
        <v>50000</v>
      </c>
      <c r="Q47" s="28">
        <f>IFERROR( VLOOKUP($AZ$12,OBIEE_DATA!$A$1:$ZZ$999, $AX47,FALSE),"")</f>
        <v>20238.521124537478</v>
      </c>
      <c r="S47" s="41">
        <f>IF(I47&lt;&gt;"",IF(I47&lt;=G47,0,IF(I47&gt;=H47,D47,SQRT((I47-G47)/(H47-G47))*D47)),0)</f>
        <v>7.5657379553857818E-2</v>
      </c>
      <c r="T47" s="41">
        <f>IF(M47&lt;&gt;"",IF(M47&lt;=K47,0,IF(M47&gt;=L47,D47,SQRT((M47-K47)/(L47-K47))*D47)),0)</f>
        <v>8.30560732601867E-2</v>
      </c>
      <c r="U47" s="41">
        <f>IF(Q47&lt;&gt;"",IF(Q47&lt;=O47,0,IF(Q47&gt;=P47,D47,SQRT((Q47-O47)/(P47-O47))*D47)),0)</f>
        <v>7.129770777968826E-2</v>
      </c>
      <c r="V47" s="139">
        <f>(S47*Service_Weights!$E$10) + (T47*Service_Weights!$F$10) + (U47*Service_Weights!$G$10)</f>
        <v>4.5759110364173807</v>
      </c>
      <c r="AM47" s="247">
        <f>(S47*Service_Weights!$E$10)</f>
        <v>2.7236656639388812</v>
      </c>
      <c r="AN47" s="247">
        <f>(T47*Service_Weights!$F$10)</f>
        <v>0.99667287912224034</v>
      </c>
      <c r="AO47" s="247">
        <f xml:space="preserve"> (U47*Service_Weights!$G$10)</f>
        <v>0.85557249335625918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12882.189239332096</v>
      </c>
      <c r="J48" s="25"/>
      <c r="K48" s="20">
        <v>128</v>
      </c>
      <c r="L48" s="24">
        <v>35000</v>
      </c>
      <c r="M48" s="63">
        <f>IFERROR( VLOOKUP($AZ$11,OBIEE_DATA!$A$1:$ZZ$999, $AX48,FALSE),I48)</f>
        <v>16965.27777777777</v>
      </c>
      <c r="N48" s="25"/>
      <c r="O48" s="20">
        <v>128</v>
      </c>
      <c r="P48" s="24">
        <v>12000</v>
      </c>
      <c r="Q48" s="63">
        <f>IFERROR( VLOOKUP($AZ$12,OBIEE_DATA!$A$1:$ZZ$999, $AX48,FALSE),"")</f>
        <v>4438.6363636363631</v>
      </c>
      <c r="S48" s="41">
        <f>IF(I48&lt;&gt;"",IF(I48&lt;=G48,0,IF(I48&gt;=H48,D48,SQRT((I48-G48)/(H48-G48))*D48)),0)</f>
        <v>0.12095337633471717</v>
      </c>
      <c r="T48" s="41">
        <f>IF(M48&lt;&gt;"",IF(M48&lt;=K48,0,IF(M48&gt;=L48,D48,SQRT((M48-K48)/(L48-K48))*D48)),0)</f>
        <v>0.13897206349462585</v>
      </c>
      <c r="U48" s="41">
        <f>IF(Q48&lt;&gt;"",IF(Q48&lt;=O48,0,IF(Q48&gt;=P48,D48,SQRT((Q48-O48)/(P48-O48))*D48)),0)</f>
        <v>0.12051434530648548</v>
      </c>
      <c r="V48" s="139">
        <f>(S48*Service_Weights!$E$10) + (T48*Service_Weights!$F$10) + (U48*Service_Weights!$G$10)</f>
        <v>7.468158453663154</v>
      </c>
      <c r="AM48" s="247">
        <f>(S48*Service_Weights!$E$10)</f>
        <v>4.3543215480498185</v>
      </c>
      <c r="AN48" s="247">
        <f>(T48*Service_Weights!$F$10)</f>
        <v>1.6676647619355101</v>
      </c>
      <c r="AO48" s="247">
        <f xml:space="preserve"> (U48*Service_Weights!$G$10)</f>
        <v>1.4461721436778259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69403.030303030289</v>
      </c>
      <c r="J49" s="25"/>
      <c r="K49" s="22">
        <v>25000</v>
      </c>
      <c r="L49" s="31">
        <v>180000</v>
      </c>
      <c r="M49" s="64">
        <f>IFERROR( VLOOKUP($AZ$11,OBIEE_DATA!$A$1:$ZZ$999, $AX49,FALSE),I49)</f>
        <v>72825.174825174807</v>
      </c>
      <c r="N49" s="25"/>
      <c r="O49" s="22">
        <v>15000</v>
      </c>
      <c r="P49" s="31">
        <v>100000</v>
      </c>
      <c r="Q49" s="64">
        <f>IFERROR( VLOOKUP($AZ$12,OBIEE_DATA!$A$1:$ZZ$999, $AX49,FALSE),"")</f>
        <v>43959.183673469401</v>
      </c>
      <c r="S49" s="41">
        <f>IF(I49&lt;&gt;"",IF(I49&lt;=G49,0,IF(I49&gt;=H49,D49,SQRT((I49-G49)/(H49-G49))*D49)),0)</f>
        <v>4.2818400773152229E-2</v>
      </c>
      <c r="T49" s="41">
        <f>IF(M49&lt;&gt;"",IF(M49&lt;=K49,0,IF(M49&gt;=L49,D49,SQRT((M49-K49)/(L49-K49))*D49)),0)</f>
        <v>4.4437786803656384E-2</v>
      </c>
      <c r="U49" s="41">
        <f>IF(Q49&lt;&gt;"",IF(Q49&lt;=O49,0,IF(Q49&gt;=P49,D49,SQRT((Q49-O49)/(P49-O49))*D49)),0)</f>
        <v>4.6695355041727553E-2</v>
      </c>
      <c r="V49" s="139">
        <f>(S49*Service_Weights!$E$10) + (T49*Service_Weights!$F$10) + (U49*Service_Weights!$G$10)</f>
        <v>2.6350601299780876</v>
      </c>
      <c r="AM49" s="247">
        <f>(S49*Service_Weights!$E$10)</f>
        <v>1.5414624278334803</v>
      </c>
      <c r="AN49" s="247">
        <f>(T49*Service_Weights!$F$10)</f>
        <v>0.53325344164387656</v>
      </c>
      <c r="AO49" s="247">
        <f xml:space="preserve"> (U49*Service_Weights!$G$10)</f>
        <v>0.56034426050073061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0.82937978861986805</v>
      </c>
      <c r="T50" s="53">
        <f t="shared" ref="T50:U50" si="13">SUM(T46:T49)</f>
        <v>0.85694414494950433</v>
      </c>
      <c r="U50" s="53">
        <f t="shared" si="13"/>
        <v>0.79237683086548638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29.857672390315251</v>
      </c>
      <c r="T51" s="131">
        <f>T50*Service_Weights!F10</f>
        <v>10.283329739394052</v>
      </c>
      <c r="U51" s="131">
        <f>U50*Service_Weights!G10</f>
        <v>9.5085219703858357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99.663205401600408</v>
      </c>
      <c r="J54" s="25"/>
      <c r="K54" s="18">
        <v>87</v>
      </c>
      <c r="L54" s="30">
        <v>100</v>
      </c>
      <c r="M54" s="27">
        <f>IFERROR( VLOOKUP($AZ$11,OBIEE_DATA!$A$1:$ZZ$999, $AX54,FALSE),I54)</f>
        <v>99.880931956528599</v>
      </c>
      <c r="N54" s="25"/>
      <c r="O54" s="18">
        <v>80</v>
      </c>
      <c r="P54" s="30">
        <v>100</v>
      </c>
      <c r="Q54" s="27">
        <f>IFERROR( VLOOKUP($AZ$12,OBIEE_DATA!$A$1:$ZZ$999, $AX54,FALSE),"")</f>
        <v>97.406847935548839</v>
      </c>
      <c r="S54" s="41">
        <f>IF(I54&lt;&gt;"",IF(I54&lt;=(0.9*G54+0.1*H54),0.1*D54*I54/(0.9*G54+0.1*H54),IF(I54&gt;=H54,D54,(I54-G54)/(H54-G54)*D54)),0)</f>
        <v>0.58445563392001876</v>
      </c>
      <c r="T54" s="41">
        <f>IF(M54&lt;&gt;"",IF(M54&lt;=(0.9*K54+0.1*L54),0.1*D54*M54/(0.9*K54+0.1*L54),IF(M54&gt;=L54,D54,(M54-K54)/(L54-K54)*D54)),0)</f>
        <v>0.59450455183978146</v>
      </c>
      <c r="U54" s="41">
        <f>IF(Q54&lt;&gt;"",IF(Q54&lt;=(0.9*O54+0.1*P54),0.1*D54*Q54/(0.9*O54+0.1*P54),IF(Q54&gt;=P54,D54,(Q54-O54)/(P54-O54)*D54)),0)</f>
        <v>0.52220543806646513</v>
      </c>
      <c r="V54" s="139">
        <f>(S54*Service_Weights!$E$11) + (T54*Service_Weights!$F$11) + (U54*Service_Weights!$G$11)</f>
        <v>34.440922699995632</v>
      </c>
      <c r="AM54" s="247">
        <f>(S54*Service_Weights!$E$11)</f>
        <v>21.040402821120676</v>
      </c>
      <c r="AN54" s="247">
        <f>(T54*Service_Weights!$F$11)</f>
        <v>7.1340546220773771</v>
      </c>
      <c r="AO54" s="247">
        <f xml:space="preserve">  (U54*Service_Weights!$G$11)</f>
        <v>6.2664652567975816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19931.635877033488</v>
      </c>
      <c r="J55" s="25"/>
      <c r="K55" s="20">
        <v>4000</v>
      </c>
      <c r="L55" s="24">
        <v>35000</v>
      </c>
      <c r="M55" s="28">
        <f>IFERROR( VLOOKUP($AZ$11,OBIEE_DATA!$A$1:$ZZ$999, $AX55,FALSE),I55)</f>
        <v>23944.931794317865</v>
      </c>
      <c r="N55" s="25"/>
      <c r="O55" s="20">
        <v>1000</v>
      </c>
      <c r="P55" s="24">
        <v>25000</v>
      </c>
      <c r="Q55" s="28">
        <f>IFERROR( VLOOKUP($AZ$12,OBIEE_DATA!$A$1:$ZZ$999, $AX55,FALSE),"")</f>
        <v>9953.9060652447424</v>
      </c>
      <c r="S55" s="41">
        <f>IF(I55&lt;&gt;"",IF(I55&lt;=G55,0,IF(I55&gt;=H55,D55,SQRT((I55-G55)/(H55-G55))*D55)),0)</f>
        <v>8.6026169429720842E-2</v>
      </c>
      <c r="T55" s="41">
        <f>IF(M55&lt;&gt;"",IF(M55&lt;=K55,0,IF(M55&gt;=L55,D55,SQRT((M55-K55)/(L55-K55))*D55)),0)</f>
        <v>9.625353245938012E-2</v>
      </c>
      <c r="U55" s="41">
        <f>IF(Q55&lt;&gt;"",IF(Q55&lt;=O55,0,IF(Q55&gt;=P55,D55,SQRT((Q55-O55)/(P55-O55))*D55)),0)</f>
        <v>7.3296273023577704E-2</v>
      </c>
      <c r="V55" s="139">
        <f>(S55*Service_Weights!$E$11) + (T55*Service_Weights!$F$11) + (U55*Service_Weights!$G$11)</f>
        <v>5.131539765265444</v>
      </c>
      <c r="AM55" s="247">
        <f>(S55*Service_Weights!$E$11)</f>
        <v>3.0969420994699504</v>
      </c>
      <c r="AN55" s="247">
        <f>(T55*Service_Weights!$F$11)</f>
        <v>1.1550423895125614</v>
      </c>
      <c r="AO55" s="247">
        <f xml:space="preserve">  (U55*Service_Weights!$G$11)</f>
        <v>0.8795552762829324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6516.2037037037044</v>
      </c>
      <c r="J56" s="25"/>
      <c r="K56" s="20">
        <v>64</v>
      </c>
      <c r="L56" s="24">
        <v>10000</v>
      </c>
      <c r="M56" s="63">
        <f>IFERROR( VLOOKUP($AZ$11,OBIEE_DATA!$A$1:$ZZ$999, $AX56,FALSE),I56)</f>
        <v>7463.4146341463411</v>
      </c>
      <c r="N56" s="25"/>
      <c r="O56" s="20">
        <v>64</v>
      </c>
      <c r="P56" s="24">
        <v>5000</v>
      </c>
      <c r="Q56" s="63">
        <f>IFERROR( VLOOKUP($AZ$12,OBIEE_DATA!$A$1:$ZZ$999, $AX56,FALSE),"")</f>
        <v>1203.0472636815921</v>
      </c>
      <c r="S56" s="41">
        <f>IF(I56&lt;&gt;"",IF(I56&lt;=G56,0,IF(I56&gt;=H56,D56,SQRT((I56-G56)/(H56-G56))*D56)),0)</f>
        <v>0.16116778576343757</v>
      </c>
      <c r="T56" s="41">
        <f>IF(M56&lt;&gt;"",IF(M56&lt;=K56,0,IF(M56&gt;=L56,D56,SQRT((M56-K56)/(L56-K56))*D56)),0)</f>
        <v>0.17259288421061356</v>
      </c>
      <c r="U56" s="41">
        <f>IF(Q56&lt;&gt;"",IF(Q56&lt;=O56,0,IF(Q56&gt;=P56,D56,SQRT((Q56-O56)/(P56-O56))*D56)),0)</f>
        <v>9.6075641445192983E-2</v>
      </c>
      <c r="V56" s="139">
        <f>(S56*Service_Weights!$E$11) + (T56*Service_Weights!$F$11) + (U56*Service_Weights!$G$11)</f>
        <v>9.0260625953534301</v>
      </c>
      <c r="AM56" s="247">
        <f>(S56*Service_Weights!$E$11)</f>
        <v>5.8020402874837522</v>
      </c>
      <c r="AN56" s="247">
        <f>(T56*Service_Weights!$F$11)</f>
        <v>2.0711146105273626</v>
      </c>
      <c r="AO56" s="247">
        <f xml:space="preserve">  (U56*Service_Weights!$G$11)</f>
        <v>1.1529076973423158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35298.319327731093</v>
      </c>
      <c r="J57" s="25"/>
      <c r="K57" s="22">
        <v>15000</v>
      </c>
      <c r="L57" s="31">
        <v>50000</v>
      </c>
      <c r="M57" s="64">
        <f>IFERROR( VLOOKUP($AZ$11,OBIEE_DATA!$A$1:$ZZ$999, $AX57,FALSE),I57)</f>
        <v>37710.059171597619</v>
      </c>
      <c r="N57" s="25"/>
      <c r="O57" s="22">
        <v>6000</v>
      </c>
      <c r="P57" s="31">
        <v>45000</v>
      </c>
      <c r="Q57" s="64">
        <f>IFERROR( VLOOKUP($AZ$12,OBIEE_DATA!$A$1:$ZZ$999, $AX57,FALSE),"")</f>
        <v>23029.816513761467</v>
      </c>
      <c r="S57" s="41">
        <f>IF(I57&lt;&gt;"",IF(I57&lt;=G57,0,IF(I57&gt;=H57,D57,SQRT((I57-G57)/(H57-G57))*D57)),0)</f>
        <v>6.092366270235916E-2</v>
      </c>
      <c r="T57" s="41">
        <f>IF(M57&lt;&gt;"",IF(M57&lt;=K57,0,IF(M57&gt;=L57,D57,SQRT((M57-K57)/(L57-K57))*D57)),0)</f>
        <v>6.444141939959884E-2</v>
      </c>
      <c r="U57" s="41">
        <f>IF(Q57&lt;&gt;"",IF(Q57&lt;=O57,0,IF(Q57&gt;=P57,D57,SQRT((Q57-O57)/(P57-O57))*D57)),0)</f>
        <v>5.2864322147403407E-2</v>
      </c>
      <c r="V57" s="139">
        <f>(S57*Service_Weights!$E$11) + (T57*Service_Weights!$F$11) + (U57*Service_Weights!$G$11)</f>
        <v>3.6009207558489567</v>
      </c>
      <c r="AM57" s="247">
        <f>(S57*Service_Weights!$E$11)</f>
        <v>2.1932518572849298</v>
      </c>
      <c r="AN57" s="247">
        <f>(T57*Service_Weights!$F$11)</f>
        <v>0.77329703279518602</v>
      </c>
      <c r="AO57" s="247">
        <f xml:space="preserve">  (U57*Service_Weights!$G$11)</f>
        <v>0.63437186576884086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0.89257325181553637</v>
      </c>
      <c r="T58" s="53">
        <f t="shared" ref="T58:U58" si="15">SUM(T54:T57)</f>
        <v>0.92779238790937402</v>
      </c>
      <c r="U58" s="53">
        <f t="shared" si="15"/>
        <v>0.74444167468263922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32.132637065359312</v>
      </c>
      <c r="T59" s="131">
        <f>T58*Service_Weights!F11</f>
        <v>11.133508654912488</v>
      </c>
      <c r="U59" s="131">
        <f>U58*Service_Weights!G11</f>
        <v>8.9333000961916706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19">
        <v>100</v>
      </c>
      <c r="I62" s="65">
        <f>IFERROR( VLOOKUP($AZ$10,OBIEE_DATA!$A$1:$ZZ$999, $AX62,FALSE),"")</f>
        <v>99.749988605982182</v>
      </c>
      <c r="J62" s="25"/>
      <c r="K62" s="18">
        <v>85</v>
      </c>
      <c r="L62" s="19">
        <v>100</v>
      </c>
      <c r="M62" s="65">
        <f>IFERROR( VLOOKUP($AZ$11,OBIEE_DATA!$A$1:$ZZ$999, $AX62,FALSE),I62)</f>
        <v>99.460622174183072</v>
      </c>
      <c r="N62" s="25"/>
      <c r="O62" s="18">
        <v>75</v>
      </c>
      <c r="P62" s="19">
        <v>100</v>
      </c>
      <c r="Q62" s="65">
        <f>IFERROR( VLOOKUP($AZ$12,OBIEE_DATA!$A$1:$ZZ$999, $AX62,FALSE),"")</f>
        <v>96.577180965809461</v>
      </c>
      <c r="S62" s="41">
        <f>IF(I62&lt;&gt;"",IF(I62&lt;=(0.9*G62+0.1*H62),0.1*D62*I62/(0.9*G62+0.1*H62),IF(I62&gt;=H62,D62,(I62-G62)/(H62-G62)*D62)),0)</f>
        <v>0.54083291555267998</v>
      </c>
      <c r="T62" s="41">
        <f>IF(M62&lt;&gt;"",IF(M62&lt;=(0.9*K62+0.1*L62),0.1*D62*M62/(0.9*K62+0.1*L62),IF(M62&gt;=L62,D62,(M62-K62)/(L62-K62)*D62)),0)</f>
        <v>0.53022281305337937</v>
      </c>
      <c r="U62" s="41">
        <f>IF(Q62&lt;&gt;"",IF(Q62&lt;=(0.9*O62+0.1*P62),0.1*D62*Q62/(0.9*O62+0.1*P62),IF(Q62&gt;=P62,D62,(Q62-O62)/(P62-O62)*D62)),0)</f>
        <v>0.47469798124780821</v>
      </c>
      <c r="V62" s="139">
        <f>(S62*Service_Weights!$E$12) + (T62*Service_Weights!$F$12) + (U62*Service_Weights!$G$12)</f>
        <v>78.822586228776828</v>
      </c>
      <c r="AM62" s="247">
        <f>(S62*Service_Weights!$E$12)</f>
        <v>48.674962399741197</v>
      </c>
      <c r="AN62" s="247">
        <f xml:space="preserve"> (T62*Service_Weights!$F$12)</f>
        <v>15.906684391601381</v>
      </c>
      <c r="AO62" s="247">
        <f xml:space="preserve"> (U62*Service_Weights!$G$12)</f>
        <v>14.240939437434246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1">
        <v>4.5</v>
      </c>
      <c r="I63" s="63">
        <f>IFERROR( VLOOKUP($AZ$10,OBIEE_DATA!$A$1:$ZZ$999, $AX63,FALSE),"")</f>
        <v>1.0266409251178767</v>
      </c>
      <c r="J63" s="25"/>
      <c r="K63" s="20">
        <v>1</v>
      </c>
      <c r="L63" s="21">
        <v>4.5</v>
      </c>
      <c r="M63" s="63">
        <f>IFERROR( VLOOKUP($AZ$11,OBIEE_DATA!$A$1:$ZZ$999, $AX63,FALSE),I63)</f>
        <v>1.0937042938492814</v>
      </c>
      <c r="N63" s="25"/>
      <c r="O63" s="20">
        <v>1.5</v>
      </c>
      <c r="P63" s="21">
        <v>5</v>
      </c>
      <c r="Q63" s="63">
        <f>IFERROR( VLOOKUP($AZ$12,OBIEE_DATA!$A$1:$ZZ$999, $AX63,FALSE),"")</f>
        <v>1.2286604111245387</v>
      </c>
      <c r="S63" s="41">
        <f>IF(AND(I63&lt;&gt;"",I63&lt;&gt;0),IF(I63&lt;=G63,D63,IF(I63&gt;=H63,0,D63-(I63-G63)/(H63-G63)*D63)),0)</f>
        <v>4.9619415355458905E-2</v>
      </c>
      <c r="T63" s="41">
        <f>IF(AND(M63&lt;&gt;"",M63&lt;&gt;0),IF(M63&lt;=K63,D63,IF(M63&gt;=L63,0,D63-(M63-K63)/(L63-K63)*D63)),0)</f>
        <v>4.8661367230724555E-2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7.425588398913038</v>
      </c>
      <c r="AM63" s="247">
        <f>(S63*Service_Weights!$E$12)</f>
        <v>4.4657473819913012</v>
      </c>
      <c r="AN63" s="247">
        <f xml:space="preserve"> (T63*Service_Weights!$F$12)</f>
        <v>1.4598410169217366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1">
        <v>100</v>
      </c>
      <c r="I64" s="63">
        <f>IFERROR( VLOOKUP($AZ$10,OBIEE_DATA!$A$1:$ZZ$999, $AX64,FALSE),"")</f>
        <v>99.704389466801217</v>
      </c>
      <c r="J64" s="25"/>
      <c r="K64" s="20">
        <v>90</v>
      </c>
      <c r="L64" s="21">
        <v>100</v>
      </c>
      <c r="M64" s="63">
        <f>IFERROR( VLOOKUP($AZ$11,OBIEE_DATA!$A$1:$ZZ$999, $AX64,FALSE),I64)</f>
        <v>99.826400421037008</v>
      </c>
      <c r="N64" s="25"/>
      <c r="O64" s="20">
        <v>80</v>
      </c>
      <c r="P64" s="21">
        <v>100</v>
      </c>
      <c r="Q64" s="63">
        <f>IFERROR( VLOOKUP($AZ$12,OBIEE_DATA!$A$1:$ZZ$999, $AX64,FALSE),"")</f>
        <v>98.746509729432091</v>
      </c>
      <c r="S64" s="272">
        <f>IF(OR(I64&lt;=G64,I64=""),0,IF(I64&gt;=H64,D64,(I64-G64)/(H64-G64)*D64))</f>
        <v>0.14556584200201825</v>
      </c>
      <c r="T64" s="272">
        <f>IF(OR(M64&lt;=K64,M64=""),0,IF(M64&gt;=L64,D64,(M64-K64)/(L64-K64)*D64))</f>
        <v>0.14739600631555511</v>
      </c>
      <c r="U64" s="272">
        <f>IF(OR(Q64&lt;=O64,Q64=""),0,IF(Q64&gt;=P64,D64,(Q64-O64)/(P64-O64)*D64))</f>
        <v>0.14059882297074067</v>
      </c>
      <c r="V64" s="139">
        <f>(S64*Service_Weights!$E$12) + (T64*Service_Weights!$F$12) + (U64*Service_Weights!$G$12)</f>
        <v>21.740770658770515</v>
      </c>
      <c r="AM64" s="247">
        <f>(S64*Service_Weights!$E$12)</f>
        <v>13.100925780181642</v>
      </c>
      <c r="AN64" s="247">
        <f xml:space="preserve"> (T64*Service_Weights!$F$12)</f>
        <v>4.4218801894666528</v>
      </c>
      <c r="AO64" s="247">
        <f xml:space="preserve"> (U64*Service_Weights!$G$12)</f>
        <v>4.21796468912222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248">
        <v>690</v>
      </c>
      <c r="I65" s="64">
        <f>IFERROR( VLOOKUP($AZ$10,OBIEE_DATA!$A$1:$ZZ$999, $AX65,FALSE),"")</f>
        <v>632.92374421733484</v>
      </c>
      <c r="J65" s="25"/>
      <c r="K65" s="22">
        <v>360</v>
      </c>
      <c r="L65" s="248">
        <v>690</v>
      </c>
      <c r="M65" s="64">
        <f>IFERROR( VLOOKUP($AZ$11,OBIEE_DATA!$A$1:$ZZ$999, $AX65,FALSE),I65)</f>
        <v>654.33908583292566</v>
      </c>
      <c r="N65" s="25"/>
      <c r="O65" s="22">
        <v>360</v>
      </c>
      <c r="P65" s="248">
        <v>690</v>
      </c>
      <c r="Q65" s="64">
        <f>IFERROR( VLOOKUP($AZ$12,OBIEE_DATA!$A$1:$ZZ$999, $AX65,FALSE),"")</f>
        <v>571.85714285714289</v>
      </c>
      <c r="S65" s="272">
        <f t="shared" ref="S65" si="16">IF(OR(I65&lt;=G65,I65=""),0,IF(I65&gt;=H65,D65,(I65-G65)/(H65-G65)*D65))</f>
        <v>0.20676041228585973</v>
      </c>
      <c r="T65" s="272">
        <f t="shared" ref="T65" si="17">IF(OR(M65&lt;=K65,M65=""),0,IF(M65&gt;=L65,D65,(M65-K65)/(L65-K65)*D65))</f>
        <v>0.22298415593403459</v>
      </c>
      <c r="U65" s="272">
        <f t="shared" ref="U65" si="18">IF(OR(Q65&lt;=O65,Q65=""),0,IF(Q65&gt;=P65,D65,(Q65-O65)/(P65-O65)*D65))</f>
        <v>0.16049783549783553</v>
      </c>
      <c r="V65" s="139">
        <f>(S65*Service_Weights!$E$12) + (T65*Service_Weights!$F$12) + (U65*Service_Weights!$G$12)</f>
        <v>30.112896848683476</v>
      </c>
      <c r="AM65" s="247">
        <f>(S65*Service_Weights!$E$12)</f>
        <v>18.608437105727376</v>
      </c>
      <c r="AN65" s="247">
        <f xml:space="preserve"> (T65*Service_Weights!$F$12)</f>
        <v>6.689524678021038</v>
      </c>
      <c r="AO65" s="247">
        <f xml:space="preserve"> (U65*Service_Weights!$G$12)</f>
        <v>4.8149350649350655</v>
      </c>
      <c r="AX65">
        <v>29</v>
      </c>
    </row>
    <row r="66" spans="1:50" x14ac:dyDescent="0.25">
      <c r="R66" t="s">
        <v>42</v>
      </c>
      <c r="S66" s="53">
        <f>SUM(S62:S65)</f>
        <v>0.94277858519601687</v>
      </c>
      <c r="T66" s="53">
        <f>SUM(T62:T65)</f>
        <v>0.94926434253369374</v>
      </c>
      <c r="U66" s="53">
        <f>SUM(U62:U65)</f>
        <v>0.82579463971638445</v>
      </c>
    </row>
    <row r="67" spans="1:50" x14ac:dyDescent="0.25">
      <c r="R67" t="s">
        <v>483</v>
      </c>
      <c r="S67" s="131">
        <f>S66*Service_Weights!E12</f>
        <v>84.850072667641513</v>
      </c>
      <c r="T67" s="131">
        <f>T66*Service_Weights!F12</f>
        <v>28.477930276010813</v>
      </c>
      <c r="U67" s="131">
        <f>U66*Service_Weights!G12</f>
        <v>24.773839191491533</v>
      </c>
    </row>
    <row r="69" spans="1:50" ht="45" x14ac:dyDescent="0.25">
      <c r="R69" s="129" t="s">
        <v>484</v>
      </c>
      <c r="S69" s="132">
        <f>S67+S59+S51+S43+S35+S27+S20</f>
        <v>323.09755697258987</v>
      </c>
      <c r="T69" s="132">
        <f>T67+T59+T51+T43+T35+T27+T20</f>
        <v>109.05093795361027</v>
      </c>
      <c r="U69" s="132">
        <f>U67+U59+U51+U43+U35+U27+U20</f>
        <v>94.808538493680999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5.7109375" customWidth="1"/>
    <col min="53" max="55" width="1.5703125" customWidth="1"/>
    <col min="56" max="56" width="30.140625" customWidth="1"/>
    <col min="57" max="59" width="11.42578125" customWidth="1"/>
    <col min="60" max="60" width="30.140625" customWidth="1"/>
    <col min="61" max="63" width="11.42578125" customWidth="1"/>
    <col min="64" max="64" width="30.14062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3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98.970538991473347</v>
      </c>
      <c r="K6" s="18">
        <v>87</v>
      </c>
      <c r="L6" s="19">
        <v>100</v>
      </c>
      <c r="M6" s="27">
        <f>IFERROR(IF($AZ$7="AVG",BI6,VLOOKUP($AZ$7,OBIEE_VOICE!$A$1:$ZZ$999,$AX6,FALSE)),I6)</f>
        <v>98.83321179566741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91.888866273152871</v>
      </c>
      <c r="S6" s="41">
        <f>IF(I6&lt;&gt;"",IF(I6&lt;=(0.9*G6+0.1*H6),0.1*D6*I6/(0.9*G6+0.1*H6),IF(I6&gt;=H6,D6,(I6-G6)/(H6-G6)*D6)),0)</f>
        <v>0.64456748415625709</v>
      </c>
      <c r="T6" s="41">
        <f>IF(M6&lt;&gt;"",IF(M6&lt;=(0.9*K6+0.1*L6),0.1*D6*M6/(0.9*K6+0.1*L6),IF(M6&gt;=L6,D6,(M6-K6)/(L6-K6)*D6)),0)</f>
        <v>0.63717294284362969</v>
      </c>
      <c r="U6" s="41">
        <f>IF(Q6&lt;&gt;"",IF(Q6&lt;=(0.9*O6+0.1*P6),0.1*D6*Q6/(0.9*O6+0.1*P6),IF(Q6&gt;=P6,D6,(Q6-O6)/(P6-O6)*D6)),0)</f>
        <v>0.41611031956035049</v>
      </c>
      <c r="V6" s="139">
        <f>(S6*Service_Weights!$E$2) + (T6*Service_Weights!$F$2) + (U6*Service_Weights!$G$2)</f>
        <v>238.95885718982012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154.69619619750171</v>
      </c>
      <c r="AN6" s="247">
        <f>(T6*Service_Weights!$F$2)</f>
        <v>50.973835427490371</v>
      </c>
      <c r="AO6" s="247">
        <f xml:space="preserve"> (U6*Service_Weights!$G$2)</f>
        <v>33.288825564828038</v>
      </c>
      <c r="AX6">
        <v>2</v>
      </c>
      <c r="AZ6" t="str">
        <f>CONFIG!D20</f>
        <v>VF-ES_ORANGE_MAIN CITIES_4G</v>
      </c>
      <c r="BD6" s="34" t="str">
        <f>CONFIG!D21</f>
        <v>VF-ES_ORANGE_MAIN CITIES_</v>
      </c>
      <c r="BE6" s="10">
        <f>AVERAGE(BF6,BG6)</f>
        <v>98.426148996030875</v>
      </c>
      <c r="BF6" s="10">
        <f>IFERROR(IFERROR(VLOOKUP(CONCATENATE($BD$6,$BF$4),OBIEE_VOICE!$A$1:$ZZ$999, $AX6,FALSE),VLOOKUP(CONCATENATE($BD$6,"4G"),OBIEE_VOICE!$A$1:$ZZ$999, $AX6,FALSE)),"")</f>
        <v>98.970538991473347</v>
      </c>
      <c r="BG6" s="9">
        <f>IFERROR(VLOOKUP(CONCATENATE($BD$6,"3G+4G"),OBIEE_VOICE!$A$1:$ZZ$999, $AX6,FALSE),"")</f>
        <v>97.881759000588403</v>
      </c>
      <c r="BH6" s="34" t="str">
        <f>CONFIG!D23</f>
        <v>VF-ES_ORANGE_SMALLER CITIES_</v>
      </c>
      <c r="BI6" s="10">
        <f>AVERAGE(BJ6,BK6)</f>
        <v>98.566133370181419</v>
      </c>
      <c r="BJ6" s="10">
        <f>IFERROR(IFERROR(VLOOKUP(CONCATENATE($BH$6,$BJ$4),OBIEE_VOICE!$A$1:$ZZ$999, $AX6,FALSE),VLOOKUP(CONCATENATE($BH$6,"4G"),OBIEE_VOICE!$A$1:$ZZ$999, $AX6,FALSE)),"")</f>
        <v>98.83321179566741</v>
      </c>
      <c r="BK6" s="9">
        <f>IFERROR(VLOOKUP(CONCATENATE($BH$6,"3G+4G"),OBIEE_VOICE!$A$1:$ZZ$999, $AX6,FALSE),"")</f>
        <v>98.299054944695428</v>
      </c>
      <c r="BL6" s="34" t="str">
        <f>CONFIG!D25</f>
        <v>VF-ES_ORANGE_MAIN HIGHWAYS_</v>
      </c>
      <c r="BM6" s="10">
        <f>AVERAGE(BN6,BO6)</f>
        <v>91.888866273152871</v>
      </c>
      <c r="BN6" s="10">
        <f>IFERROR(IFERROR(VLOOKUP(CONCATENATE($BL$6,$BN$4),OBIEE_VOICE!$A$1:$ZZ$999, $AX6,FALSE),VLOOKUP(CONCATENATE($BL$6,"4G"),OBIEE_VOICE!$A$1:$ZZ$999, $AX6,FALSE)),"")</f>
        <v>91.888866273152871</v>
      </c>
      <c r="BO6" s="9">
        <f>IFERROR(VLOOKUP(CONCATENATE($BL$6,"3G+4G"),OBIEE_VOICE!$A$1:$ZZ$999, $AX6,FALSE),"")</f>
        <v>91.888866273152871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6.9653014610005792</v>
      </c>
      <c r="K7" s="20">
        <v>3.5</v>
      </c>
      <c r="L7" s="21">
        <v>10</v>
      </c>
      <c r="M7" s="28">
        <f>IFERROR(IF($AZ$7="AVG",BI7,VLOOKUP($AZ$7,OBIEE_VOICE!$A$1:$ZZ$999,$AX7,FALSE)),I7)</f>
        <v>6.2258744634387435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6.6728196553515717</v>
      </c>
      <c r="S7" s="41">
        <f>IF(AND(I7&lt;&gt;"",I7&lt;&gt;0),IF(I7&lt;=G7,D7,IF(I7&gt;=H7,0,D7-(I7-G7)/(H7-G7)*D7)),0)</f>
        <v>7.0031504746140463E-2</v>
      </c>
      <c r="T7" s="41">
        <f>IF(AND(M7&lt;&gt;"",M7&lt;&gt;0),IF(M7&lt;=K7,D7,IF(M7&gt;=L7,0,D7-(M7-K7)/(L7-K7)*D7)),0)</f>
        <v>8.7095204689875153E-2</v>
      </c>
      <c r="U7" s="41">
        <f>IF(AND(Q7&lt;&gt;"",Q7&lt;&gt;0),IF(Q7&lt;=O7,D7,IF(Q7&gt;=P7,0,D7-(Q7-O7)/(P7-O7)*D7)),0)</f>
        <v>7.678108487650219E-2</v>
      </c>
      <c r="V7" s="139">
        <f>(S7*Service_Weights!$E$2) + (T7*Service_Weights!$F$2) + (U7*Service_Weights!$G$2)</f>
        <v>29.917664304383898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16.807561139073712</v>
      </c>
      <c r="AN7" s="247">
        <f>(T7*Service_Weights!$F$2)</f>
        <v>6.967616375190012</v>
      </c>
      <c r="AO7" s="247">
        <f>(U7*Service_Weights!$G$2)</f>
        <v>6.1424867901201754</v>
      </c>
      <c r="AX7">
        <f>AX6+1</f>
        <v>3</v>
      </c>
      <c r="AZ7" t="str">
        <f>CONFIG!D22</f>
        <v>VF-ES_ORANGE_SMALLER CITIES_4G</v>
      </c>
      <c r="BD7" s="34"/>
      <c r="BE7" s="10">
        <f t="shared" ref="BE7:BE8" si="2">AVERAGE(BF7,BG7)</f>
        <v>6.5386621813940842</v>
      </c>
      <c r="BF7" s="10">
        <f>IFERROR(IFERROR(VLOOKUP(CONCATENATE($BD$6,$BF$4),OBIEE_VOICE!$A$1:$ZZ$999, $AX7,FALSE),VLOOKUP(CONCATENATE($BD$6,"4G"),OBIEE_VOICE!$A$1:$ZZ$999, $AX7,FALSE)),"")</f>
        <v>6.9653014610005792</v>
      </c>
      <c r="BG7" s="9">
        <f>IFERROR(VLOOKUP(CONCATENATE($BD$6,"3G+4G"),OBIEE_VOICE!$A$1:$ZZ$999, $AX7,FALSE),"")</f>
        <v>6.11202290178759</v>
      </c>
      <c r="BH7" s="34"/>
      <c r="BI7" s="10">
        <f t="shared" ref="BI7:BI8" si="3">AVERAGE(BJ7,BK7)</f>
        <v>5.9264241339704284</v>
      </c>
      <c r="BJ7" s="10">
        <f>IFERROR(IFERROR(VLOOKUP(CONCATENATE($BH$6,$BJ$4),OBIEE_VOICE!$A$1:$ZZ$999, $AX7,FALSE),VLOOKUP(CONCATENATE($BH$6,"4G"),OBIEE_VOICE!$A$1:$ZZ$999, $AX7,FALSE)),"")</f>
        <v>6.2258744634387435</v>
      </c>
      <c r="BK7" s="9">
        <f>IFERROR(VLOOKUP(CONCATENATE($BH$6,"3G+4G"),OBIEE_VOICE!$A$1:$ZZ$999, $AX7,FALSE),"")</f>
        <v>5.6269738045021125</v>
      </c>
      <c r="BL7" s="34"/>
      <c r="BM7" s="10">
        <f t="shared" ref="BM7:BM8" si="4">AVERAGE(BN7,BO7)</f>
        <v>6.6728196553515717</v>
      </c>
      <c r="BN7" s="10">
        <f>IFERROR(IFERROR(VLOOKUP(CONCATENATE($BL$6,$BN$4),OBIEE_VOICE!$A$1:$ZZ$999, $AX7,FALSE),VLOOKUP(CONCATENATE($BL$6,"4G"),OBIEE_VOICE!$A$1:$ZZ$999, $AX7,FALSE)),"")</f>
        <v>6.6728196553515717</v>
      </c>
      <c r="BO7" s="9">
        <f>IFERROR(VLOOKUP(CONCATENATE($BL$6,"3G+4G"),OBIEE_VOICE!$A$1:$ZZ$999, $AX7,FALSE),"")</f>
        <v>6.6728196553515717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3.4954802275326449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3.5469552707121741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3.4909284211839386</v>
      </c>
      <c r="S8" s="41">
        <f>IF(I8&lt;&gt;"",IF(I8&lt;=G8,0,IF(I8&gt;=H8,D8,SQRT((I8-G8)/(H8-G8))*D8)),0)</f>
        <v>0.12385965130251789</v>
      </c>
      <c r="T8" s="41">
        <f>IF(M8&lt;&gt;"",IF(M8&lt;=K8,0,IF(M8&gt;=L8,D8,SQRT((M8-K8)/(L8-K8))*D8)),0)</f>
        <v>0.12629642156664181</v>
      </c>
      <c r="U8" s="41">
        <f>IF(Q8&lt;&gt;"",IF(Q8&lt;=O8,0,IF(Q8&gt;=P8,D8,SQRT((Q8-O8)/(P8-O8))*D8)),0)</f>
        <v>0.12364186285745793</v>
      </c>
      <c r="V8" s="139">
        <f>(S8*Service_Weights!$E$2) + (T8*Service_Weights!$F$2) + (U8*Service_Weights!$G$2)</f>
        <v>49.721379066532272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29.726316312604293</v>
      </c>
      <c r="AN8" s="247">
        <f>(T8*Service_Weights!$F$2)</f>
        <v>10.103713725331344</v>
      </c>
      <c r="AO8" s="247">
        <f>(U8*Service_Weights!$G$2)</f>
        <v>9.8913490285966343</v>
      </c>
      <c r="AX8">
        <f>AX7+1</f>
        <v>4</v>
      </c>
      <c r="AZ8" t="str">
        <f>CONFIG!D24</f>
        <v>VF-ES_ORANGE_MAIN HIGHWAYS_4G</v>
      </c>
      <c r="BD8" s="37"/>
      <c r="BE8" s="38">
        <f t="shared" si="2"/>
        <v>3.5262570600648471</v>
      </c>
      <c r="BF8" s="38">
        <f>IFERROR(IFERROR(VLOOKUP(CONCATENATE($BD$6,$BF$4),OBIEE_VOICE!$A$1:$ZZ$999, $AX8,FALSE),VLOOKUP(CONCATENATE($BD$6,"4G"),OBIEE_VOICE!$A$1:$ZZ$999, $AX8,FALSE)),"")</f>
        <v>3.4954802275326449</v>
      </c>
      <c r="BG8" s="39">
        <f>IFERROR(VLOOKUP(CONCATENATE($BD$6,"3G+4G"),OBIEE_VOICE!$A$1:$ZZ$999, $AX8,FALSE),"")</f>
        <v>3.5570338925970493</v>
      </c>
      <c r="BH8" s="37"/>
      <c r="BI8" s="38">
        <f t="shared" si="3"/>
        <v>3.5637139064867647</v>
      </c>
      <c r="BJ8" s="38">
        <f>IFERROR(IFERROR(VLOOKUP(CONCATENATE($BH$6,$BJ$4),OBIEE_VOICE!$A$1:$ZZ$999, $AX8,FALSE),VLOOKUP(CONCATENATE($BH$6,"4G"),OBIEE_VOICE!$A$1:$ZZ$999, $AX8,FALSE)),"")</f>
        <v>3.5469552707121741</v>
      </c>
      <c r="BK8" s="39">
        <f>IFERROR(VLOOKUP(CONCATENATE($BH$6,"3G+4G"),OBIEE_VOICE!$A$1:$ZZ$999, $AX8,FALSE),"")</f>
        <v>3.5804725422613553</v>
      </c>
      <c r="BL8" s="37"/>
      <c r="BM8" s="38">
        <f t="shared" si="4"/>
        <v>3.4909284211839386</v>
      </c>
      <c r="BN8" s="38">
        <f>IFERROR(IFERROR(VLOOKUP(CONCATENATE($BL$6,$BN$4),OBIEE_VOICE!$A$1:$ZZ$999, $AX8,FALSE),VLOOKUP(CONCATENATE($BL$6,"4G"),OBIEE_VOICE!$A$1:$ZZ$999, $AX8,FALSE)),"")</f>
        <v>3.4909284211839386</v>
      </c>
      <c r="BO8" s="39">
        <f>IFERROR(VLOOKUP(CONCATENATE($BL$6,"3G+4G"),OBIEE_VOICE!$A$1:$ZZ$999, $AX8,FALSE),"")</f>
        <v>3.4909284211839386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0.83845864020491545</v>
      </c>
      <c r="T10" s="53">
        <f t="shared" ref="T10:U10" si="5">SUM(T6:T9)</f>
        <v>0.85056456910014666</v>
      </c>
      <c r="U10" s="53">
        <f t="shared" si="5"/>
        <v>0.61653326729431068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CONFIG!D28</f>
        <v>VF-ES_ORANGE_MAIN CITIES_4G</v>
      </c>
    </row>
    <row r="11" spans="1:67" x14ac:dyDescent="0.25">
      <c r="D11" s="1"/>
      <c r="R11" t="s">
        <v>483</v>
      </c>
      <c r="S11" s="131">
        <f>S10*Service_Weights!E2</f>
        <v>201.2300736491797</v>
      </c>
      <c r="T11" s="131">
        <f>T10*Service_Weights!F2</f>
        <v>68.045165528011736</v>
      </c>
      <c r="U11" s="131">
        <f>U10*Service_Weights!G2</f>
        <v>49.322661383544855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CONFIG!D30</f>
        <v>VF-ES_ORANGE_SMALLER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CONFIG!D32</f>
        <v>VF-ES_ORANGE_MAIN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CONFIG!D34</f>
        <v>VF-ES_ORANGE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99.468519064613929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99.25664256571433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95.043443917851505</v>
      </c>
      <c r="S17" s="41">
        <f>IF(I7&lt;&gt;"",IF(I17&lt;=(0.9*G17+0.1*H17),0.1*D17*I17/(0.9*G17+0.1*H17),IF(I17&gt;=H17,D17,(I17-G17)/(H17-G17)*D17)),0)</f>
        <v>0.57547011067448894</v>
      </c>
      <c r="T17" s="41">
        <f>IF(M17&lt;&gt;"",IF(M17&lt;=(0.9*K17+0.1*L17),0.1*D17*M17/(0.9*K17+0.1*L17),IF(M17&gt;=L17,D17,(M17-K17)/(L17-K17)*D17)),0)</f>
        <v>0.56569119534066137</v>
      </c>
      <c r="U17" s="41">
        <f>IF(Q17&lt;&gt;"",IF(Q17&lt;=(0.9*O17+0.1*P17),0.1*D17*Q17/(0.9*O17+0.1*P17),IF(Q17&gt;=P17,D17,(Q17-O17)/(P17-O17)*D17)),0)</f>
        <v>0.45130331753554509</v>
      </c>
      <c r="V17" s="139">
        <f>(S17*Service_Weights!$E$7) + (T17*Service_Weights!$F$7) + (U17*Service_Weights!$G$7)</f>
        <v>82.302145346990201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51.792309960704003</v>
      </c>
      <c r="AN17" s="247">
        <f xml:space="preserve"> (T17*Service_Weights!$F$7)</f>
        <v>16.97073586021984</v>
      </c>
      <c r="AO17" s="247">
        <f>(U17*Service_Weights!$G$7)</f>
        <v>13.539099526066353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2.5556391941407344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2.6334473079128689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3.2425417719570677</v>
      </c>
      <c r="S18" s="41">
        <f>IF(AND(I18&lt;&gt;"",I18&lt;&gt;0),IF(I18&lt;=G18,D18,IF(I18&gt;=H18,0,D18-(I18-G18)/(H18-G18)*D18)),0)</f>
        <v>0.33086048026041182</v>
      </c>
      <c r="T18" s="41">
        <f>IF(AND(M18&lt;&gt;"",M18&lt;&gt;0),IF(M18&lt;=K18,D18,IF(M18&gt;=L18,0,D18-(M18-K18)/(L18-K18)*D18)),0)</f>
        <v>0.32740234187053918</v>
      </c>
      <c r="U18" s="41">
        <f>IF(AND(Q18&lt;&gt;"",Q18&lt;&gt;0),IF(Q18&lt;=O18,D18,IF(Q18&gt;=P18,0,D18-(Q18-O18)/(P18-O18)*D18)),0)</f>
        <v>0.31799803426084389</v>
      </c>
      <c r="V18" s="139">
        <f>(S18*Service_Weights!$E$7) + (T18*Service_Weights!$F$7) + (U18*Service_Weights!$G$7)</f>
        <v>49.139454507378552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29.777443223437064</v>
      </c>
      <c r="AN18" s="247">
        <f>(T18*Service_Weights!$F$7)</f>
        <v>9.8220702561161755</v>
      </c>
      <c r="AO18" s="247">
        <f xml:space="preserve"> (U18*Service_Weights!$G$7)</f>
        <v>9.5399410278253161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0.90633059093490076</v>
      </c>
      <c r="T19" s="53">
        <f t="shared" ref="T19:U19" si="7">SUM(T17:T18)</f>
        <v>0.89309353721120055</v>
      </c>
      <c r="U19" s="53">
        <f t="shared" si="7"/>
        <v>0.76930135179638892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81.569753184141064</v>
      </c>
      <c r="T20" s="131">
        <f>T19*Service_Weights!F7</f>
        <v>26.792806116336017</v>
      </c>
      <c r="U20" s="131">
        <f>U19*Service_Weights!G7</f>
        <v>23.079040553891666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99.468519064613929</v>
      </c>
      <c r="J24" s="25"/>
      <c r="K24" s="18">
        <v>87</v>
      </c>
      <c r="L24" s="30">
        <v>100</v>
      </c>
      <c r="M24" s="27">
        <f>IFERROR( VLOOKUP($AZ$11,OBIEE_DATA!$A$1:$ZZ$999, $AX24,FALSE),I24)</f>
        <v>99.25664256571433</v>
      </c>
      <c r="N24" s="25"/>
      <c r="O24" s="18">
        <v>80</v>
      </c>
      <c r="P24" s="30">
        <v>100</v>
      </c>
      <c r="Q24" s="27">
        <f>IFERROR( VLOOKUP($AZ$12,OBIEE_DATA!$A$1:$ZZ$999, $AX24,FALSE),"")</f>
        <v>95.043443917851505</v>
      </c>
      <c r="S24" s="41">
        <f>IF(I24&lt;&gt;"",IF(I24&lt;=(0.9*G24+0.1*H24),0.1*D24*I24/(0.9*G24+0.1*H24),IF(I24&gt;=H24,D24,(I24-G24)/(H24-G24)*D24)),0)</f>
        <v>0.57547011067448894</v>
      </c>
      <c r="T24" s="41">
        <f>IF(M24&lt;&gt;"",IF(M24&lt;=(0.9*K24+0.1*L24),0.1*D24*M24/(0.9*K24+0.1*L24),IF(M24&gt;=L24,D24,(M24-K24)/(L24-K24)*D24)),0)</f>
        <v>0.56569119534066137</v>
      </c>
      <c r="U24" s="41">
        <f>IF(Q24&lt;&gt;"",IF(Q24&lt;=(0.9*O24+0.1*P24),0.1*D24*Q24/(0.9*O24+0.1*P24),IF(Q24&gt;=P24,D24,(Q24-O24)/(P24-O24)*D24)),0)</f>
        <v>0.45130331753554509</v>
      </c>
      <c r="V24" s="139">
        <f>(S24*Service_Weights!$E$6) + (T24*Service_Weights!$F$6) + (U24*Service_Weights!$G$6)</f>
        <v>32.920858138796078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20.716923984281603</v>
      </c>
      <c r="AN24" s="247">
        <f>(T24*Service_Weights!$F$6)</f>
        <v>6.7882943440879364</v>
      </c>
      <c r="AO24" s="247">
        <f>(U24*Service_Weights!$G$6)</f>
        <v>5.4156398104265406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2.5556391941407344</v>
      </c>
      <c r="J25" s="25"/>
      <c r="K25" s="22">
        <v>1</v>
      </c>
      <c r="L25" s="31">
        <v>5</v>
      </c>
      <c r="M25" s="29">
        <f>IFERROR( VLOOKUP($AZ$11,OBIEE_DATA!$A$1:$ZZ$999, $AX25,FALSE),I25)</f>
        <v>2.6334473079128689</v>
      </c>
      <c r="N25" s="25"/>
      <c r="O25" s="22">
        <v>1</v>
      </c>
      <c r="P25" s="31">
        <v>5</v>
      </c>
      <c r="Q25" s="29">
        <f>IFERROR( VLOOKUP($AZ$12,OBIEE_DATA!$A$1:$ZZ$999, $AX25,FALSE),"")</f>
        <v>3.2425417719570677</v>
      </c>
      <c r="S25" s="41">
        <f>IF(AND(I25&lt;&gt;"",I25&lt;&gt;0),IF(I25&lt;=G25,D25,IF(I25&gt;=H25,0,D25-(I25-G25)/(H25-G25)*D25)),0)</f>
        <v>0.24443608058592659</v>
      </c>
      <c r="T25" s="41">
        <f>IF(AND(M25&lt;&gt;"",M25&lt;&gt;0),IF(M25&lt;=K25,D25,IF(M25&gt;=L25,0,D25-(M25-K25)/(L25-K25)*D25)),0)</f>
        <v>0.23665526920871313</v>
      </c>
      <c r="U25" s="41">
        <f>IF(AND(Q25&lt;&gt;"",Q25&lt;&gt;0),IF(Q25&lt;=O25,D25,IF(Q25&gt;=P25,0,D25-(Q25-O25)/(P25-O25)*D25)),0)</f>
        <v>0.17574582280429324</v>
      </c>
      <c r="V25" s="139">
        <f>(S25*Service_Weights!$E$6) + (T25*Service_Weights!$F$6) + (U25*Service_Weights!$G$6)</f>
        <v>13.748512005249435</v>
      </c>
      <c r="AM25" s="247">
        <f>(S25*Service_Weights!$E$6)</f>
        <v>8.7996989010933575</v>
      </c>
      <c r="AN25" s="247">
        <f>(T25*Service_Weights!$F$6)</f>
        <v>2.8398632305045575</v>
      </c>
      <c r="AO25" s="247">
        <f>(U25*Service_Weights!$G$6)</f>
        <v>2.1089498736515191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0.81990619126041553</v>
      </c>
      <c r="T26" s="53">
        <f t="shared" ref="T26:U26" si="9">SUM(T24:T25)</f>
        <v>0.80234646454937453</v>
      </c>
      <c r="U26" s="53">
        <f t="shared" si="9"/>
        <v>0.62704914033983838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29.516622885374957</v>
      </c>
      <c r="T27" s="131">
        <f>T26*Service_Weights!F6</f>
        <v>9.6281575745924943</v>
      </c>
      <c r="U27" s="131">
        <f>U26*Service_Weights!G6</f>
        <v>7.5245896840780606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99.885957306673902</v>
      </c>
      <c r="J30" s="25"/>
      <c r="K30" s="18">
        <v>87</v>
      </c>
      <c r="L30" s="30">
        <v>100</v>
      </c>
      <c r="M30" s="27">
        <f>IFERROR( VLOOKUP($AZ$11,OBIEE_DATA!$A$1:$ZZ$999, $AX30,FALSE),I30)</f>
        <v>99.735605031382818</v>
      </c>
      <c r="N30" s="25"/>
      <c r="O30" s="18">
        <v>80</v>
      </c>
      <c r="P30" s="30">
        <v>100</v>
      </c>
      <c r="Q30" s="27">
        <f>IFERROR( VLOOKUP($AZ$12,OBIEE_DATA!$A$1:$ZZ$999, $AX30,FALSE),"")</f>
        <v>98.419805109296803</v>
      </c>
      <c r="S30" s="41">
        <f>IF(I30&lt;&gt;"",IF(I30&lt;=(0.9*G30+0.1*H30),0.1*D30*I30/(0.9*G30+0.1*H30),IF(I30&gt;=H30,D30,(I30-G30)/(H30-G30)*D30)),0)</f>
        <v>0.59473649107725701</v>
      </c>
      <c r="T30" s="41">
        <f>IF(M30&lt;&gt;"",IF(M30&lt;=(0.9*K30+0.1*L30),0.1*D30*M30/(0.9*K30+0.1*L30),IF(M30&gt;=L30,D30,(M30-K30)/(L30-K30)*D30)),0)</f>
        <v>0.58779715529459153</v>
      </c>
      <c r="U30" s="41">
        <f>IF(Q30&lt;&gt;"",IF(Q30&lt;=(0.9*O30+0.1*P30),0.1*D30*Q30/(0.9*O30+0.1*P30),IF(Q30&gt;=P30,D30,(Q30-O30)/(P30-O30)*D30)),0)</f>
        <v>0.55259415327890404</v>
      </c>
      <c r="V30" s="139">
        <f>(S30*Service_Weights!$E$8) + (T30*Service_Weights!$F$8) + (U30*Service_Weights!$G$8)</f>
        <v>35.095209381663203</v>
      </c>
      <c r="AM30" s="247">
        <f>(S30*Service_Weights!$E$8)</f>
        <v>21.410513678781253</v>
      </c>
      <c r="AN30" s="247">
        <f>(T30*Service_Weights!$F$8)</f>
        <v>7.0535658635350984</v>
      </c>
      <c r="AO30" s="247">
        <f xml:space="preserve"> (U30*Service_Weights!$G$8)</f>
        <v>6.6311298393468485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1.9042652882733802</v>
      </c>
      <c r="J31" s="25"/>
      <c r="K31" s="20">
        <v>1</v>
      </c>
      <c r="L31" s="24">
        <v>12.5</v>
      </c>
      <c r="M31" s="28">
        <f>IFERROR( VLOOKUP($AZ$11,OBIEE_DATA!$A$1:$ZZ$999, $AX31,FALSE),I31)</f>
        <v>2.230896302107209</v>
      </c>
      <c r="N31" s="25"/>
      <c r="O31" s="20">
        <v>2</v>
      </c>
      <c r="P31" s="24">
        <v>15</v>
      </c>
      <c r="Q31" s="28">
        <f>IFERROR( VLOOKUP($AZ$12,OBIEE_DATA!$A$1:$ZZ$999, $AX31,FALSE),"")</f>
        <v>2.9137473808448711</v>
      </c>
      <c r="S31" s="41">
        <f>IF(AND(I31&lt;&gt;"",I31&lt;&gt;0),IF(I31&lt;=G31,D31,IF(I31&gt;=H31,0,SQRT((I31-H31)/(G31-H31))*D31)),0)</f>
        <v>0.11518551382684079</v>
      </c>
      <c r="T31" s="41">
        <f>IF(AND(M31&lt;&gt;"",M31&lt;&gt;0),IF(M31&lt;=K31,D31,IF(M31&gt;=L31,0,SQRT((M31-L31)/(K31-L31))*D31)),0)</f>
        <v>0.11339622463221458</v>
      </c>
      <c r="U31" s="41">
        <f>IF(AND(Q31&lt;&gt;"",Q31&lt;&gt;0),IF(Q31&lt;=O31,D31,IF(Q31&gt;=P31,0,SQRT((Q31-P31)/(O31-P31))*D31)),0)</f>
        <v>0.11570587303617799</v>
      </c>
      <c r="V31" s="139">
        <f>(S31*Service_Weights!$E$8) + (T31*Service_Weights!$F$8) + (U31*Service_Weights!$G$8)</f>
        <v>6.8959036697869802</v>
      </c>
      <c r="AM31" s="247">
        <f>(S31*Service_Weights!$E$8)</f>
        <v>4.1466784977662687</v>
      </c>
      <c r="AN31" s="247">
        <f>(T31*Service_Weights!$F$8)</f>
        <v>1.360754695586575</v>
      </c>
      <c r="AO31" s="247">
        <f>(U31*Service_Weights!$G$8)</f>
        <v>1.388470476434136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6973.1481481481469</v>
      </c>
      <c r="J32" s="25"/>
      <c r="K32" s="20">
        <v>384</v>
      </c>
      <c r="L32" s="24">
        <v>25000</v>
      </c>
      <c r="M32" s="63">
        <f>IFERROR( VLOOKUP($AZ$11,OBIEE_DATA!$A$1:$ZZ$999, $AX32,FALSE),I32)</f>
        <v>5918.7418086500666</v>
      </c>
      <c r="N32" s="25"/>
      <c r="O32" s="20">
        <v>384</v>
      </c>
      <c r="P32" s="24">
        <v>10000</v>
      </c>
      <c r="Q32" s="63">
        <f>IFERROR( VLOOKUP($AZ$12,OBIEE_DATA!$A$1:$ZZ$999, $AX32,FALSE),"")</f>
        <v>1889.2821031344795</v>
      </c>
      <c r="S32" s="41">
        <f>IF(I32&lt;&gt;"",IF(I32&lt;=G32,0,IF(I32&gt;=H32,D32,SQRT((I32-G32)/(H32-G32))*D32)),0)</f>
        <v>0.10347510842366466</v>
      </c>
      <c r="T32" s="41">
        <f>IF(M32&lt;&gt;"",IF(M32&lt;=K32,0,IF(M32&gt;=L32,D32,SQRT((M32-K32)/(L32-K32))*D32)),0)</f>
        <v>9.4835281387210868E-2</v>
      </c>
      <c r="U32" s="41">
        <f>IF(Q32&lt;&gt;"",IF(Q32&lt;=O32,0,IF(Q32&gt;=P32,D32,SQRT((Q32-O32)/(P32-O32))*D32)),0)</f>
        <v>7.9130100520470079E-2</v>
      </c>
      <c r="V32" s="139">
        <f>(S32*Service_Weights!$E$8) + (T32*Service_Weights!$F$8) + (U32*Service_Weights!$G$8)</f>
        <v>5.8126884861440997</v>
      </c>
      <c r="AM32" s="247">
        <f>(S32*Service_Weights!$E$8)</f>
        <v>3.7251039032519278</v>
      </c>
      <c r="AN32" s="247">
        <f>(T32*Service_Weights!$F$8)</f>
        <v>1.1380233766465304</v>
      </c>
      <c r="AO32" s="247">
        <f>(U32*Service_Weights!$G$8)</f>
        <v>0.94956120624564089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18239.600665557406</v>
      </c>
      <c r="J33" s="25"/>
      <c r="K33" s="22">
        <v>25000</v>
      </c>
      <c r="L33" s="31">
        <v>80000</v>
      </c>
      <c r="M33" s="64">
        <f>IFERROR( VLOOKUP($AZ$11,OBIEE_DATA!$A$1:$ZZ$999, $AX33,FALSE),I33)</f>
        <v>15075.09881422925</v>
      </c>
      <c r="N33" s="25"/>
      <c r="O33" s="22">
        <v>15000</v>
      </c>
      <c r="P33" s="31">
        <v>60000</v>
      </c>
      <c r="Q33" s="64">
        <f>IFERROR( VLOOKUP($AZ$12,OBIEE_DATA!$A$1:$ZZ$999, $AX33,FALSE),"")</f>
        <v>14550.350262697026</v>
      </c>
      <c r="S33" s="41">
        <f>IF(I33&lt;&gt;"",IF(I33&lt;=G33,0,IF(I33&gt;=H33,D33,SQRT((I33-G33)/(H33-G33))*D33)),0)</f>
        <v>0</v>
      </c>
      <c r="T33" s="41">
        <f>IF(M33&lt;&gt;"",IF(M33&lt;=K33,0,IF(M33&gt;=L33,D33,SQRT((M33-K33)/(L33-K33))*D33)),0)</f>
        <v>0</v>
      </c>
      <c r="U33" s="41">
        <f>IF(Q33&lt;&gt;"",IF(Q33&lt;=O33,0,IF(Q33&gt;=P33,D33,SQRT((Q33-O33)/(P33-O33))*D33)),0)</f>
        <v>0</v>
      </c>
      <c r="V33" s="139">
        <f>(S33*Service_Weights!$E$8) + (T33*Service_Weights!$F$8) + (U33*Service_Weights!$G$8)</f>
        <v>0</v>
      </c>
      <c r="AM33" s="247">
        <f>(S33*Service_Weights!$E$8)</f>
        <v>0</v>
      </c>
      <c r="AN33" s="247">
        <f xml:space="preserve"> (T33*Service_Weights!$F$8)</f>
        <v>0</v>
      </c>
      <c r="AO33" s="247">
        <f>(U33*Service_Weights!$G$8)</f>
        <v>0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0.81339711332776254</v>
      </c>
      <c r="T34" s="53">
        <f t="shared" ref="T34:U34" si="10">SUM(T30:T33)</f>
        <v>0.79602866131401695</v>
      </c>
      <c r="U34" s="53">
        <f t="shared" si="10"/>
        <v>0.7474301268355521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29.282296079799451</v>
      </c>
      <c r="T35" s="131">
        <f>T34*Service_Weights!F8</f>
        <v>9.552343935768203</v>
      </c>
      <c r="U35" s="131">
        <f>U34*Service_Weights!G8</f>
        <v>8.9691615220266243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99.401103263381913</v>
      </c>
      <c r="J38" s="25"/>
      <c r="K38" s="18">
        <v>87</v>
      </c>
      <c r="L38" s="30">
        <v>100</v>
      </c>
      <c r="M38" s="27">
        <f>IFERROR( VLOOKUP($AZ$11,OBIEE_DATA!$A$1:$ZZ$999, $AX38,FALSE),I38)</f>
        <v>98.912649118873091</v>
      </c>
      <c r="N38" s="25"/>
      <c r="O38" s="18">
        <v>80</v>
      </c>
      <c r="P38" s="30">
        <v>100</v>
      </c>
      <c r="Q38" s="27">
        <f>IFERROR( VLOOKUP($AZ$12,OBIEE_DATA!$A$1:$ZZ$999, $AX38,FALSE),"")</f>
        <v>94.097496706192359</v>
      </c>
      <c r="S38" s="41">
        <f>IF(I38&lt;&gt;"",IF(I38&lt;=(0.9*G38+0.1*H38),0.1*D38*I38/(0.9*G38+0.1*H38),IF(I38&gt;=H38,D38,(I38-G38)/(H38-G38)*D38)),0)</f>
        <v>0.57235861215608819</v>
      </c>
      <c r="T38" s="41">
        <f>IF(M38&lt;&gt;"",IF(M38&lt;=(0.9*K38+0.1*L38),0.1*D38*M38/(0.9*K38+0.1*L38),IF(M38&gt;=L38,D38,(M38-K38)/(L38-K38)*D38)),0)</f>
        <v>0.54981457471721951</v>
      </c>
      <c r="U38" s="41">
        <f>IF(Q38&lt;&gt;"",IF(Q38&lt;=(0.9*O38+0.1*P38),0.1*D38*Q38/(0.9*O38+0.1*P38),IF(Q38&gt;=P38,D38,(Q38-O38)/(P38-O38)*D38)),0)</f>
        <v>0.42292490118577075</v>
      </c>
      <c r="V38" s="139">
        <f>(S38*Service_Weights!$E$9) + (T38*Service_Weights!$F$9) + (U38*Service_Weights!$G$9)</f>
        <v>32.277783748455057</v>
      </c>
      <c r="AM38" s="247">
        <f>(S38*Service_Weights!$E$9)</f>
        <v>20.604910037619174</v>
      </c>
      <c r="AN38" s="247">
        <f>(T38*Service_Weights!$F$9)</f>
        <v>6.5977748966066336</v>
      </c>
      <c r="AO38" s="247">
        <f xml:space="preserve"> (U38*Service_Weights!$G$9)</f>
        <v>5.075098814229249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1.2081874281202893</v>
      </c>
      <c r="J39" s="25"/>
      <c r="K39" s="20">
        <v>1</v>
      </c>
      <c r="L39" s="24">
        <v>10</v>
      </c>
      <c r="M39" s="28">
        <f>IFERROR( VLOOKUP($AZ$11,OBIEE_DATA!$A$1:$ZZ$999, $AX39,FALSE),I39)</f>
        <v>1.4306306811425842</v>
      </c>
      <c r="N39" s="25"/>
      <c r="O39" s="20">
        <v>1.5</v>
      </c>
      <c r="P39" s="24">
        <v>12</v>
      </c>
      <c r="Q39" s="28">
        <f>IFERROR( VLOOKUP($AZ$12,OBIEE_DATA!$A$1:$ZZ$999, $AX39,FALSE),"")</f>
        <v>1.906223274088916</v>
      </c>
      <c r="S39" s="41">
        <f>IF(AND(I39&lt;&gt;"",I39&lt;&gt;0),IF(I39&lt;=G39,D39,IF(I39&gt;=H39,0,SQRT((I39-H39)/(G39-H39))*D39)),0)</f>
        <v>0.11860396331913844</v>
      </c>
      <c r="T39" s="41">
        <f>IF(AND(M39&lt;&gt;"",M39&lt;&gt;0),IF(M39&lt;=K39,D39,IF(M39&gt;=L39,0,SQRT((M39-L39)/(K39-L39))*D39)),0)</f>
        <v>0.11709394053567358</v>
      </c>
      <c r="U39" s="41">
        <f>IF(AND(Q39&lt;&gt;"",Q39&lt;&gt;0),IF(Q39&lt;=O39,D39,IF(Q39&gt;=P39,0,SQRT((Q39-P39)/(O39-P39))*D39)),0)</f>
        <v>0.11765582771599203</v>
      </c>
      <c r="V39" s="139">
        <f>(S39*Service_Weights!$E$9) + (T39*Service_Weights!$F$9) + (U39*Service_Weights!$G$9)</f>
        <v>7.0867398985089718</v>
      </c>
      <c r="AM39" s="247">
        <f>(S39*Service_Weights!$E$9)</f>
        <v>4.2697426794889841</v>
      </c>
      <c r="AN39" s="247">
        <f>(T39*Service_Weights!$F$9)</f>
        <v>1.405127286428083</v>
      </c>
      <c r="AO39" s="247">
        <f xml:space="preserve"> (U39*Service_Weights!$G$9)</f>
        <v>1.4118699325919044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1964.2618570474281</v>
      </c>
      <c r="J40" s="25"/>
      <c r="K40" s="20">
        <v>384</v>
      </c>
      <c r="L40" s="24">
        <v>8000</v>
      </c>
      <c r="M40" s="63">
        <f>IFERROR( VLOOKUP($AZ$11,OBIEE_DATA!$A$1:$ZZ$999, $AX40,FALSE),I40)</f>
        <v>1760.7402511566424</v>
      </c>
      <c r="N40" s="25"/>
      <c r="O40" s="20">
        <v>384</v>
      </c>
      <c r="P40" s="24">
        <v>6000</v>
      </c>
      <c r="Q40" s="63">
        <f>IFERROR( VLOOKUP($AZ$12,OBIEE_DATA!$A$1:$ZZ$999, $AX40,FALSE),"")</f>
        <v>820.91954022988489</v>
      </c>
      <c r="S40" s="41">
        <f>IF(I40&lt;&gt;"",IF(I40&lt;=G40,0,IF(I40&gt;=H40,D40,SQRT((I40-G40)/(H40-G40))*D40)),0)</f>
        <v>9.1102659825879617E-2</v>
      </c>
      <c r="T40" s="41">
        <f>IF(M40&lt;&gt;"",IF(M40&lt;=K40,0,IF(M40&gt;=L40,D40,SQRT((M40-K40)/(L40-K40))*D40)),0)</f>
        <v>8.5033985147259697E-2</v>
      </c>
      <c r="U40" s="41">
        <f>IF(Q40&lt;&gt;"",IF(Q40&lt;=O40,0,IF(Q40&gt;=P40,D40,SQRT((Q40-O40)/(P40-O40))*D40)),0)</f>
        <v>5.5784966946749129E-2</v>
      </c>
      <c r="V40" s="139">
        <f>(S40*Service_Weights!$E$9) + (T40*Service_Weights!$F$9) + (U40*Service_Weights!$G$9)</f>
        <v>4.969523178859772</v>
      </c>
      <c r="AM40" s="247">
        <f>(S40*Service_Weights!$E$9)</f>
        <v>3.2796957537316662</v>
      </c>
      <c r="AN40" s="247">
        <f>(T40*Service_Weights!$F$9)</f>
        <v>1.0204078217671164</v>
      </c>
      <c r="AO40" s="247">
        <f xml:space="preserve"> (U40*Service_Weights!$G$9)</f>
        <v>0.6694196033609896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9941.2913303827154</v>
      </c>
      <c r="J41" s="25"/>
      <c r="K41" s="22">
        <v>10000</v>
      </c>
      <c r="L41" s="31">
        <v>30000</v>
      </c>
      <c r="M41" s="64">
        <f>IFERROR( VLOOKUP($AZ$11,OBIEE_DATA!$A$1:$ZZ$999, $AX41,FALSE),I41)</f>
        <v>9369.2758253461161</v>
      </c>
      <c r="N41" s="25"/>
      <c r="O41" s="22">
        <v>5000</v>
      </c>
      <c r="P41" s="31">
        <v>25000</v>
      </c>
      <c r="Q41" s="64">
        <f>IFERROR( VLOOKUP($AZ$12,OBIEE_DATA!$A$1:$ZZ$999, $AX41,FALSE),"")</f>
        <v>8896.8492123030755</v>
      </c>
      <c r="S41" s="41">
        <f>IF(I41&lt;&gt;"",IF(I41&lt;=G41,0,IF(I41&gt;=H41,D41,SQRT((I41-G41)/(H41-G41))*D41)),0)</f>
        <v>0</v>
      </c>
      <c r="T41" s="41">
        <f>IF(M41&lt;&gt;"",IF(M41&lt;=K41,0,IF(M41&gt;=L41,D41,SQRT((M41-K41)/(L41-K41))*D41)),0)</f>
        <v>0</v>
      </c>
      <c r="U41" s="41">
        <f>IF(Q41&lt;&gt;"",IF(Q41&lt;=O41,0,IF(Q41&gt;=P41,D41,SQRT((Q41-O41)/(P41-O41))*D41)),0)</f>
        <v>3.5312770323736767E-2</v>
      </c>
      <c r="V41" s="139">
        <f>(S41*Service_Weights!$E$9) + (T41*Service_Weights!$F$9) + (U41*Service_Weights!$G$9)</f>
        <v>0.4237532438848412</v>
      </c>
      <c r="AM41" s="247">
        <f>(S41*Service_Weights!$E$9)</f>
        <v>0</v>
      </c>
      <c r="AN41" s="247">
        <f>(T41*Service_Weights!$F$9)</f>
        <v>0</v>
      </c>
      <c r="AO41" s="247">
        <f xml:space="preserve"> (U41*Service_Weights!$G$9)</f>
        <v>0.4237532438848412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0.78206523530110628</v>
      </c>
      <c r="T42" s="53">
        <f t="shared" ref="T42:U42" si="11">SUM(T38:T41)</f>
        <v>0.75194250040015276</v>
      </c>
      <c r="U42" s="53">
        <f t="shared" si="11"/>
        <v>0.63167846617224876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28.154348470839825</v>
      </c>
      <c r="T43" s="131">
        <f>T42*Service_Weights!F9</f>
        <v>9.0233100048018322</v>
      </c>
      <c r="U43" s="131">
        <f>U42*Service_Weights!G9</f>
        <v>7.5801415940669852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99.869803542640184</v>
      </c>
      <c r="J46" s="25"/>
      <c r="K46" s="18">
        <v>87</v>
      </c>
      <c r="L46" s="30">
        <v>100</v>
      </c>
      <c r="M46" s="27">
        <f>IFERROR( VLOOKUP($AZ$11,OBIEE_DATA!$A$1:$ZZ$999, $AX46,FALSE),I46)</f>
        <v>99.778498309127855</v>
      </c>
      <c r="N46" s="25"/>
      <c r="O46" s="18">
        <v>80</v>
      </c>
      <c r="P46" s="30">
        <v>100</v>
      </c>
      <c r="Q46" s="27">
        <f>IFERROR( VLOOKUP($AZ$12,OBIEE_DATA!$A$1:$ZZ$999, $AX46,FALSE),"")</f>
        <v>97.555205047318623</v>
      </c>
      <c r="S46" s="41">
        <f>IF(I46&lt;&gt;"",IF(I46&lt;=(0.9*G46+0.1*H46),0.1*D46*I46/(0.9*G46+0.1*H46),IF(I46&gt;=H46,D46,(I46-G46)/(H46-G46)*D46)),0)</f>
        <v>0.59399093273723924</v>
      </c>
      <c r="T46" s="41">
        <f>IF(M46&lt;&gt;"",IF(M46&lt;=(0.9*K46+0.1*L46),0.1*D46*M46/(0.9*K46+0.1*L46),IF(M46&gt;=L46,D46,(M46-K46)/(L46-K46)*D46)),0)</f>
        <v>0.58977684503667016</v>
      </c>
      <c r="U46" s="41">
        <f>IF(Q46&lt;&gt;"",IF(Q46&lt;=(0.9*O46+0.1*P46),0.1*D46*Q46/(0.9*O46+0.1*P46),IF(Q46&gt;=P46,D46,(Q46-O46)/(P46-O46)*D46)),0)</f>
        <v>0.52665615141955868</v>
      </c>
      <c r="V46" s="139">
        <f>(S46*Service_Weights!$E$10) + (T46*Service_Weights!$F$10) + (U46*Service_Weights!$G$10)</f>
        <v>34.780869536015359</v>
      </c>
      <c r="AM46" s="247">
        <f>(S46*Service_Weights!$E$10)</f>
        <v>21.383673578540613</v>
      </c>
      <c r="AN46" s="247">
        <f>(T46*Service_Weights!$F$10)</f>
        <v>7.0773221404400424</v>
      </c>
      <c r="AO46" s="247">
        <f xml:space="preserve"> (U46*Service_Weights!$G$10)</f>
        <v>6.3198738170347042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36496.455788294181</v>
      </c>
      <c r="J47" s="25"/>
      <c r="K47" s="20">
        <v>7500</v>
      </c>
      <c r="L47" s="24">
        <v>80000</v>
      </c>
      <c r="M47" s="28">
        <f>IFERROR( VLOOKUP($AZ$11,OBIEE_DATA!$A$1:$ZZ$999, $AX47,FALSE),I47)</f>
        <v>32117.068095962622</v>
      </c>
      <c r="N47" s="25"/>
      <c r="O47" s="20">
        <v>4000</v>
      </c>
      <c r="P47" s="24">
        <v>50000</v>
      </c>
      <c r="Q47" s="28">
        <f>IFERROR( VLOOKUP($AZ$12,OBIEE_DATA!$A$1:$ZZ$999, $AX47,FALSE),"")</f>
        <v>17422.856053990999</v>
      </c>
      <c r="S47" s="41">
        <f>IF(I47&lt;&gt;"",IF(I47&lt;=G47,0,IF(I47&gt;=H47,D47,SQRT((I47-G47)/(H47-G47))*D47)),0)</f>
        <v>7.5890025999644423E-2</v>
      </c>
      <c r="T47" s="41">
        <f>IF(M47&lt;&gt;"",IF(M47&lt;=K47,0,IF(M47&gt;=L47,D47,SQRT((M47-K47)/(L47-K47))*D47)),0)</f>
        <v>6.9924666910243044E-2</v>
      </c>
      <c r="U47" s="41">
        <f>IF(Q47&lt;&gt;"",IF(Q47&lt;=O47,0,IF(Q47&gt;=P47,D47,SQRT((Q47-O47)/(P47-O47))*D47)),0)</f>
        <v>6.4822353762697571E-2</v>
      </c>
      <c r="V47" s="139">
        <f>(S47*Service_Weights!$E$10) + (T47*Service_Weights!$F$10) + (U47*Service_Weights!$G$10)</f>
        <v>4.349005184062487</v>
      </c>
      <c r="AM47" s="247">
        <f>(S47*Service_Weights!$E$10)</f>
        <v>2.7320409359871993</v>
      </c>
      <c r="AN47" s="247">
        <f>(T47*Service_Weights!$F$10)</f>
        <v>0.83909600292291653</v>
      </c>
      <c r="AO47" s="247">
        <f xml:space="preserve"> (U47*Service_Weights!$G$10)</f>
        <v>0.77786824515237085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11803.846153846154</v>
      </c>
      <c r="J48" s="25"/>
      <c r="K48" s="20">
        <v>128</v>
      </c>
      <c r="L48" s="24">
        <v>35000</v>
      </c>
      <c r="M48" s="63">
        <f>IFERROR( VLOOKUP($AZ$11,OBIEE_DATA!$A$1:$ZZ$999, $AX48,FALSE),I48)</f>
        <v>11270.961145194275</v>
      </c>
      <c r="N48" s="25"/>
      <c r="O48" s="20">
        <v>128</v>
      </c>
      <c r="P48" s="24">
        <v>12000</v>
      </c>
      <c r="Q48" s="63">
        <f>IFERROR( VLOOKUP($AZ$12,OBIEE_DATA!$A$1:$ZZ$999, $AX48,FALSE),"")</f>
        <v>2885.6920684292381</v>
      </c>
      <c r="S48" s="41">
        <f>IF(I48&lt;&gt;"",IF(I48&lt;=G48,0,IF(I48&gt;=H48,D48,SQRT((I48-G48)/(H48-G48))*D48)),0)</f>
        <v>0.11572728101767404</v>
      </c>
      <c r="T48" s="41">
        <f>IF(M48&lt;&gt;"",IF(M48&lt;=K48,0,IF(M48&gt;=L48,D48,SQRT((M48-K48)/(L48-K48))*D48)),0)</f>
        <v>0.11305554703866923</v>
      </c>
      <c r="U48" s="41">
        <f>IF(Q48&lt;&gt;"",IF(Q48&lt;=O48,0,IF(Q48&gt;=P48,D48,SQRT((Q48-O48)/(P48-O48))*D48)),0)</f>
        <v>9.6391987866712006E-2</v>
      </c>
      <c r="V48" s="139">
        <f>(S48*Service_Weights!$E$10) + (T48*Service_Weights!$F$10) + (U48*Service_Weights!$G$10)</f>
        <v>6.6795525355008412</v>
      </c>
      <c r="AM48" s="247">
        <f>(S48*Service_Weights!$E$10)</f>
        <v>4.166182116636266</v>
      </c>
      <c r="AN48" s="247">
        <f>(T48*Service_Weights!$F$10)</f>
        <v>1.3566665644640308</v>
      </c>
      <c r="AO48" s="247">
        <f xml:space="preserve"> (U48*Service_Weights!$G$10)</f>
        <v>1.1567038544005441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67107.784431137741</v>
      </c>
      <c r="J49" s="25"/>
      <c r="K49" s="22">
        <v>25000</v>
      </c>
      <c r="L49" s="31">
        <v>180000</v>
      </c>
      <c r="M49" s="64">
        <f>IFERROR( VLOOKUP($AZ$11,OBIEE_DATA!$A$1:$ZZ$999, $AX49,FALSE),I49)</f>
        <v>57736.413043478264</v>
      </c>
      <c r="N49" s="25"/>
      <c r="O49" s="22">
        <v>15000</v>
      </c>
      <c r="P49" s="31">
        <v>100000</v>
      </c>
      <c r="Q49" s="64">
        <f>IFERROR( VLOOKUP($AZ$12,OBIEE_DATA!$A$1:$ZZ$999, $AX49,FALSE),"")</f>
        <v>39996.296296296299</v>
      </c>
      <c r="S49" s="41">
        <f>IF(I49&lt;&gt;"",IF(I49&lt;=G49,0,IF(I49&gt;=H49,D49,SQRT((I49-G49)/(H49-G49))*D49)),0)</f>
        <v>4.1697050283178848E-2</v>
      </c>
      <c r="T49" s="41">
        <f>IF(M49&lt;&gt;"",IF(M49&lt;=K49,0,IF(M49&gt;=L49,D49,SQRT((M49-K49)/(L49-K49))*D49)),0)</f>
        <v>3.6765432877887583E-2</v>
      </c>
      <c r="U49" s="41">
        <f>IF(Q49&lt;&gt;"",IF(Q49&lt;=O49,0,IF(Q49&gt;=P49,D49,SQRT((Q49-O49)/(P49-O49))*D49)),0)</f>
        <v>4.338287766013308E-2</v>
      </c>
      <c r="V49" s="139">
        <f>(S49*Service_Weights!$E$10) + (T49*Service_Weights!$F$10) + (U49*Service_Weights!$G$10)</f>
        <v>2.4628735366506866</v>
      </c>
      <c r="AM49" s="247">
        <f>(S49*Service_Weights!$E$10)</f>
        <v>1.5010938101944384</v>
      </c>
      <c r="AN49" s="247">
        <f>(T49*Service_Weights!$F$10)</f>
        <v>0.44118519453465099</v>
      </c>
      <c r="AO49" s="247">
        <f xml:space="preserve"> (U49*Service_Weights!$G$10)</f>
        <v>0.52059453192159699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0.82730529003773656</v>
      </c>
      <c r="T50" s="53">
        <f t="shared" ref="T50:U50" si="13">SUM(T46:T49)</f>
        <v>0.80952249186347003</v>
      </c>
      <c r="U50" s="53">
        <f t="shared" si="13"/>
        <v>0.73125337070910124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29.782990441358518</v>
      </c>
      <c r="T51" s="131">
        <f>T50*Service_Weights!F10</f>
        <v>9.7142699023616395</v>
      </c>
      <c r="U51" s="131">
        <f>U50*Service_Weights!G10</f>
        <v>8.7750404485092144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99.777163657139624</v>
      </c>
      <c r="J54" s="25"/>
      <c r="K54" s="18">
        <v>87</v>
      </c>
      <c r="L54" s="30">
        <v>100</v>
      </c>
      <c r="M54" s="27">
        <f>IFERROR( VLOOKUP($AZ$11,OBIEE_DATA!$A$1:$ZZ$999, $AX54,FALSE),I54)</f>
        <v>99.782799380709406</v>
      </c>
      <c r="N54" s="25"/>
      <c r="O54" s="18">
        <v>80</v>
      </c>
      <c r="P54" s="30">
        <v>100</v>
      </c>
      <c r="Q54" s="27">
        <f>IFERROR( VLOOKUP($AZ$12,OBIEE_DATA!$A$1:$ZZ$999, $AX54,FALSE),"")</f>
        <v>96.08512874408828</v>
      </c>
      <c r="S54" s="41">
        <f>IF(I54&lt;&gt;"",IF(I54&lt;=(0.9*G54+0.1*H54),0.1*D54*I54/(0.9*G54+0.1*H54),IF(I54&gt;=H54,D54,(I54-G54)/(H54-G54)*D54)),0)</f>
        <v>0.58971524571413647</v>
      </c>
      <c r="T54" s="41">
        <f>IF(M54&lt;&gt;"",IF(M54&lt;=(0.9*K54+0.1*L54),0.1*D54*M54/(0.9*K54+0.1*L54),IF(M54&gt;=L54,D54,(M54-K54)/(L54-K54)*D54)),0)</f>
        <v>0.58997535603274176</v>
      </c>
      <c r="U54" s="41">
        <f>IF(Q54&lt;&gt;"",IF(Q54&lt;=(0.9*O54+0.1*P54),0.1*D54*Q54/(0.9*O54+0.1*P54),IF(Q54&gt;=P54,D54,(Q54-O54)/(P54-O54)*D54)),0)</f>
        <v>0.48255386232264835</v>
      </c>
      <c r="V54" s="139">
        <f>(S54*Service_Weights!$E$11) + (T54*Service_Weights!$F$11) + (U54*Service_Weights!$G$11)</f>
        <v>34.100099465973592</v>
      </c>
      <c r="AM54" s="247">
        <f>(S54*Service_Weights!$E$11)</f>
        <v>21.229748845708912</v>
      </c>
      <c r="AN54" s="247">
        <f>(T54*Service_Weights!$F$11)</f>
        <v>7.0797042723929007</v>
      </c>
      <c r="AO54" s="247">
        <f xml:space="preserve">  (U54*Service_Weights!$G$11)</f>
        <v>5.79064634787178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18144.769384965719</v>
      </c>
      <c r="J55" s="25"/>
      <c r="K55" s="20">
        <v>4000</v>
      </c>
      <c r="L55" s="24">
        <v>35000</v>
      </c>
      <c r="M55" s="28">
        <f>IFERROR( VLOOKUP($AZ$11,OBIEE_DATA!$A$1:$ZZ$999, $AX55,FALSE),I55)</f>
        <v>19889.12872437021</v>
      </c>
      <c r="N55" s="25"/>
      <c r="O55" s="20">
        <v>1000</v>
      </c>
      <c r="P55" s="24">
        <v>25000</v>
      </c>
      <c r="Q55" s="28">
        <f>IFERROR( VLOOKUP($AZ$12,OBIEE_DATA!$A$1:$ZZ$999, $AX55,FALSE),"")</f>
        <v>9032.4652627282649</v>
      </c>
      <c r="S55" s="41">
        <f>IF(I55&lt;&gt;"",IF(I55&lt;=G55,0,IF(I55&gt;=H55,D55,SQRT((I55-G55)/(H55-G55))*D55)),0)</f>
        <v>8.1058457428933778E-2</v>
      </c>
      <c r="T55" s="41">
        <f>IF(M55&lt;&gt;"",IF(M55&lt;=K55,0,IF(M55&gt;=L55,D55,SQRT((M55-K55)/(L55-K55))*D55)),0)</f>
        <v>8.5911329687880567E-2</v>
      </c>
      <c r="U55" s="41">
        <f>IF(Q55&lt;&gt;"",IF(Q55&lt;=O55,0,IF(Q55&gt;=P55,D55,SQRT((Q55-O55)/(P55-O55))*D55)),0)</f>
        <v>6.9422468680081936E-2</v>
      </c>
      <c r="V55" s="139">
        <f>(S55*Service_Weights!$E$11) + (T55*Service_Weights!$F$11) + (U55*Service_Weights!$G$11)</f>
        <v>4.7821100478571665</v>
      </c>
      <c r="AM55" s="247">
        <f>(S55*Service_Weights!$E$11)</f>
        <v>2.9181044674416161</v>
      </c>
      <c r="AN55" s="247">
        <f>(T55*Service_Weights!$F$11)</f>
        <v>1.0309359562545668</v>
      </c>
      <c r="AO55" s="247">
        <f xml:space="preserve">  (U55*Service_Weights!$G$11)</f>
        <v>0.83306962416098318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3565.1387213510247</v>
      </c>
      <c r="J56" s="25"/>
      <c r="K56" s="20">
        <v>64</v>
      </c>
      <c r="L56" s="24">
        <v>10000</v>
      </c>
      <c r="M56" s="63">
        <f>IFERROR( VLOOKUP($AZ$11,OBIEE_DATA!$A$1:$ZZ$999, $AX56,FALSE),I56)</f>
        <v>3360.9725685785529</v>
      </c>
      <c r="N56" s="25"/>
      <c r="O56" s="20">
        <v>64</v>
      </c>
      <c r="P56" s="24">
        <v>5000</v>
      </c>
      <c r="Q56" s="63">
        <f>IFERROR( VLOOKUP($AZ$12,OBIEE_DATA!$A$1:$ZZ$999, $AX56,FALSE),"")</f>
        <v>978.85438972162763</v>
      </c>
      <c r="S56" s="41">
        <f>IF(I56&lt;&gt;"",IF(I56&lt;=G56,0,IF(I56&gt;=H56,D56,SQRT((I56-G56)/(H56-G56))*D56)),0)</f>
        <v>0.11872136015939135</v>
      </c>
      <c r="T56" s="41">
        <f>IF(M56&lt;&gt;"",IF(M56&lt;=K56,0,IF(M56&gt;=L56,D56,SQRT((M56-K56)/(L56-K56))*D56)),0)</f>
        <v>0.115207796730299</v>
      </c>
      <c r="U56" s="41">
        <f>IF(Q56&lt;&gt;"",IF(Q56&lt;=O56,0,IF(Q56&gt;=P56,D56,SQRT((Q56-O56)/(P56-O56))*D56)),0)</f>
        <v>8.6103024760729174E-2</v>
      </c>
      <c r="V56" s="139">
        <f>(S56*Service_Weights!$E$11) + (T56*Service_Weights!$F$11) + (U56*Service_Weights!$G$11)</f>
        <v>6.689698823630426</v>
      </c>
      <c r="AM56" s="247">
        <f>(S56*Service_Weights!$E$11)</f>
        <v>4.2739689657380886</v>
      </c>
      <c r="AN56" s="247">
        <f>(T56*Service_Weights!$F$11)</f>
        <v>1.382493560763588</v>
      </c>
      <c r="AO56" s="247">
        <f xml:space="preserve">  (U56*Service_Weights!$G$11)</f>
        <v>1.0332362971287501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35289.141414141421</v>
      </c>
      <c r="J57" s="25"/>
      <c r="K57" s="22">
        <v>15000</v>
      </c>
      <c r="L57" s="31">
        <v>50000</v>
      </c>
      <c r="M57" s="64">
        <f>IFERROR( VLOOKUP($AZ$11,OBIEE_DATA!$A$1:$ZZ$999, $AX57,FALSE),I57)</f>
        <v>37162.931034482775</v>
      </c>
      <c r="N57" s="25"/>
      <c r="O57" s="22">
        <v>6000</v>
      </c>
      <c r="P57" s="31">
        <v>45000</v>
      </c>
      <c r="Q57" s="64">
        <f>IFERROR( VLOOKUP($AZ$12,OBIEE_DATA!$A$1:$ZZ$999, $AX57,FALSE),"")</f>
        <v>22696.363636363643</v>
      </c>
      <c r="S57" s="41">
        <f>IF(I57&lt;&gt;"",IF(I57&lt;=G57,0,IF(I57&gt;=H57,D57,SQRT((I57-G57)/(H57-G57))*D57)),0)</f>
        <v>6.0909887785272038E-2</v>
      </c>
      <c r="T57" s="41">
        <f>IF(M57&lt;&gt;"",IF(M57&lt;=K57,0,IF(M57&gt;=L57,D57,SQRT((M57-K57)/(L57-K57))*D57)),0)</f>
        <v>6.3660429202962665E-2</v>
      </c>
      <c r="U57" s="41">
        <f>IF(Q57&lt;&gt;"",IF(Q57&lt;=O57,0,IF(Q57&gt;=P57,D57,SQRT((Q57-O57)/(P57-O57))*D57)),0)</f>
        <v>5.2344207739883554E-2</v>
      </c>
      <c r="V57" s="139">
        <f>(S57*Service_Weights!$E$11) + (T57*Service_Weights!$F$11) + (U57*Service_Weights!$G$11)</f>
        <v>3.5848116035839483</v>
      </c>
      <c r="AM57" s="247">
        <f>(S57*Service_Weights!$E$11)</f>
        <v>2.1927559602697935</v>
      </c>
      <c r="AN57" s="247">
        <f>(T57*Service_Weights!$F$11)</f>
        <v>0.76392515043555198</v>
      </c>
      <c r="AO57" s="247">
        <f xml:space="preserve">  (U57*Service_Weights!$G$11)</f>
        <v>0.62813049287860268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0.85040495108773373</v>
      </c>
      <c r="T58" s="53">
        <f t="shared" ref="T58:U58" si="15">SUM(T54:T57)</f>
        <v>0.85475491165388395</v>
      </c>
      <c r="U58" s="53">
        <f t="shared" si="15"/>
        <v>0.690423563503343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30.614578239158416</v>
      </c>
      <c r="T59" s="131">
        <f>T58*Service_Weights!F11</f>
        <v>10.257058939846608</v>
      </c>
      <c r="U59" s="131">
        <f>U58*Service_Weights!G11</f>
        <v>8.2850827620401155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19">
        <v>100</v>
      </c>
      <c r="I62" s="65">
        <f>IFERROR( VLOOKUP($AZ$10,OBIEE_DATA!$A$1:$ZZ$999, $AX62,FALSE),"")</f>
        <v>98.787991135837302</v>
      </c>
      <c r="J62" s="25"/>
      <c r="K62" s="18">
        <v>85</v>
      </c>
      <c r="L62" s="19">
        <v>100</v>
      </c>
      <c r="M62" s="65">
        <f>IFERROR( VLOOKUP($AZ$11,OBIEE_DATA!$A$1:$ZZ$999, $AX62,FALSE),I62)</f>
        <v>98.767852264853474</v>
      </c>
      <c r="N62" s="25"/>
      <c r="O62" s="18">
        <v>75</v>
      </c>
      <c r="P62" s="19">
        <v>100</v>
      </c>
      <c r="Q62" s="65">
        <f>IFERROR( VLOOKUP($AZ$12,OBIEE_DATA!$A$1:$ZZ$999, $AX62,FALSE),"")</f>
        <v>97.911142085213967</v>
      </c>
      <c r="S62" s="41">
        <f>IF(I62&lt;&gt;"",IF(I62&lt;=(0.9*G62+0.1*H62),0.1*D62*I62/(0.9*G62+0.1*H62),IF(I62&gt;=H62,D62,(I62-G62)/(H62-G62)*D62)),0)</f>
        <v>0.50555967498070109</v>
      </c>
      <c r="T62" s="41">
        <f>IF(M62&lt;&gt;"",IF(M62&lt;=(0.9*K62+0.1*L62),0.1*D62*M62/(0.9*K62+0.1*L62),IF(M62&gt;=L62,D62,(M62-K62)/(L62-K62)*D62)),0)</f>
        <v>0.50482124971129416</v>
      </c>
      <c r="U62" s="41">
        <f>IF(Q62&lt;&gt;"",IF(Q62&lt;=(0.9*O62+0.1*P62),0.1*D62*Q62/(0.9*O62+0.1*P62),IF(Q62&gt;=P62,D62,(Q62-O62)/(P62-O62)*D62)),0)</f>
        <v>0.50404512587470729</v>
      </c>
      <c r="V62" s="139">
        <f>(S62*Service_Weights!$E$12) + (T62*Service_Weights!$F$12) + (U62*Service_Weights!$G$12)</f>
        <v>75.766362015843143</v>
      </c>
      <c r="AM62" s="247">
        <f>(S62*Service_Weights!$E$12)</f>
        <v>45.500370748263101</v>
      </c>
      <c r="AN62" s="247">
        <f xml:space="preserve"> (T62*Service_Weights!$F$12)</f>
        <v>15.144637491338825</v>
      </c>
      <c r="AO62" s="247">
        <f xml:space="preserve"> (U62*Service_Weights!$G$12)</f>
        <v>15.121353776241218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1">
        <v>4.5</v>
      </c>
      <c r="I63" s="63">
        <f>IFERROR( VLOOKUP($AZ$10,OBIEE_DATA!$A$1:$ZZ$999, $AX63,FALSE),"")</f>
        <v>1.0187430975397564</v>
      </c>
      <c r="J63" s="25"/>
      <c r="K63" s="20">
        <v>1</v>
      </c>
      <c r="L63" s="21">
        <v>4.5</v>
      </c>
      <c r="M63" s="63">
        <f>IFERROR( VLOOKUP($AZ$11,OBIEE_DATA!$A$1:$ZZ$999, $AX63,FALSE),I63)</f>
        <v>1.1052782476118455</v>
      </c>
      <c r="N63" s="25"/>
      <c r="O63" s="20">
        <v>1.5</v>
      </c>
      <c r="P63" s="21">
        <v>5</v>
      </c>
      <c r="Q63" s="63">
        <f>IFERROR( VLOOKUP($AZ$12,OBIEE_DATA!$A$1:$ZZ$999, $AX63,FALSE),"")</f>
        <v>1.311065706741126</v>
      </c>
      <c r="S63" s="41">
        <f>IF(AND(I63&lt;&gt;"",I63&lt;&gt;0),IF(I63&lt;=G63,D63,IF(I63&gt;=H63,0,D63-(I63-G63)/(H63-G63)*D63)),0)</f>
        <v>4.9732241463717769E-2</v>
      </c>
      <c r="T63" s="41">
        <f>IF(AND(M63&lt;&gt;"",M63&lt;&gt;0),IF(M63&lt;=K63,D63,IF(M63&gt;=L63,0,D63-(M63-K63)/(L63-K63)*D63)),0)</f>
        <v>4.8496025034116499E-2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7.4307824827580946</v>
      </c>
      <c r="AM63" s="247">
        <f>(S63*Service_Weights!$E$12)</f>
        <v>4.4759017317345995</v>
      </c>
      <c r="AN63" s="247">
        <f xml:space="preserve"> (T63*Service_Weights!$F$12)</f>
        <v>1.4548807510234949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1">
        <v>100</v>
      </c>
      <c r="I64" s="63">
        <f>IFERROR( VLOOKUP($AZ$10,OBIEE_DATA!$A$1:$ZZ$999, $AX64,FALSE),"")</f>
        <v>99.527419483083278</v>
      </c>
      <c r="J64" s="25"/>
      <c r="K64" s="20">
        <v>90</v>
      </c>
      <c r="L64" s="21">
        <v>100</v>
      </c>
      <c r="M64" s="63">
        <f>IFERROR( VLOOKUP($AZ$11,OBIEE_DATA!$A$1:$ZZ$999, $AX64,FALSE),I64)</f>
        <v>99.845777476043452</v>
      </c>
      <c r="N64" s="25"/>
      <c r="O64" s="20">
        <v>80</v>
      </c>
      <c r="P64" s="21">
        <v>100</v>
      </c>
      <c r="Q64" s="63">
        <f>IFERROR( VLOOKUP($AZ$12,OBIEE_DATA!$A$1:$ZZ$999, $AX64,FALSE),"")</f>
        <v>97.419288949259169</v>
      </c>
      <c r="S64" s="41">
        <f>IF(OR(I64&lt;=G64,I64=""),0,IF(I64&gt;=H64,D64,(I64-G64)/(H64-G64)*D64))</f>
        <v>0.14291129224624916</v>
      </c>
      <c r="T64" s="41">
        <f>IF(OR(M64&lt;=K64,M64=""),0,IF(M64&gt;=L64,D64,(M64-K64)/(L64-K64)*D64))</f>
        <v>0.14768666214065176</v>
      </c>
      <c r="U64" s="41">
        <f>IF(OR(Q64&lt;=O64,Q64=""),0,IF(Q64&gt;=P64,D64,(Q64-O64)/(P64-O64)*D64))</f>
        <v>0.13064466711944375</v>
      </c>
      <c r="V64" s="139">
        <f>(S64*Service_Weights!$E$12) + (T64*Service_Weights!$F$12) + (U64*Service_Weights!$G$12)</f>
        <v>21.211956179965288</v>
      </c>
      <c r="AM64" s="247">
        <f>(S64*Service_Weights!$E$12)</f>
        <v>12.862016302162424</v>
      </c>
      <c r="AN64" s="247">
        <f xml:space="preserve"> (T64*Service_Weights!$F$12)</f>
        <v>4.4305998642195528</v>
      </c>
      <c r="AO64" s="247">
        <f xml:space="preserve"> (U64*Service_Weights!$G$12)</f>
        <v>3.9193400135833127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248">
        <v>690</v>
      </c>
      <c r="I65" s="64">
        <f>IFERROR( VLOOKUP($AZ$10,OBIEE_DATA!$A$1:$ZZ$999, $AX65,FALSE),"")</f>
        <v>648.97458140577828</v>
      </c>
      <c r="J65" s="25"/>
      <c r="K65" s="22">
        <v>360</v>
      </c>
      <c r="L65" s="248">
        <v>690</v>
      </c>
      <c r="M65" s="64">
        <f>IFERROR( VLOOKUP($AZ$11,OBIEE_DATA!$A$1:$ZZ$999, $AX65,FALSE),I65)</f>
        <v>639.33392267005695</v>
      </c>
      <c r="N65" s="25"/>
      <c r="O65" s="22">
        <v>360</v>
      </c>
      <c r="P65" s="248">
        <v>690</v>
      </c>
      <c r="Q65" s="64">
        <f>IFERROR( VLOOKUP($AZ$12,OBIEE_DATA!$A$1:$ZZ$999, $AX65,FALSE),"")</f>
        <v>547.85714285714289</v>
      </c>
      <c r="S65" s="41">
        <f t="shared" ref="S65" si="16">IF(OR(I65&lt;=G65,I65=""),0,IF(I65&gt;=H65,D65,(I65-G65)/(H65-G65)*D65))</f>
        <v>0.2189201374286199</v>
      </c>
      <c r="T65" s="41">
        <f t="shared" ref="T65" si="17">IF(OR(M65&lt;=K65,M65=""),0,IF(M65&gt;=L65,D65,(M65-K65)/(L65-K65)*D65))</f>
        <v>0.21161660808337648</v>
      </c>
      <c r="U65" s="41">
        <f t="shared" ref="U65" si="18">IF(OR(Q65&lt;=O65,Q65=""),0,IF(Q65&gt;=P65,D65,(Q65-O65)/(P65-O65)*D65))</f>
        <v>0.14231601731601734</v>
      </c>
      <c r="V65" s="139">
        <f>(S65*Service_Weights!$E$12) + (T65*Service_Weights!$F$12) + (U65*Service_Weights!$G$12)</f>
        <v>30.320791130557605</v>
      </c>
      <c r="AM65" s="247">
        <f>(S65*Service_Weights!$E$12)</f>
        <v>19.702812368575792</v>
      </c>
      <c r="AN65" s="247">
        <f xml:space="preserve"> (T65*Service_Weights!$F$12)</f>
        <v>6.3484982425012948</v>
      </c>
      <c r="AO65" s="247">
        <f xml:space="preserve"> (U65*Service_Weights!$G$12)</f>
        <v>4.2694805194805205</v>
      </c>
      <c r="AX65">
        <v>29</v>
      </c>
    </row>
    <row r="66" spans="1:50" x14ac:dyDescent="0.25">
      <c r="R66" t="s">
        <v>42</v>
      </c>
      <c r="S66" s="53">
        <f>SUM(S62:S65)</f>
        <v>0.91712334611928792</v>
      </c>
      <c r="T66" s="53">
        <f>SUM(T62:T65)</f>
        <v>0.9126205449694389</v>
      </c>
      <c r="U66" s="53">
        <f>SUM(U62:U65)</f>
        <v>0.82700581031016851</v>
      </c>
    </row>
    <row r="67" spans="1:50" x14ac:dyDescent="0.25">
      <c r="R67" t="s">
        <v>483</v>
      </c>
      <c r="S67" s="131">
        <f>S66*Service_Weights!E12</f>
        <v>82.541101150735912</v>
      </c>
      <c r="T67" s="131">
        <f>T66*Service_Weights!F12</f>
        <v>27.378616349083167</v>
      </c>
      <c r="U67" s="131">
        <f>U66*Service_Weights!G12</f>
        <v>24.810174309305054</v>
      </c>
    </row>
    <row r="69" spans="1:50" ht="45" x14ac:dyDescent="0.25">
      <c r="R69" s="129" t="s">
        <v>484</v>
      </c>
      <c r="S69" s="132">
        <f>S67+S59+S51+S43+S35+S27+S20</f>
        <v>311.46169045140812</v>
      </c>
      <c r="T69" s="132">
        <f>T67+T59+T51+T43+T35+T27+T20</f>
        <v>102.34656282278996</v>
      </c>
      <c r="U69" s="132">
        <f>U67+U59+U51+U43+U35+U27+U20</f>
        <v>89.023230873917726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tabColor rgb="FFFFFF00"/>
  </sheetPr>
  <dimension ref="A1:BO69"/>
  <sheetViews>
    <sheetView zoomScale="80" zoomScaleNormal="80" workbookViewId="0"/>
  </sheetViews>
  <sheetFormatPr baseColWidth="10" defaultColWidth="9.140625" defaultRowHeight="15" x14ac:dyDescent="0.25"/>
  <cols>
    <col min="1" max="1" width="50.7109375" bestFit="1" customWidth="1"/>
    <col min="2" max="3" width="0" hidden="1" customWidth="1"/>
    <col min="4" max="5" width="11.140625" bestFit="1" customWidth="1"/>
    <col min="6" max="6" width="12" bestFit="1" customWidth="1"/>
    <col min="7" max="7" width="9.28515625" bestFit="1" customWidth="1"/>
    <col min="8" max="8" width="10.28515625" bestFit="1" customWidth="1"/>
    <col min="9" max="9" width="12.42578125" customWidth="1"/>
    <col min="11" max="11" width="9.28515625" bestFit="1" customWidth="1"/>
    <col min="12" max="12" width="9.7109375" bestFit="1" customWidth="1"/>
    <col min="15" max="15" width="9.28515625" bestFit="1" customWidth="1"/>
    <col min="16" max="16" width="9.7109375" bestFit="1" customWidth="1"/>
    <col min="19" max="19" width="10.5703125" bestFit="1" customWidth="1"/>
    <col min="20" max="20" width="13.7109375" bestFit="1" customWidth="1"/>
    <col min="21" max="21" width="12.42578125" bestFit="1" customWidth="1"/>
    <col min="23" max="38" width="0" hidden="1" customWidth="1"/>
    <col min="52" max="52" width="30.42578125" customWidth="1"/>
    <col min="53" max="55" width="1.5703125" customWidth="1"/>
    <col min="56" max="56" width="28.85546875" customWidth="1"/>
    <col min="57" max="59" width="11.42578125" customWidth="1"/>
    <col min="60" max="60" width="28.85546875" customWidth="1"/>
    <col min="61" max="63" width="11.42578125" customWidth="1"/>
    <col min="64" max="64" width="28.85546875" customWidth="1"/>
    <col min="65" max="67" width="11.42578125" customWidth="1"/>
  </cols>
  <sheetData>
    <row r="1" spans="1:67" ht="60" customHeight="1" thickBot="1" x14ac:dyDescent="0.35">
      <c r="A1" s="4" t="s">
        <v>17</v>
      </c>
      <c r="D1" s="340" t="s">
        <v>23</v>
      </c>
      <c r="E1" s="342" t="s">
        <v>37</v>
      </c>
      <c r="F1" s="342"/>
      <c r="G1" s="342"/>
      <c r="H1" s="342"/>
      <c r="I1" s="54"/>
    </row>
    <row r="2" spans="1:67" ht="60" customHeight="1" thickBot="1" x14ac:dyDescent="0.45">
      <c r="A2" s="3"/>
      <c r="D2" s="341"/>
      <c r="E2" s="7" t="s">
        <v>33</v>
      </c>
      <c r="F2" s="7" t="s">
        <v>34</v>
      </c>
      <c r="G2" s="7" t="s">
        <v>35</v>
      </c>
      <c r="H2" s="7" t="s">
        <v>36</v>
      </c>
      <c r="I2" s="7"/>
      <c r="W2" s="343" t="s">
        <v>53</v>
      </c>
      <c r="X2" s="344"/>
      <c r="Y2" s="344"/>
      <c r="Z2" s="344"/>
      <c r="AA2" s="344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3"/>
    </row>
    <row r="3" spans="1:67" ht="21.75" thickBot="1" x14ac:dyDescent="0.4">
      <c r="A3" s="6" t="s">
        <v>18</v>
      </c>
      <c r="G3" s="6" t="s">
        <v>39</v>
      </c>
      <c r="H3" s="6"/>
      <c r="I3" s="6"/>
      <c r="K3" s="6" t="s">
        <v>55</v>
      </c>
      <c r="L3" s="6"/>
      <c r="M3" s="6"/>
      <c r="O3" s="6" t="s">
        <v>54</v>
      </c>
      <c r="P3" s="6"/>
      <c r="Q3" s="6"/>
      <c r="S3" s="26" t="s">
        <v>39</v>
      </c>
      <c r="T3" s="26" t="s">
        <v>55</v>
      </c>
      <c r="U3" s="52" t="s">
        <v>54</v>
      </c>
      <c r="W3" s="34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9"/>
    </row>
    <row r="4" spans="1:67" ht="19.5" thickBot="1" x14ac:dyDescent="0.35">
      <c r="A4" s="5" t="s">
        <v>19</v>
      </c>
      <c r="D4" s="8">
        <f>SUM(D6:D9)</f>
        <v>1</v>
      </c>
      <c r="W4" s="34" t="s">
        <v>52</v>
      </c>
      <c r="X4" s="10"/>
      <c r="Y4" s="10" t="s">
        <v>49</v>
      </c>
      <c r="Z4" s="10" t="s">
        <v>50</v>
      </c>
      <c r="AA4" s="35">
        <v>80</v>
      </c>
      <c r="AB4" s="35">
        <v>82</v>
      </c>
      <c r="AC4" s="35">
        <v>84</v>
      </c>
      <c r="AD4" s="35">
        <v>86</v>
      </c>
      <c r="AE4" s="35">
        <v>88</v>
      </c>
      <c r="AF4" s="35">
        <v>90</v>
      </c>
      <c r="AG4" s="35">
        <v>92</v>
      </c>
      <c r="AH4" s="35">
        <v>94</v>
      </c>
      <c r="AI4" s="35">
        <v>96</v>
      </c>
      <c r="AJ4" s="35">
        <v>98</v>
      </c>
      <c r="AK4" s="35">
        <v>100</v>
      </c>
      <c r="AL4" s="9"/>
      <c r="BF4" t="str">
        <f>IF(CONFIG!D4="P3 Public VoLTE","VOLTE_CAP","4G")</f>
        <v>4G</v>
      </c>
      <c r="BJ4" t="str">
        <f>IF(CONFIG!D6="P3 Public VoLTE","VOLTE_CAP","4G")</f>
        <v>4G</v>
      </c>
      <c r="BN4" t="str">
        <f>IF(CONFIG!D8="P3 Public VoLTE","VOLTE_CAP","4G")</f>
        <v>4G</v>
      </c>
    </row>
    <row r="5" spans="1:67" ht="15.75" thickBot="1" x14ac:dyDescent="0.3">
      <c r="A5" t="s">
        <v>20</v>
      </c>
      <c r="D5" s="1"/>
      <c r="V5" s="138" t="s">
        <v>483</v>
      </c>
      <c r="W5" s="34" t="s">
        <v>51</v>
      </c>
      <c r="X5" s="10"/>
      <c r="Y5" s="10">
        <v>80</v>
      </c>
      <c r="Z5" s="10">
        <v>100</v>
      </c>
      <c r="AA5" s="10">
        <f>(AA4-$Y$5)/($Z$5-$Y$5)*$D$6</f>
        <v>0</v>
      </c>
      <c r="AB5" s="10">
        <f t="shared" ref="AB5:AJ5" si="0">(AB4-$Y$5)/($Z$5-$Y$5)*$D$6</f>
        <v>6.9999999999999993E-2</v>
      </c>
      <c r="AC5" s="10">
        <f t="shared" si="0"/>
        <v>0.13999999999999999</v>
      </c>
      <c r="AD5" s="10">
        <f t="shared" si="0"/>
        <v>0.21</v>
      </c>
      <c r="AE5" s="10">
        <f t="shared" si="0"/>
        <v>0.27999999999999997</v>
      </c>
      <c r="AF5" s="10">
        <f t="shared" si="0"/>
        <v>0.35</v>
      </c>
      <c r="AG5" s="10">
        <f t="shared" si="0"/>
        <v>0.42</v>
      </c>
      <c r="AH5" s="10">
        <f t="shared" si="0"/>
        <v>0.48999999999999994</v>
      </c>
      <c r="AI5" s="10">
        <f t="shared" si="0"/>
        <v>0.55999999999999994</v>
      </c>
      <c r="AJ5" s="10">
        <f t="shared" si="0"/>
        <v>0.63</v>
      </c>
      <c r="AK5" s="10">
        <f>(AK4-$Y$5)/($Z$5-$Y$5)*$D$6</f>
        <v>0.7</v>
      </c>
      <c r="AL5" s="9"/>
      <c r="AM5" t="s">
        <v>632</v>
      </c>
      <c r="AN5" t="s">
        <v>40</v>
      </c>
      <c r="AO5" t="s">
        <v>633</v>
      </c>
      <c r="BD5" s="99" t="s">
        <v>473</v>
      </c>
      <c r="BE5" s="32" t="s">
        <v>472</v>
      </c>
      <c r="BF5" s="32" t="s">
        <v>479</v>
      </c>
      <c r="BG5" s="33" t="s">
        <v>480</v>
      </c>
      <c r="BH5" s="99" t="s">
        <v>475</v>
      </c>
      <c r="BI5" s="32" t="s">
        <v>476</v>
      </c>
      <c r="BJ5" s="32" t="s">
        <v>481</v>
      </c>
      <c r="BK5" s="32" t="s">
        <v>482</v>
      </c>
      <c r="BL5" s="99" t="s">
        <v>477</v>
      </c>
      <c r="BM5" s="32" t="s">
        <v>478</v>
      </c>
      <c r="BN5" s="32" t="s">
        <v>481</v>
      </c>
      <c r="BO5" s="33" t="s">
        <v>482</v>
      </c>
    </row>
    <row r="6" spans="1:67" x14ac:dyDescent="0.25">
      <c r="A6" t="s">
        <v>21</v>
      </c>
      <c r="D6" s="1">
        <v>0.7</v>
      </c>
      <c r="E6" t="s">
        <v>47</v>
      </c>
      <c r="G6" s="18">
        <v>87</v>
      </c>
      <c r="H6" s="19">
        <v>100</v>
      </c>
      <c r="I6" s="27">
        <f>IFERROR(IF($AZ$6="AVG",BE6,VLOOKUP($AZ$6,OBIEE_VOICE!$A$1:$ZZ$999,$AX6,FALSE)),"")</f>
        <v>96.568405465414685</v>
      </c>
      <c r="K6" s="18">
        <v>87</v>
      </c>
      <c r="L6" s="19">
        <v>100</v>
      </c>
      <c r="M6" s="27">
        <f>IFERROR(IF($AZ$7="AVG",BI6,VLOOKUP($AZ$7,OBIEE_VOICE!$A$1:$ZZ$999,$AX6,FALSE)),I6)</f>
        <v>97.709501049475691</v>
      </c>
      <c r="O6" s="18">
        <v>80</v>
      </c>
      <c r="P6" s="19">
        <v>100</v>
      </c>
      <c r="Q6" s="27">
        <f>IFERROR( IF(    $AZ$8="AVG", IF(ISNUMBER(VLOOKUP(CONCATENATE($BL$6,$BN$4),OBIEE_VOICE!$A$1:$ZZ$999, $AX6,FALSE)),BM6,BN6),VLOOKUP($AZ$8,OBIEE_VOICE!$A$1:$ZZ$999,$AX6,FALSE)),"")</f>
        <v>82.609603340292281</v>
      </c>
      <c r="S6" s="41">
        <f>IF(I6&lt;&gt;"",IF(I6&lt;=(0.9*G6+0.1*H6),0.1*D6*I6/(0.9*G6+0.1*H6),IF(I6&gt;=H6,D6,(I6-G6)/(H6-G6)*D6)),0)</f>
        <v>0.51522183275309841</v>
      </c>
      <c r="T6" s="41">
        <f>IF(M6&lt;&gt;"",IF(M6&lt;=(0.9*K6+0.1*L6),0.1*D6*M6/(0.9*K6+0.1*L6),IF(M6&gt;=L6,D6,(M6-K6)/(L6-K6)*D6)),0)</f>
        <v>0.57666544112561402</v>
      </c>
      <c r="U6" s="41">
        <f>IF(Q6&lt;&gt;"",IF(Q6&lt;=(0.9*O6+0.1*P6),0.1*D6*Q6/(0.9*O6+0.1*P6),IF(Q6&gt;=P6,D6,(Q6-O6)/(P6-O6)*D6)),0)</f>
        <v>9.1336116910229845E-2</v>
      </c>
      <c r="V6" s="139">
        <f>(S6*Service_Weights!$E$2) + (T6*Service_Weights!$F$2) + (U6*Service_Weights!$G$2)</f>
        <v>177.09336450361113</v>
      </c>
      <c r="W6" s="34" t="s">
        <v>46</v>
      </c>
      <c r="X6" s="10"/>
      <c r="Y6" s="10">
        <v>80</v>
      </c>
      <c r="Z6" s="10">
        <v>100</v>
      </c>
      <c r="AA6" s="10">
        <f>SQRT((AA4-$Y$5)/($Z$5-$Y$5))*$D$6</f>
        <v>0</v>
      </c>
      <c r="AB6" s="10">
        <f t="shared" ref="AB6:AJ6" si="1">SQRT((AB4-$Y$5)/($Z$5-$Y$5))*$D$6</f>
        <v>0.22135943621178655</v>
      </c>
      <c r="AC6" s="10">
        <f t="shared" si="1"/>
        <v>0.31304951684997051</v>
      </c>
      <c r="AD6" s="10">
        <f t="shared" si="1"/>
        <v>0.38340579025361621</v>
      </c>
      <c r="AE6" s="10">
        <f t="shared" si="1"/>
        <v>0.44271887242357311</v>
      </c>
      <c r="AF6" s="10">
        <f t="shared" si="1"/>
        <v>0.49497474683058329</v>
      </c>
      <c r="AG6" s="10">
        <f t="shared" si="1"/>
        <v>0.54221766846903829</v>
      </c>
      <c r="AH6" s="10">
        <f t="shared" si="1"/>
        <v>0.58566201857385281</v>
      </c>
      <c r="AI6" s="10">
        <f t="shared" si="1"/>
        <v>0.62609903369994102</v>
      </c>
      <c r="AJ6" s="10">
        <f t="shared" si="1"/>
        <v>0.66407830863535955</v>
      </c>
      <c r="AK6" s="10">
        <f>SQRT((AK4-$Y$5)/($Z$5-$Y$5))*$D$6</f>
        <v>0.7</v>
      </c>
      <c r="AL6" s="9"/>
      <c r="AM6" s="247">
        <f>(S6*Service_Weights!$E$2)</f>
        <v>123.65323986074361</v>
      </c>
      <c r="AN6" s="247">
        <f>(T6*Service_Weights!$F$2)</f>
        <v>46.133235290049122</v>
      </c>
      <c r="AO6" s="247">
        <f xml:space="preserve"> (U6*Service_Weights!$G$2)</f>
        <v>7.3068893528183878</v>
      </c>
      <c r="AX6">
        <v>2</v>
      </c>
      <c r="AZ6" t="str">
        <f>CONFIG!E20</f>
        <v>VF-ES_YOIGO_MAIN CITIES_4G</v>
      </c>
      <c r="BD6" s="34" t="str">
        <f>CONFIG!E21</f>
        <v>VF-ES_YOIGO_MAIN CITIES_</v>
      </c>
      <c r="BE6" s="10">
        <f>AVERAGE(BF6,BG6)</f>
        <v>96.56620894193793</v>
      </c>
      <c r="BF6" s="10">
        <f>IFERROR(IFERROR(VLOOKUP(CONCATENATE($BD$6,$BF$4),OBIEE_VOICE!$A$1:$ZZ$999, $AX6,FALSE),VLOOKUP(CONCATENATE($BD$6,"4G"),OBIEE_VOICE!$A$1:$ZZ$999, $AX6,FALSE)),"")</f>
        <v>96.568405465414685</v>
      </c>
      <c r="BG6" s="9">
        <f>IFERROR(VLOOKUP(CONCATENATE($BD$6,"3G+4G"),OBIEE_VOICE!$A$1:$ZZ$999, $AX6,FALSE),"")</f>
        <v>96.564012418461189</v>
      </c>
      <c r="BH6" s="34" t="str">
        <f>CONFIG!E23</f>
        <v>VF-ES_YOIGO_SMALLER CITIES_</v>
      </c>
      <c r="BI6" s="10">
        <f>AVERAGE(BJ6,BK6)</f>
        <v>97.593794096171081</v>
      </c>
      <c r="BJ6" s="10">
        <f>IFERROR(IFERROR(VLOOKUP(CONCATENATE($BH$6,$BJ$4),OBIEE_VOICE!$A$1:$ZZ$999, $AX6,FALSE),VLOOKUP(CONCATENATE($BH$6,"4G"),OBIEE_VOICE!$A$1:$ZZ$999, $AX6,FALSE)),"")</f>
        <v>97.709501049475691</v>
      </c>
      <c r="BK6" s="10">
        <f>IFERROR(VLOOKUP(CONCATENATE($BH$6,"3G+4G"),OBIEE_VOICE!$A$1:$ZZ$999, $AX6,FALSE),"")</f>
        <v>97.478087142866457</v>
      </c>
      <c r="BL6" s="34" t="str">
        <f>CONFIG!E25</f>
        <v>VF-ES_YOIGO_MAIN HIGHWAYS_</v>
      </c>
      <c r="BM6" s="10">
        <f>AVERAGE(BN6,BO6)</f>
        <v>82.609603340292281</v>
      </c>
      <c r="BN6" s="10">
        <f>IFERROR(IFERROR(VLOOKUP(CONCATENATE($BL$6,$BN$4),OBIEE_VOICE!$A$1:$ZZ$999, $AX6,FALSE),VLOOKUP(CONCATENATE($BL$6,"4G"),OBIEE_VOICE!$A$1:$ZZ$999, $AX6,FALSE)),"")</f>
        <v>82.609603340292281</v>
      </c>
      <c r="BO6" s="9">
        <f>IFERROR(VLOOKUP(CONCATENATE($BL$6,"3G+4G"),OBIEE_VOICE!$A$1:$ZZ$999, $AX6,FALSE),"")</f>
        <v>82.609603340292281</v>
      </c>
    </row>
    <row r="7" spans="1:67" x14ac:dyDescent="0.25">
      <c r="A7" s="129" t="s">
        <v>497</v>
      </c>
      <c r="D7" s="1">
        <v>0.15</v>
      </c>
      <c r="E7" t="s">
        <v>45</v>
      </c>
      <c r="G7" s="20">
        <v>3.5</v>
      </c>
      <c r="H7" s="21">
        <v>10</v>
      </c>
      <c r="I7" s="28">
        <f>IFERROR(IF($AZ$6="AVG",BE7,VLOOKUP($AZ$6,OBIEE_VOICE!$A$1:$ZZ$999,$AX7,FALSE)),"")</f>
        <v>8.0443208204344785</v>
      </c>
      <c r="K7" s="20">
        <v>3.5</v>
      </c>
      <c r="L7" s="21">
        <v>10</v>
      </c>
      <c r="M7" s="28">
        <f>IFERROR(IF($AZ$7="AVG",BI7,VLOOKUP($AZ$7,OBIEE_VOICE!$A$1:$ZZ$999,$AX7,FALSE)),I7)</f>
        <v>7.7390726125116798</v>
      </c>
      <c r="O7" s="20">
        <v>3.5</v>
      </c>
      <c r="P7" s="21">
        <v>10</v>
      </c>
      <c r="Q7" s="28">
        <f>IFERROR(IF($AZ$8="AVG",IF(ISNUMBER(VLOOKUP(CONCATENATE($BL$6,$BN$4),OBIEE_VOICE!$A$1:$ZZ$999, $AX6,FALSE)),BM7,BN7),VLOOKUP($AZ$8,OBIEE_VOICE!$A$1:$ZZ$999,$AX7,FALSE)),"")</f>
        <v>7.8386518490537851</v>
      </c>
      <c r="S7" s="41">
        <f>IF(AND(I7&lt;&gt;"",I7&lt;&gt;0),IF(I7&lt;=G7,D7,IF(I7&gt;=H7,0,D7-(I7-G7)/(H7-G7)*D7)),0)</f>
        <v>4.5131057989973564E-2</v>
      </c>
      <c r="T7" s="41">
        <f>IF(AND(M7&lt;&gt;"",M7&lt;&gt;0),IF(M7&lt;=K7,D7,IF(M7&gt;=L7,0,D7-(M7-K7)/(L7-K7)*D7)),0)</f>
        <v>5.2175247403576624E-2</v>
      </c>
      <c r="U7" s="41">
        <f>IF(AND(Q7&lt;&gt;"",Q7&lt;&gt;0),IF(Q7&lt;=O7,D7,IF(Q7&gt;=P7,0,D7-(Q7-O7)/(P7-O7)*D7)),0)</f>
        <v>4.9877265021835718E-2</v>
      </c>
      <c r="V7" s="139">
        <f>(S7*Service_Weights!$E$2) + (T7*Service_Weights!$F$2) + (U7*Service_Weights!$G$2)</f>
        <v>18.995654911626644</v>
      </c>
      <c r="W7" s="34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9"/>
      <c r="AM7" s="247">
        <f>(S7*Service_Weights!$E$2)</f>
        <v>10.831453917593656</v>
      </c>
      <c r="AN7" s="247">
        <f>(T7*Service_Weights!$F$2)</f>
        <v>4.1740197922861295</v>
      </c>
      <c r="AO7" s="247">
        <f>(U7*Service_Weights!$G$2)</f>
        <v>3.9901812017468572</v>
      </c>
      <c r="AX7">
        <f>AX6+1</f>
        <v>3</v>
      </c>
      <c r="AZ7" t="str">
        <f>CONFIG!E22</f>
        <v>VF-ES_YOIGO_SMALLER CITIES_4G</v>
      </c>
      <c r="BD7" s="34"/>
      <c r="BE7" s="10">
        <f t="shared" ref="BE7:BE8" si="2">AVERAGE(BF7,BG7)</f>
        <v>7.5404664118172047</v>
      </c>
      <c r="BF7" s="10">
        <f>IFERROR(IFERROR(VLOOKUP(CONCATENATE($BD$6,$BF$4),OBIEE_VOICE!$A$1:$ZZ$999, $AX7,FALSE),VLOOKUP(CONCATENATE($BD$6,"4G"),OBIEE_VOICE!$A$1:$ZZ$999, $AX7,FALSE)),"")</f>
        <v>8.0443208204344785</v>
      </c>
      <c r="BG7" s="9">
        <f>IFERROR(VLOOKUP(CONCATENATE($BD$6,"3G+4G"),OBIEE_VOICE!$A$1:$ZZ$999, $AX7,FALSE),"")</f>
        <v>7.0366120031999317</v>
      </c>
      <c r="BH7" s="34"/>
      <c r="BI7" s="10">
        <f t="shared" ref="BI7:BI8" si="3">AVERAGE(BJ7,BK7)</f>
        <v>7.3381228652651043</v>
      </c>
      <c r="BJ7" s="10">
        <f>IFERROR(IFERROR(VLOOKUP(CONCATENATE($BH$6,$BJ$4),OBIEE_VOICE!$A$1:$ZZ$999, $AX7,FALSE),VLOOKUP(CONCATENATE($BH$6,"4G"),OBIEE_VOICE!$A$1:$ZZ$999, $AX7,FALSE)),"")</f>
        <v>7.7390726125116798</v>
      </c>
      <c r="BK7" s="10">
        <f>IFERROR(VLOOKUP(CONCATENATE($BH$6,"3G+4G"),OBIEE_VOICE!$A$1:$ZZ$999, $AX7,FALSE),"")</f>
        <v>6.9371731180185296</v>
      </c>
      <c r="BL7" s="34"/>
      <c r="BM7" s="10">
        <f t="shared" ref="BM7:BM8" si="4">AVERAGE(BN7,BO7)</f>
        <v>7.8386518490537851</v>
      </c>
      <c r="BN7" s="10">
        <f>IFERROR(IFERROR(VLOOKUP(CONCATENATE($BL$6,$BN$4),OBIEE_VOICE!$A$1:$ZZ$999, $AX7,FALSE),VLOOKUP(CONCATENATE($BL$6,"4G"),OBIEE_VOICE!$A$1:$ZZ$999, $AX7,FALSE)),"")</f>
        <v>7.8386518490537851</v>
      </c>
      <c r="BO7" s="9">
        <f>IFERROR(VLOOKUP(CONCATENATE($BL$6,"3G+4G"),OBIEE_VOICE!$A$1:$ZZ$999, $AX7,FALSE),"")</f>
        <v>7.8386518490537851</v>
      </c>
    </row>
    <row r="8" spans="1:67" ht="15.75" thickBot="1" x14ac:dyDescent="0.3">
      <c r="A8" t="s">
        <v>498</v>
      </c>
      <c r="D8" s="1">
        <v>0.15</v>
      </c>
      <c r="E8" t="s">
        <v>46</v>
      </c>
      <c r="G8" s="20">
        <v>2.2000000000000002</v>
      </c>
      <c r="H8" s="21">
        <v>4.0999999999999996</v>
      </c>
      <c r="I8" s="28">
        <f>IFERROR(IF($AZ$6="AVG",BE8,VLOOKUP($AZ$6,OBIEE_VOICE!$A$1:$ZZ$999,$AX8,FALSE)),"")</f>
        <v>2.8767419601022719</v>
      </c>
      <c r="K8" s="20">
        <v>2.2000000000000002</v>
      </c>
      <c r="L8" s="21">
        <v>4.0999999999999996</v>
      </c>
      <c r="M8" s="28">
        <f>IFERROR(IF($AZ$7="AVG",BI8,VLOOKUP($AZ$7,OBIEE_VOICE!$A$1:$ZZ$999,$AX8,FALSE)),I8)</f>
        <v>2.8512706279350586</v>
      </c>
      <c r="O8" s="20">
        <v>2.2000000000000002</v>
      </c>
      <c r="P8" s="21">
        <v>4.0999999999999996</v>
      </c>
      <c r="Q8" s="28">
        <f>IFERROR(IF($AZ$8="AVG",IF(ISNUMBER(VLOOKUP(CONCATENATE($BL$6,$BN$4),OBIEE_VOICE!$A$1:$ZZ$999, $AX6,FALSE)),BM8,BN8),VLOOKUP($AZ$8,OBIEE_VOICE!$A$1:$ZZ$999,$AX8,FALSE)),"")</f>
        <v>2.6024078166849542</v>
      </c>
      <c r="S8" s="41">
        <f>IF(I8&lt;&gt;"",IF(I8&lt;=G8,0,IF(I8&gt;=H8,D8,SQRT((I8-G8)/(H8-G8))*D8)),0)</f>
        <v>8.9521223894263785E-2</v>
      </c>
      <c r="T8" s="41">
        <f>IF(M8&lt;&gt;"",IF(M8&lt;=K8,0,IF(M8&gt;=L8,D8,SQRT((M8-K8)/(L8-K8))*D8)),0)</f>
        <v>8.7820358293563716E-2</v>
      </c>
      <c r="U8" s="41">
        <f>IF(Q8&lt;&gt;"",IF(Q8&lt;=O8,0,IF(Q8&gt;=P8,D8,SQRT((Q8-O8)/(P8-O8))*D8)),0)</f>
        <v>6.9031556000866537E-2</v>
      </c>
      <c r="V8" s="139">
        <f>(S8*Service_Weights!$E$2) + (T8*Service_Weights!$F$2) + (U8*Service_Weights!$G$2)</f>
        <v>34.033246878177728</v>
      </c>
      <c r="W8" s="34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9"/>
      <c r="AM8" s="247">
        <f>(S8*Service_Weights!$E$2)</f>
        <v>21.485093734623309</v>
      </c>
      <c r="AN8" s="247">
        <f>(T8*Service_Weights!$F$2)</f>
        <v>7.0256286634850973</v>
      </c>
      <c r="AO8" s="247">
        <f>(U8*Service_Weights!$G$2)</f>
        <v>5.5225244800693227</v>
      </c>
      <c r="AX8">
        <f>AX7+1</f>
        <v>4</v>
      </c>
      <c r="AZ8" t="str">
        <f>CONFIG!E24</f>
        <v>VF-ES_YOIGO_MAIN HIGHWAYS_4G</v>
      </c>
      <c r="BD8" s="37"/>
      <c r="BE8" s="38">
        <f t="shared" si="2"/>
        <v>2.8548135717779068</v>
      </c>
      <c r="BF8" s="38">
        <f>IFERROR(IFERROR(VLOOKUP(CONCATENATE($BD$6,$BF$4),OBIEE_VOICE!$A$1:$ZZ$999, $AX8,FALSE),VLOOKUP(CONCATENATE($BD$6,"4G"),OBIEE_VOICE!$A$1:$ZZ$999, $AX8,FALSE)),"")</f>
        <v>2.8767419601022719</v>
      </c>
      <c r="BG8" s="39">
        <f>IFERROR(VLOOKUP(CONCATENATE($BD$6,"3G+4G"),OBIEE_VOICE!$A$1:$ZZ$999, $AX8,FALSE),"")</f>
        <v>2.8328851834535413</v>
      </c>
      <c r="BH8" s="37"/>
      <c r="BI8" s="38">
        <f t="shared" si="3"/>
        <v>2.8343586841905855</v>
      </c>
      <c r="BJ8" s="38">
        <f>IFERROR(IFERROR(VLOOKUP(CONCATENATE($BH$6,$BJ$4),OBIEE_VOICE!$A$1:$ZZ$999, $AX8,FALSE),VLOOKUP(CONCATENATE($BH$6,"4G"),OBIEE_VOICE!$A$1:$ZZ$999, $AX8,FALSE)),"")</f>
        <v>2.8512706279350586</v>
      </c>
      <c r="BK8" s="38">
        <f>IFERROR(VLOOKUP(CONCATENATE($BH$6,"3G+4G"),OBIEE_VOICE!$A$1:$ZZ$999, $AX8,FALSE),"")</f>
        <v>2.8174467404461123</v>
      </c>
      <c r="BL8" s="37"/>
      <c r="BM8" s="38">
        <f t="shared" si="4"/>
        <v>2.6024078166849542</v>
      </c>
      <c r="BN8" s="38">
        <f>IFERROR(IFERROR(VLOOKUP(CONCATENATE($BL$6,$BN$4),OBIEE_VOICE!$A$1:$ZZ$999, $AX8,FALSE),VLOOKUP(CONCATENATE($BL$6,"4G"),OBIEE_VOICE!$A$1:$ZZ$999, $AX8,FALSE)),"")</f>
        <v>2.6024078166849542</v>
      </c>
      <c r="BO8" s="39">
        <f>IFERROR(VLOOKUP(CONCATENATE($BL$6,"3G+4G"),OBIEE_VOICE!$A$1:$ZZ$999, $AX8,FALSE),"")</f>
        <v>2.6024078166849542</v>
      </c>
    </row>
    <row r="9" spans="1:67" ht="15.75" thickBot="1" x14ac:dyDescent="0.3">
      <c r="A9" s="42" t="s">
        <v>22</v>
      </c>
      <c r="B9" s="42"/>
      <c r="C9" s="42"/>
      <c r="D9" s="43">
        <v>0</v>
      </c>
      <c r="E9" s="42" t="s">
        <v>47</v>
      </c>
      <c r="F9" s="42"/>
      <c r="G9" s="44">
        <v>90</v>
      </c>
      <c r="H9" s="45">
        <v>100</v>
      </c>
      <c r="I9" s="46"/>
      <c r="J9" s="42"/>
      <c r="K9" s="44">
        <v>90</v>
      </c>
      <c r="L9" s="45">
        <v>100</v>
      </c>
      <c r="M9" s="46"/>
      <c r="N9" s="42"/>
      <c r="O9" s="44">
        <v>90</v>
      </c>
      <c r="P9" s="45">
        <v>100</v>
      </c>
      <c r="Q9" s="46"/>
      <c r="R9" s="42"/>
      <c r="S9" s="41">
        <f>IF(I9&lt;&gt;"",IF(I9&lt;=G9,0,IF(I9&gt;=H9,D9,(I9-G9)/(H9-G9)*D9)),0)</f>
        <v>0</v>
      </c>
      <c r="T9" s="41">
        <f>IF(M9&lt;&gt;"",IF(M9&lt;=K9,0,IF(M9&gt;=L9,D9,(M9-K9)/(L9-K9)*D9)),0)</f>
        <v>0</v>
      </c>
      <c r="U9" s="41">
        <f>IF(Q9&lt;&gt;"",IF(Q9&lt;=O9,0,IF(Q9&gt;=P9,D9,(Q9-O9)/(P9-O9)*D9)),0)</f>
        <v>0</v>
      </c>
      <c r="V9" s="139">
        <f>(S9*Service_Weights!$E$2) + (T9*Service_Weights!$F$2) + (U9*Service_Weights!$G$2)</f>
        <v>0</v>
      </c>
      <c r="W9" s="36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9"/>
      <c r="AM9" s="247">
        <f>(S9*Service_Weights!$E$2)</f>
        <v>0</v>
      </c>
      <c r="AN9" s="247">
        <f>(T9*Service_Weights!$F$2)</f>
        <v>0</v>
      </c>
      <c r="AO9" s="247">
        <f>(U9*Service_Weights!$G$2)</f>
        <v>0</v>
      </c>
    </row>
    <row r="10" spans="1:67" x14ac:dyDescent="0.25">
      <c r="D10" s="1"/>
      <c r="R10" t="s">
        <v>42</v>
      </c>
      <c r="S10" s="53">
        <f>SUM(S6:S9)</f>
        <v>0.64987411463733569</v>
      </c>
      <c r="T10" s="53">
        <f t="shared" ref="T10:U10" si="5">SUM(T6:T9)</f>
        <v>0.71666104682275433</v>
      </c>
      <c r="U10" s="53">
        <f t="shared" si="5"/>
        <v>0.21024493793293209</v>
      </c>
      <c r="W10" s="34"/>
      <c r="X10" s="10"/>
      <c r="Y10" s="10"/>
      <c r="Z10" s="10"/>
      <c r="AA10" s="10" t="s">
        <v>51</v>
      </c>
      <c r="AB10" s="10" t="s">
        <v>46</v>
      </c>
      <c r="AC10" s="10"/>
      <c r="AD10" s="10"/>
      <c r="AE10" s="10"/>
      <c r="AF10" s="10"/>
      <c r="AG10" s="10"/>
      <c r="AH10" s="10"/>
      <c r="AI10" s="10"/>
      <c r="AJ10" s="10"/>
      <c r="AK10" s="10"/>
      <c r="AL10" s="9"/>
      <c r="AZ10" t="str">
        <f>CONFIG!E28</f>
        <v>VF-ES_YOIGO_MAIN CITIES_4G</v>
      </c>
    </row>
    <row r="11" spans="1:67" x14ac:dyDescent="0.25">
      <c r="D11" s="1"/>
      <c r="R11" t="s">
        <v>483</v>
      </c>
      <c r="S11" s="131">
        <f>S10*Service_Weights!E2</f>
        <v>155.96978751296058</v>
      </c>
      <c r="T11" s="131">
        <f>T10*Service_Weights!F2</f>
        <v>57.332883745820347</v>
      </c>
      <c r="U11" s="131">
        <f>U10*Service_Weights!G2</f>
        <v>16.819595034634567</v>
      </c>
      <c r="V11" s="128"/>
      <c r="W11" s="34"/>
      <c r="X11" s="10">
        <v>80</v>
      </c>
      <c r="Y11" s="10"/>
      <c r="Z11" s="10"/>
      <c r="AA11" s="10">
        <f>((AA4-$Y$5)/($Z$5-$Y$5))*$D$6</f>
        <v>0</v>
      </c>
      <c r="AB11" s="10">
        <f>SQRT((AA4-$Y$5)/($Z$5-$Y$5))*$D$6</f>
        <v>0</v>
      </c>
      <c r="AC11" s="10"/>
      <c r="AD11" s="10"/>
      <c r="AE11" s="10"/>
      <c r="AF11" s="10"/>
      <c r="AG11" s="10"/>
      <c r="AH11" s="10"/>
      <c r="AI11" s="10"/>
      <c r="AJ11" s="10"/>
      <c r="AK11" s="10"/>
      <c r="AL11" s="9"/>
      <c r="AZ11" t="str">
        <f>CONFIG!E30</f>
        <v>VF-ES_YOIGO_SMALLER CITIES_4G</v>
      </c>
    </row>
    <row r="12" spans="1:67" x14ac:dyDescent="0.25">
      <c r="D12" s="1"/>
      <c r="S12" s="40"/>
      <c r="T12" s="40"/>
      <c r="U12" s="40"/>
      <c r="W12" s="34"/>
      <c r="X12" s="10">
        <v>82</v>
      </c>
      <c r="Y12" s="10"/>
      <c r="Z12" s="10"/>
      <c r="AA12" s="10">
        <f>((AB4-$Y$5)/($Z$5-$Y$5))*$D$6</f>
        <v>6.9999999999999993E-2</v>
      </c>
      <c r="AB12" s="10">
        <f>SQRT((AB4-$Y$5)/($Z$5-$Y$5))*$D$6</f>
        <v>0.22135943621178655</v>
      </c>
      <c r="AC12" s="10"/>
      <c r="AD12" s="10"/>
      <c r="AE12" s="10"/>
      <c r="AF12" s="10"/>
      <c r="AG12" s="10"/>
      <c r="AH12" s="10"/>
      <c r="AI12" s="10"/>
      <c r="AJ12" s="10"/>
      <c r="AK12" s="10"/>
      <c r="AL12" s="9"/>
      <c r="AZ12" t="str">
        <f>CONFIG!E32</f>
        <v>VF-ES_YOIGO_MAIN HIGHWAYS_4G</v>
      </c>
    </row>
    <row r="13" spans="1:67" x14ac:dyDescent="0.25">
      <c r="D13" s="1"/>
      <c r="S13" s="40"/>
      <c r="T13" s="40"/>
      <c r="U13" s="40"/>
      <c r="W13" s="34"/>
      <c r="X13" s="10">
        <v>84</v>
      </c>
      <c r="Y13" s="10"/>
      <c r="Z13" s="10"/>
      <c r="AA13" s="10">
        <f>((AC4-$Y$5)/($Z$5-$Y$5))*$D$6</f>
        <v>0.13999999999999999</v>
      </c>
      <c r="AB13" s="10">
        <f>SQRT((AC4-$Y$5)/($Z$5-$Y$5))*$D$6</f>
        <v>0.31304951684997051</v>
      </c>
      <c r="AC13" s="10"/>
      <c r="AD13" s="10"/>
      <c r="AE13" s="10"/>
      <c r="AF13" s="10"/>
      <c r="AG13" s="10"/>
      <c r="AH13" s="10"/>
      <c r="AI13" s="10"/>
      <c r="AJ13" s="10"/>
      <c r="AK13" s="10"/>
      <c r="AL13" s="9"/>
      <c r="AZ13" t="str">
        <f>CONFIG!E34</f>
        <v>VF-ES_YOIGO</v>
      </c>
    </row>
    <row r="14" spans="1:67" ht="21" x14ac:dyDescent="0.35">
      <c r="A14" s="6" t="s">
        <v>24</v>
      </c>
      <c r="D14" s="1"/>
      <c r="G14" s="6" t="s">
        <v>39</v>
      </c>
      <c r="H14" s="6"/>
      <c r="I14" s="6"/>
      <c r="K14" s="6" t="s">
        <v>55</v>
      </c>
      <c r="L14" s="6"/>
      <c r="M14" s="6"/>
      <c r="O14" s="6" t="s">
        <v>468</v>
      </c>
      <c r="P14" s="6"/>
      <c r="Q14" s="6"/>
      <c r="S14" s="40"/>
      <c r="T14" s="40"/>
      <c r="U14" s="40"/>
      <c r="W14" s="34"/>
      <c r="X14" s="10">
        <v>86</v>
      </c>
      <c r="Y14" s="10"/>
      <c r="Z14" s="10"/>
      <c r="AA14" s="10">
        <f>((AD$4-$Y$5)/($Z$5-$Y$5))*$D$6</f>
        <v>0.21</v>
      </c>
      <c r="AB14" s="10">
        <f>SQRT((AD$4-$Y$5)/($Z$5-$Y$5))*$D$6</f>
        <v>0.38340579025361621</v>
      </c>
      <c r="AC14" s="10"/>
      <c r="AD14" s="10"/>
      <c r="AE14" s="10"/>
      <c r="AF14" s="10"/>
      <c r="AG14" s="10"/>
      <c r="AH14" s="10"/>
      <c r="AI14" s="10"/>
      <c r="AJ14" s="10"/>
      <c r="AK14" s="10"/>
      <c r="AL14" s="9"/>
    </row>
    <row r="15" spans="1:67" ht="18.75" x14ac:dyDescent="0.3">
      <c r="A15" s="5" t="s">
        <v>25</v>
      </c>
      <c r="D15" s="8">
        <f>SUM(D17:D18)</f>
        <v>1</v>
      </c>
      <c r="S15" s="40"/>
      <c r="T15" s="40"/>
      <c r="U15" s="40"/>
      <c r="W15" s="34"/>
      <c r="X15" s="10">
        <v>88</v>
      </c>
      <c r="Y15" s="10"/>
      <c r="Z15" s="10"/>
      <c r="AA15" s="10">
        <f>((AE$4-$Y$5)/($Z$5-$Y$5))*$D$6</f>
        <v>0.27999999999999997</v>
      </c>
      <c r="AB15" s="10">
        <f>SQRT((AE$4-$Y$5)/($Z$5-$Y$5))*$D$6</f>
        <v>0.44271887242357311</v>
      </c>
      <c r="AC15" s="10"/>
      <c r="AD15" s="10"/>
      <c r="AE15" s="10"/>
      <c r="AF15" s="10"/>
      <c r="AG15" s="10"/>
      <c r="AH15" s="10"/>
      <c r="AI15" s="10"/>
      <c r="AJ15" s="10"/>
      <c r="AK15" s="10"/>
      <c r="AL15" s="9"/>
    </row>
    <row r="16" spans="1:67" ht="15.75" thickBot="1" x14ac:dyDescent="0.3">
      <c r="A16" s="66" t="s">
        <v>26</v>
      </c>
      <c r="S16" s="40"/>
      <c r="T16" s="40"/>
      <c r="U16" s="40"/>
      <c r="V16" s="138" t="s">
        <v>483</v>
      </c>
      <c r="W16" s="34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9"/>
      <c r="AM16" t="s">
        <v>632</v>
      </c>
      <c r="AN16" t="s">
        <v>40</v>
      </c>
      <c r="AO16" t="s">
        <v>633</v>
      </c>
    </row>
    <row r="17" spans="1:50" x14ac:dyDescent="0.25">
      <c r="A17" s="61" t="s">
        <v>21</v>
      </c>
      <c r="D17" s="1">
        <v>0.6</v>
      </c>
      <c r="E17" t="s">
        <v>47</v>
      </c>
      <c r="G17" s="18">
        <v>87</v>
      </c>
      <c r="H17" s="19">
        <v>100</v>
      </c>
      <c r="I17" s="65">
        <f xml:space="preserve"> IFERROR(CHOOSE(CONFIG!C11,VLOOKUP($AZ$13,OBIEE_LIVE_BROWSING!$A$1:$D$1000, $AX17,FALSE),I24,""),"")</f>
        <v>98.239258958717528</v>
      </c>
      <c r="J17" s="25"/>
      <c r="K17" s="18">
        <v>87</v>
      </c>
      <c r="L17" s="19">
        <v>100</v>
      </c>
      <c r="M17" s="65">
        <f xml:space="preserve"> IFERROR(CHOOSE(CONFIG!$C$11,"Not Implemented",M24,""),"")</f>
        <v>98.504828636289986</v>
      </c>
      <c r="N17" s="25"/>
      <c r="O17" s="18">
        <v>80</v>
      </c>
      <c r="P17" s="19">
        <v>100</v>
      </c>
      <c r="Q17" s="65">
        <f xml:space="preserve"> IFERROR(CHOOSE(CONFIG!$C$11,"Not Implemented",Q24,""),"")</f>
        <v>90.441966129698471</v>
      </c>
      <c r="S17" s="41">
        <f>IF(I7&lt;&gt;"",IF(I17&lt;=(0.9*G17+0.1*H17),0.1*D17*I17/(0.9*G17+0.1*H17),IF(I17&gt;=H17,D17,(I17-G17)/(H17-G17)*D17)),0)</f>
        <v>0.51873502886388589</v>
      </c>
      <c r="T17" s="41">
        <f>IF(M17&lt;&gt;"",IF(M17&lt;=(0.9*K17+0.1*L17),0.1*D17*M17/(0.9*K17+0.1*L17),IF(M17&gt;=L17,D17,(M17-K17)/(L17-K17)*D17)),0)</f>
        <v>0.53099209090569166</v>
      </c>
      <c r="U17" s="41">
        <f>IF(Q17&lt;&gt;"",IF(Q17&lt;=(0.9*O17+0.1*P17),0.1*D17*Q17/(0.9*O17+0.1*P17),IF(Q17&gt;=P17,D17,(Q17-O17)/(P17-O17)*D17)),0)</f>
        <v>0.31325898389095413</v>
      </c>
      <c r="V17" s="139">
        <f>(S17*Service_Weights!$E$7) + (T17*Service_Weights!$F$7) + (U17*Service_Weights!$G$7)</f>
        <v>72.013684841649109</v>
      </c>
      <c r="W17" s="34"/>
      <c r="X17" s="10">
        <v>90</v>
      </c>
      <c r="Y17" s="10"/>
      <c r="Z17" s="10"/>
      <c r="AA17" s="10">
        <f>((AF$4-$Y$5)/($Z$5-$Y$5))*$D$6</f>
        <v>0.35</v>
      </c>
      <c r="AB17" s="10">
        <f>SQRT((AF$4-$Y$5)/($Z$5-$Y$5))*$D$6</f>
        <v>0.49497474683058329</v>
      </c>
      <c r="AC17" s="10"/>
      <c r="AD17" s="10"/>
      <c r="AE17" s="10"/>
      <c r="AF17" s="10"/>
      <c r="AG17" s="10"/>
      <c r="AH17" s="10"/>
      <c r="AI17" s="10"/>
      <c r="AJ17" s="10"/>
      <c r="AK17" s="10"/>
      <c r="AL17" s="9"/>
      <c r="AM17" s="247">
        <f>(S17*Service_Weights!$E$7)</f>
        <v>46.686152597749732</v>
      </c>
      <c r="AN17" s="247">
        <f xml:space="preserve"> (T17*Service_Weights!$F$7)</f>
        <v>15.92976272717075</v>
      </c>
      <c r="AO17" s="247">
        <f>(U17*Service_Weights!$G$7)</f>
        <v>9.3977695167286246</v>
      </c>
      <c r="AX17">
        <v>2</v>
      </c>
    </row>
    <row r="18" spans="1:50" ht="15.75" thickBot="1" x14ac:dyDescent="0.3">
      <c r="A18" s="61" t="s">
        <v>499</v>
      </c>
      <c r="D18" s="1">
        <v>0.4</v>
      </c>
      <c r="E18" s="61" t="s">
        <v>45</v>
      </c>
      <c r="G18" s="22">
        <v>1</v>
      </c>
      <c r="H18" s="248">
        <v>10</v>
      </c>
      <c r="I18" s="64">
        <f xml:space="preserve"> IFERROR(CHOOSE(CONFIG!C11,VLOOKUP($AZ$13,OBIEE_LIVE_BROWSING!$A$1:$D$1000, $AX18,FALSE),I25,""),"")</f>
        <v>2.7569935568130104</v>
      </c>
      <c r="J18" s="25"/>
      <c r="K18" s="22">
        <v>1</v>
      </c>
      <c r="L18" s="248">
        <v>10</v>
      </c>
      <c r="M18" s="64">
        <f xml:space="preserve"> IFERROR(CHOOSE(CONFIG!$C$11,"Not Implemented",M25,""),"")</f>
        <v>2.8375255903334518</v>
      </c>
      <c r="N18" s="25"/>
      <c r="O18" s="22">
        <v>1.5</v>
      </c>
      <c r="P18" s="248">
        <v>10</v>
      </c>
      <c r="Q18" s="64">
        <f xml:space="preserve"> IFERROR(CHOOSE(CONFIG!$C$11,"Not Implemented",Q25,""),"")</f>
        <v>3.7387163675430015</v>
      </c>
      <c r="S18" s="41">
        <f>IF(AND(I18&lt;&gt;"",I18&lt;&gt;0),IF(I18&lt;=G18,D18,IF(I18&gt;=H18,0,D18-(I18-G18)/(H18-G18)*D18)),0)</f>
        <v>0.32191139747497732</v>
      </c>
      <c r="T18" s="41">
        <f>IF(AND(M18&lt;&gt;"",M18&lt;&gt;0),IF(M18&lt;=K18,D18,IF(M18&gt;=L18,0,D18-(M18-K18)/(L18-K18)*D18)),0)</f>
        <v>0.31833219598517992</v>
      </c>
      <c r="U18" s="41">
        <f>IF(AND(Q18&lt;&gt;"",Q18&lt;&gt;0),IF(Q18&lt;=O18,D18,IF(Q18&gt;=P18,0,D18-(Q18-O18)/(P18-O18)*D18)),0)</f>
        <v>0.29464864152738818</v>
      </c>
      <c r="V18" s="139">
        <f>(S18*Service_Weights!$E$7) + (T18*Service_Weights!$F$7) + (U18*Service_Weights!$G$7)</f>
        <v>47.361450898125</v>
      </c>
      <c r="W18" s="34"/>
      <c r="X18" s="10">
        <v>92</v>
      </c>
      <c r="Y18" s="10"/>
      <c r="Z18" s="10"/>
      <c r="AA18" s="10">
        <f>((AG$4-$Y$5)/($Z$5-$Y$5))*$D$6</f>
        <v>0.42</v>
      </c>
      <c r="AB18" s="10">
        <f>SQRT((AG$4-$Y$5)/($Z$5-$Y$5))*$D$6</f>
        <v>0.54221766846903829</v>
      </c>
      <c r="AC18" s="10"/>
      <c r="AD18" s="10"/>
      <c r="AE18" s="10"/>
      <c r="AF18" s="10"/>
      <c r="AG18" s="10"/>
      <c r="AH18" s="10"/>
      <c r="AI18" s="10"/>
      <c r="AJ18" s="10"/>
      <c r="AK18" s="10"/>
      <c r="AL18" s="9"/>
      <c r="AM18" s="247">
        <f>(S18*Service_Weights!$E$7)</f>
        <v>28.972025772747958</v>
      </c>
      <c r="AN18" s="247">
        <f>(T18*Service_Weights!$F$7)</f>
        <v>9.5499658795553977</v>
      </c>
      <c r="AO18" s="247">
        <f xml:space="preserve"> (U18*Service_Weights!$G$7)</f>
        <v>8.8394592458216454</v>
      </c>
      <c r="AX18">
        <f t="shared" ref="AX18" si="6">AX17+1</f>
        <v>3</v>
      </c>
    </row>
    <row r="19" spans="1:50" x14ac:dyDescent="0.25">
      <c r="D19" s="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t="s">
        <v>42</v>
      </c>
      <c r="S19" s="53">
        <f>SUM(S17:S18)</f>
        <v>0.84064642633886322</v>
      </c>
      <c r="T19" s="53">
        <f t="shared" ref="T19:U19" si="7">SUM(T17:T18)</f>
        <v>0.84932428689087158</v>
      </c>
      <c r="U19" s="53">
        <f t="shared" si="7"/>
        <v>0.60790762541834231</v>
      </c>
      <c r="W19" s="34"/>
      <c r="X19" s="10">
        <v>94</v>
      </c>
      <c r="Y19" s="10"/>
      <c r="Z19" s="10"/>
      <c r="AA19" s="10">
        <f>((AH$4-$Y$5)/($Z$5-$Y$5))*$D$6</f>
        <v>0.48999999999999994</v>
      </c>
      <c r="AB19" s="10">
        <f>SQRT((AH$4-$Y$5)/($Z$5-$Y$5))*$D$6</f>
        <v>0.58566201857385281</v>
      </c>
      <c r="AC19" s="10"/>
      <c r="AD19" s="10"/>
      <c r="AE19" s="10"/>
      <c r="AF19" s="10"/>
      <c r="AG19" s="10"/>
      <c r="AH19" s="10"/>
      <c r="AI19" s="10"/>
      <c r="AJ19" s="10"/>
      <c r="AK19" s="10"/>
      <c r="AL19" s="9"/>
    </row>
    <row r="20" spans="1:50" x14ac:dyDescent="0.25">
      <c r="D20" s="1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t="s">
        <v>483</v>
      </c>
      <c r="S20" s="131">
        <f>S19*Service_Weights!E7</f>
        <v>75.658178370497694</v>
      </c>
      <c r="T20" s="131">
        <f>T19*Service_Weights!F7</f>
        <v>25.479728606726148</v>
      </c>
      <c r="U20" s="131">
        <f>U19*Service_Weights!G7</f>
        <v>18.23722876255027</v>
      </c>
      <c r="W20" s="34"/>
      <c r="X20" s="10">
        <v>96</v>
      </c>
      <c r="Y20" s="10"/>
      <c r="Z20" s="10"/>
      <c r="AA20" s="10">
        <f>((AI$4-$Y$5)/($Z$5-$Y$5))*$D$6</f>
        <v>0.55999999999999994</v>
      </c>
      <c r="AB20" s="10">
        <f>SQRT((AI$4-$Y$5)/($Z$5-$Y$5))*$D$6</f>
        <v>0.62609903369994102</v>
      </c>
      <c r="AC20" s="10"/>
      <c r="AD20" s="10"/>
      <c r="AE20" s="10"/>
      <c r="AF20" s="10"/>
      <c r="AG20" s="10"/>
      <c r="AH20" s="10"/>
      <c r="AI20" s="10"/>
      <c r="AJ20" s="10"/>
      <c r="AK20" s="10"/>
      <c r="AL20" s="9"/>
    </row>
    <row r="21" spans="1:50" x14ac:dyDescent="0.25">
      <c r="D21" s="1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S21" s="40"/>
      <c r="T21" s="40"/>
      <c r="U21" s="40"/>
      <c r="W21" s="34"/>
      <c r="X21" s="10">
        <v>98</v>
      </c>
      <c r="Y21" s="10"/>
      <c r="Z21" s="10"/>
      <c r="AA21" s="10">
        <f>((AJ$4-$Y$5)/($Z$5-$Y$5))*$D$6</f>
        <v>0.63</v>
      </c>
      <c r="AB21" s="10">
        <f>SQRT((AJ$4-$Y$5)/($Z$5-$Y$5))*$D$6</f>
        <v>0.66407830863535955</v>
      </c>
      <c r="AC21" s="10"/>
      <c r="AD21" s="10"/>
      <c r="AE21" s="10"/>
      <c r="AF21" s="10"/>
      <c r="AG21" s="10"/>
      <c r="AH21" s="10"/>
      <c r="AI21" s="10"/>
      <c r="AJ21" s="10"/>
      <c r="AK21" s="10"/>
      <c r="AL21" s="9"/>
    </row>
    <row r="22" spans="1:50" ht="18.75" x14ac:dyDescent="0.3">
      <c r="A22" s="5" t="s">
        <v>27</v>
      </c>
      <c r="D22" s="8">
        <f>SUM(D23:D25)</f>
        <v>1</v>
      </c>
      <c r="G22" s="25"/>
      <c r="H22" s="25"/>
      <c r="I22" s="25"/>
      <c r="J22" s="25"/>
      <c r="K22" s="25"/>
      <c r="L22" s="25"/>
      <c r="M22" s="25"/>
      <c r="N22" s="25"/>
      <c r="O22" s="48"/>
      <c r="P22" s="25"/>
      <c r="Q22" s="25"/>
      <c r="S22" s="40"/>
      <c r="T22" s="40"/>
      <c r="U22" s="40"/>
      <c r="W22" s="34"/>
      <c r="X22" s="10">
        <v>100</v>
      </c>
      <c r="Y22" s="10"/>
      <c r="Z22" s="10"/>
      <c r="AA22" s="10">
        <f>((AK$4-$Y$5)/($Z$5-$Y$5))*$D$6</f>
        <v>0.7</v>
      </c>
      <c r="AB22" s="10">
        <f>SQRT((AK$4-$Y$5)/($Z$5-$Y$5))*$D$6</f>
        <v>0.7</v>
      </c>
      <c r="AC22" s="10"/>
      <c r="AD22" s="10"/>
      <c r="AE22" s="10"/>
      <c r="AF22" s="10"/>
      <c r="AG22" s="10"/>
      <c r="AH22" s="10"/>
      <c r="AI22" s="10"/>
      <c r="AJ22" s="10"/>
      <c r="AK22" s="10"/>
      <c r="AL22" s="9"/>
    </row>
    <row r="23" spans="1:50" ht="15.75" thickBot="1" x14ac:dyDescent="0.3">
      <c r="A23" t="s">
        <v>28</v>
      </c>
      <c r="D23" s="1"/>
      <c r="G23" s="25"/>
      <c r="H23" s="25"/>
      <c r="I23" s="25"/>
      <c r="J23" s="25"/>
      <c r="K23" s="25"/>
      <c r="L23" s="25"/>
      <c r="M23" s="25"/>
      <c r="N23" s="25"/>
      <c r="O23" s="48"/>
      <c r="P23" s="25"/>
      <c r="Q23" s="25"/>
      <c r="S23" s="40"/>
      <c r="T23" s="40"/>
      <c r="U23" s="40"/>
      <c r="V23" s="138" t="s">
        <v>483</v>
      </c>
      <c r="W23" s="34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9"/>
      <c r="AM23" t="s">
        <v>632</v>
      </c>
      <c r="AN23" t="s">
        <v>40</v>
      </c>
      <c r="AO23" t="s">
        <v>633</v>
      </c>
    </row>
    <row r="24" spans="1:50" ht="15.75" thickBot="1" x14ac:dyDescent="0.3">
      <c r="A24" t="s">
        <v>21</v>
      </c>
      <c r="D24" s="1">
        <v>0.6</v>
      </c>
      <c r="E24" t="s">
        <v>47</v>
      </c>
      <c r="G24" s="18">
        <v>87</v>
      </c>
      <c r="H24" s="30">
        <v>100</v>
      </c>
      <c r="I24" s="27">
        <f>IFERROR( VLOOKUP($AZ$10,OBIEE_DATA!$A$1:$ZZ$999, $AX24,FALSE),"")</f>
        <v>98.239258958717528</v>
      </c>
      <c r="J24" s="25"/>
      <c r="K24" s="18">
        <v>87</v>
      </c>
      <c r="L24" s="30">
        <v>100</v>
      </c>
      <c r="M24" s="27">
        <f>IFERROR( VLOOKUP($AZ$11,OBIEE_DATA!$A$1:$ZZ$999, $AX24,FALSE),I24)</f>
        <v>98.504828636289986</v>
      </c>
      <c r="N24" s="25"/>
      <c r="O24" s="18">
        <v>80</v>
      </c>
      <c r="P24" s="30">
        <v>100</v>
      </c>
      <c r="Q24" s="27">
        <f>IFERROR( VLOOKUP($AZ$12,OBIEE_DATA!$A$1:$ZZ$999, $AX24,FALSE),"")</f>
        <v>90.441966129698471</v>
      </c>
      <c r="S24" s="41">
        <f>IF(I24&lt;&gt;"",IF(I24&lt;=(0.9*G24+0.1*H24),0.1*D24*I24/(0.9*G24+0.1*H24),IF(I24&gt;=H24,D24,(I24-G24)/(H24-G24)*D24)),0)</f>
        <v>0.51873502886388589</v>
      </c>
      <c r="T24" s="41">
        <f>IF(M24&lt;&gt;"",IF(M24&lt;=(0.9*K24+0.1*L24),0.1*D24*M24/(0.9*K24+0.1*L24),IF(M24&gt;=L24,D24,(M24-K24)/(L24-K24)*D24)),0)</f>
        <v>0.53099209090569166</v>
      </c>
      <c r="U24" s="41">
        <f>IF(Q24&lt;&gt;"",IF(Q24&lt;=(0.9*O24+0.1*P24),0.1*D24*Q24/(0.9*O24+0.1*P24),IF(Q24&gt;=P24,D24,(Q24-O24)/(P24-O24)*D24)),0)</f>
        <v>0.31325898389095413</v>
      </c>
      <c r="V24" s="139">
        <f>(S24*Service_Weights!$E$6) + (T24*Service_Weights!$F$6) + (U24*Service_Weights!$G$6)</f>
        <v>28.805473936659642</v>
      </c>
      <c r="W24" s="37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9"/>
      <c r="AM24" s="247">
        <f>(S24*Service_Weights!$E$6)</f>
        <v>18.674461039099892</v>
      </c>
      <c r="AN24" s="247">
        <f>(T24*Service_Weights!$F$6)</f>
        <v>6.3719050908682995</v>
      </c>
      <c r="AO24" s="247">
        <f>(U24*Service_Weights!$G$6)</f>
        <v>3.7591078066914498</v>
      </c>
      <c r="AX24">
        <f>AX18+1</f>
        <v>4</v>
      </c>
    </row>
    <row r="25" spans="1:50" ht="15.75" thickBot="1" x14ac:dyDescent="0.3">
      <c r="A25" t="s">
        <v>500</v>
      </c>
      <c r="D25" s="1">
        <v>0.4</v>
      </c>
      <c r="E25" t="s">
        <v>45</v>
      </c>
      <c r="G25" s="22">
        <v>1</v>
      </c>
      <c r="H25" s="31">
        <v>5</v>
      </c>
      <c r="I25" s="29">
        <f>IFERROR( VLOOKUP($AZ$10,OBIEE_DATA!$A$1:$ZZ$999, $AX25,FALSE),"")</f>
        <v>2.7569935568130104</v>
      </c>
      <c r="J25" s="25"/>
      <c r="K25" s="22">
        <v>1</v>
      </c>
      <c r="L25" s="31">
        <v>5</v>
      </c>
      <c r="M25" s="29">
        <f>IFERROR( VLOOKUP($AZ$11,OBIEE_DATA!$A$1:$ZZ$999, $AX25,FALSE),I25)</f>
        <v>2.8375255903334518</v>
      </c>
      <c r="N25" s="25"/>
      <c r="O25" s="22">
        <v>1</v>
      </c>
      <c r="P25" s="31">
        <v>5</v>
      </c>
      <c r="Q25" s="29">
        <f>IFERROR( VLOOKUP($AZ$12,OBIEE_DATA!$A$1:$ZZ$999, $AX25,FALSE),"")</f>
        <v>3.7387163675430015</v>
      </c>
      <c r="S25" s="41">
        <f>IF(AND(I25&lt;&gt;"",I25&lt;&gt;0),IF(I25&lt;=G25,D25,IF(I25&gt;=H25,0,D25-(I25-G25)/(H25-G25)*D25)),0)</f>
        <v>0.22430064431869898</v>
      </c>
      <c r="T25" s="41">
        <f>IF(AND(M25&lt;&gt;"",M25&lt;&gt;0),IF(M25&lt;=K25,D25,IF(M25&gt;=L25,0,D25-(M25-K25)/(L25-K25)*D25)),0)</f>
        <v>0.21624744096665482</v>
      </c>
      <c r="U25" s="41">
        <f>IF(AND(Q25&lt;&gt;"",Q25&lt;&gt;0),IF(Q25&lt;=O25,D25,IF(Q25&gt;=P25,0,D25-(Q25-O25)/(P25-O25)*D25)),0)</f>
        <v>0.12612836324569987</v>
      </c>
      <c r="V25" s="139">
        <f>(S25*Service_Weights!$E$6) + (T25*Service_Weights!$F$6) + (U25*Service_Weights!$G$6)</f>
        <v>12.18333284602142</v>
      </c>
      <c r="AM25" s="247">
        <f>(S25*Service_Weights!$E$6)</f>
        <v>8.0748231954731633</v>
      </c>
      <c r="AN25" s="247">
        <f>(T25*Service_Weights!$F$6)</f>
        <v>2.5949692915998579</v>
      </c>
      <c r="AO25" s="247">
        <f>(U25*Service_Weights!$G$6)</f>
        <v>1.5135403589483984</v>
      </c>
      <c r="AX25">
        <f t="shared" ref="AX25:AX41" si="8">AX24+1</f>
        <v>5</v>
      </c>
    </row>
    <row r="26" spans="1:50" x14ac:dyDescent="0.25">
      <c r="D26" s="1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t="s">
        <v>42</v>
      </c>
      <c r="S26" s="53">
        <f>SUM(S24:S25)</f>
        <v>0.7430356731825849</v>
      </c>
      <c r="T26" s="53">
        <f t="shared" ref="T26:U26" si="9">SUM(T24:T25)</f>
        <v>0.74723953187234649</v>
      </c>
      <c r="U26" s="53">
        <f t="shared" si="9"/>
        <v>0.43938734713665401</v>
      </c>
    </row>
    <row r="27" spans="1:50" x14ac:dyDescent="0.25">
      <c r="D27" s="1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t="s">
        <v>483</v>
      </c>
      <c r="S27" s="131">
        <f>S26*Service_Weights!E6</f>
        <v>26.749284234573057</v>
      </c>
      <c r="T27" s="131">
        <f>T26*Service_Weights!F6</f>
        <v>8.9668743824681574</v>
      </c>
      <c r="U27" s="131">
        <f>U26*Service_Weights!G6</f>
        <v>5.2726481656398478</v>
      </c>
    </row>
    <row r="28" spans="1:50" ht="18.75" x14ac:dyDescent="0.3">
      <c r="A28" s="5" t="s">
        <v>29</v>
      </c>
      <c r="D28" s="8">
        <f>SUM(D30:D33)</f>
        <v>0.99999999999999989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S28" s="40"/>
      <c r="T28" s="40"/>
      <c r="U28" s="40"/>
    </row>
    <row r="29" spans="1:50" ht="15.75" thickBot="1" x14ac:dyDescent="0.3">
      <c r="A29" t="s">
        <v>30</v>
      </c>
      <c r="D29" s="1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S29" s="40"/>
      <c r="T29" s="40"/>
      <c r="U29" s="40"/>
      <c r="V29" s="138" t="s">
        <v>483</v>
      </c>
      <c r="AM29" t="s">
        <v>632</v>
      </c>
      <c r="AN29" t="s">
        <v>40</v>
      </c>
      <c r="AO29" t="s">
        <v>633</v>
      </c>
    </row>
    <row r="30" spans="1:50" x14ac:dyDescent="0.25">
      <c r="A30" t="s">
        <v>21</v>
      </c>
      <c r="D30" s="1">
        <v>0.6</v>
      </c>
      <c r="E30" t="s">
        <v>47</v>
      </c>
      <c r="G30" s="18">
        <v>87</v>
      </c>
      <c r="H30" s="30">
        <v>100</v>
      </c>
      <c r="I30" s="27">
        <f>IFERROR( VLOOKUP($AZ$10,OBIEE_DATA!$A$1:$ZZ$999, $AX30,FALSE),"")</f>
        <v>99.321684657280358</v>
      </c>
      <c r="J30" s="25"/>
      <c r="K30" s="18">
        <v>87</v>
      </c>
      <c r="L30" s="30">
        <v>100</v>
      </c>
      <c r="M30" s="27">
        <f>IFERROR( VLOOKUP($AZ$11,OBIEE_DATA!$A$1:$ZZ$999, $AX30,FALSE),I30)</f>
        <v>99.253769932140358</v>
      </c>
      <c r="N30" s="25"/>
      <c r="O30" s="18">
        <v>80</v>
      </c>
      <c r="P30" s="30">
        <v>100</v>
      </c>
      <c r="Q30" s="27">
        <f>IFERROR( VLOOKUP($AZ$12,OBIEE_DATA!$A$1:$ZZ$999, $AX30,FALSE),"")</f>
        <v>96.893588896232657</v>
      </c>
      <c r="S30" s="41">
        <f>IF(I30&lt;&gt;"",IF(I30&lt;=(0.9*G30+0.1*H30),0.1*D30*I30/(0.9*G30+0.1*H30),IF(I30&gt;=H30,D30,(I30-G30)/(H30-G30)*D30)),0)</f>
        <v>0.56869313802832411</v>
      </c>
      <c r="T30" s="41">
        <f>IF(M30&lt;&gt;"",IF(M30&lt;=(0.9*K30+0.1*L30),0.1*D30*M30/(0.9*K30+0.1*L30),IF(M30&gt;=L30,D30,(M30-K30)/(L30-K30)*D30)),0)</f>
        <v>0.56555861225263193</v>
      </c>
      <c r="U30" s="41">
        <f>IF(Q30&lt;&gt;"",IF(Q30&lt;=(0.9*O30+0.1*P30),0.1*D30*Q30/(0.9*O30+0.1*P30),IF(Q30&gt;=P30,D30,(Q30-O30)/(P30-O30)*D30)),0)</f>
        <v>0.50680766688697965</v>
      </c>
      <c r="V30" s="139">
        <f>(S30*Service_Weights!$E$8) + (T30*Service_Weights!$F$8) + (U30*Service_Weights!$G$8)</f>
        <v>33.341348318695012</v>
      </c>
      <c r="AM30" s="247">
        <f>(S30*Service_Weights!$E$8)</f>
        <v>20.472952969019669</v>
      </c>
      <c r="AN30" s="247">
        <f>(T30*Service_Weights!$F$8)</f>
        <v>6.7867033470315832</v>
      </c>
      <c r="AO30" s="247">
        <f xml:space="preserve"> (U30*Service_Weights!$G$8)</f>
        <v>6.0816920026437558</v>
      </c>
      <c r="AX30">
        <f>AX25+1</f>
        <v>6</v>
      </c>
    </row>
    <row r="31" spans="1:50" x14ac:dyDescent="0.25">
      <c r="A31" t="s">
        <v>501</v>
      </c>
      <c r="D31" s="1">
        <v>0.12</v>
      </c>
      <c r="E31" t="s">
        <v>48</v>
      </c>
      <c r="G31" s="20">
        <v>1</v>
      </c>
      <c r="H31" s="24">
        <v>12.5</v>
      </c>
      <c r="I31" s="28">
        <f>IFERROR( VLOOKUP($AZ$10,OBIEE_DATA!$A$1:$ZZ$999, $AX31,FALSE),"")</f>
        <v>2.4742974362727677</v>
      </c>
      <c r="J31" s="25"/>
      <c r="K31" s="20">
        <v>1</v>
      </c>
      <c r="L31" s="24">
        <v>12.5</v>
      </c>
      <c r="M31" s="28">
        <f>IFERROR( VLOOKUP($AZ$11,OBIEE_DATA!$A$1:$ZZ$999, $AX31,FALSE),I31)</f>
        <v>2.8751903645895154</v>
      </c>
      <c r="N31" s="25"/>
      <c r="O31" s="20">
        <v>2</v>
      </c>
      <c r="P31" s="24">
        <v>15</v>
      </c>
      <c r="Q31" s="28">
        <f>IFERROR( VLOOKUP($AZ$12,OBIEE_DATA!$A$1:$ZZ$999, $AX31,FALSE),"")</f>
        <v>3.6499709165476788</v>
      </c>
      <c r="S31" s="41">
        <f>IF(AND(I31&lt;&gt;"",I31&lt;&gt;0),IF(I31&lt;=G31,D31,IF(I31&gt;=H31,0,SQRT((I31-H31)/(G31-H31))*D31)),0)</f>
        <v>0.11204429128800968</v>
      </c>
      <c r="T31" s="41">
        <f>IF(AND(M31&lt;&gt;"",M31&lt;&gt;0),IF(M31&lt;=K31,D31,IF(M31&gt;=L31,0,SQRT((M31-L31)/(K31-L31))*D31)),0)</f>
        <v>0.10978130780542979</v>
      </c>
      <c r="U31" s="41">
        <f>IF(AND(Q31&lt;&gt;"",Q31&lt;&gt;0),IF(Q31&lt;=O31,D31,IF(Q31&gt;=P31,0,SQRT((Q31-P31)/(O31-P31))*D31)),0)</f>
        <v>0.11212644606792863</v>
      </c>
      <c r="V31" s="139">
        <f>(S31*Service_Weights!$E$8) + (T31*Service_Weights!$F$8) + (U31*Service_Weights!$G$8)</f>
        <v>6.6964875328486491</v>
      </c>
      <c r="AM31" s="247">
        <f>(S31*Service_Weights!$E$8)</f>
        <v>4.0335944863683482</v>
      </c>
      <c r="AN31" s="247">
        <f>(T31*Service_Weights!$F$8)</f>
        <v>1.3173756936651575</v>
      </c>
      <c r="AO31" s="247">
        <f>(U31*Service_Weights!$G$8)</f>
        <v>1.3455173528151434</v>
      </c>
      <c r="AX31">
        <f t="shared" si="8"/>
        <v>7</v>
      </c>
    </row>
    <row r="32" spans="1:50" x14ac:dyDescent="0.25">
      <c r="A32" s="61" t="s">
        <v>502</v>
      </c>
      <c r="D32" s="1">
        <v>0.2</v>
      </c>
      <c r="E32" t="s">
        <v>46</v>
      </c>
      <c r="G32" s="20">
        <v>384</v>
      </c>
      <c r="H32" s="24">
        <v>25000</v>
      </c>
      <c r="I32" s="63">
        <f>IFERROR( VLOOKUP($AZ$10,OBIEE_DATA!$A$1:$ZZ$999, $AX32,FALSE),"")</f>
        <v>4072.0399429386594</v>
      </c>
      <c r="J32" s="25"/>
      <c r="K32" s="20">
        <v>384</v>
      </c>
      <c r="L32" s="24">
        <v>25000</v>
      </c>
      <c r="M32" s="63">
        <f>IFERROR( VLOOKUP($AZ$11,OBIEE_DATA!$A$1:$ZZ$999, $AX32,FALSE),I32)</f>
        <v>3254.293262879788</v>
      </c>
      <c r="N32" s="25"/>
      <c r="O32" s="20">
        <v>384</v>
      </c>
      <c r="P32" s="24">
        <v>10000</v>
      </c>
      <c r="Q32" s="63">
        <f>IFERROR( VLOOKUP($AZ$12,OBIEE_DATA!$A$1:$ZZ$999, $AX32,FALSE),"")</f>
        <v>1448.616600790514</v>
      </c>
      <c r="S32" s="41">
        <f>IF(I32&lt;&gt;"",IF(I32&lt;=G32,0,IF(I32&gt;=H32,D32,SQRT((I32-G32)/(H32-G32))*D32)),0)</f>
        <v>7.7413920482030954E-2</v>
      </c>
      <c r="T32" s="41">
        <f>IF(M32&lt;&gt;"",IF(M32&lt;=K32,0,IF(M32&gt;=L32,D32,SQRT((M32-K32)/(L32-K32))*D32)),0)</f>
        <v>6.8294289288570245E-2</v>
      </c>
      <c r="U32" s="41">
        <f>IF(Q32&lt;&gt;"",IF(Q32&lt;=O32,0,IF(Q32&gt;=P32,D32,SQRT((Q32-O32)/(P32-O32))*D32)),0)</f>
        <v>6.6547138435127093E-2</v>
      </c>
      <c r="V32" s="139">
        <f>(S32*Service_Weights!$E$8) + (T32*Service_Weights!$F$8) + (U32*Service_Weights!$G$8)</f>
        <v>4.404998270037483</v>
      </c>
      <c r="AM32" s="247">
        <f>(S32*Service_Weights!$E$8)</f>
        <v>2.7869011373531145</v>
      </c>
      <c r="AN32" s="247">
        <f>(T32*Service_Weights!$F$8)</f>
        <v>0.819531471462843</v>
      </c>
      <c r="AO32" s="247">
        <f>(U32*Service_Weights!$G$8)</f>
        <v>0.79856566122152506</v>
      </c>
      <c r="AX32">
        <f>AX31+1</f>
        <v>8</v>
      </c>
    </row>
    <row r="33" spans="1:50" ht="15.75" thickBot="1" x14ac:dyDescent="0.3">
      <c r="A33" s="61" t="s">
        <v>503</v>
      </c>
      <c r="D33" s="1">
        <v>0.08</v>
      </c>
      <c r="E33" t="s">
        <v>46</v>
      </c>
      <c r="G33" s="22">
        <v>25000</v>
      </c>
      <c r="H33" s="31">
        <v>80000</v>
      </c>
      <c r="I33" s="64">
        <f>IFERROR( VLOOKUP($AZ$10,OBIEE_DATA!$A$1:$ZZ$999, $AX33,FALSE),"")</f>
        <v>14691.206968063048</v>
      </c>
      <c r="J33" s="25"/>
      <c r="K33" s="22">
        <v>25000</v>
      </c>
      <c r="L33" s="31">
        <v>80000</v>
      </c>
      <c r="M33" s="64">
        <f>IFERROR( VLOOKUP($AZ$11,OBIEE_DATA!$A$1:$ZZ$999, $AX33,FALSE),I33)</f>
        <v>13871.521035598706</v>
      </c>
      <c r="N33" s="25"/>
      <c r="O33" s="22">
        <v>15000</v>
      </c>
      <c r="P33" s="31">
        <v>60000</v>
      </c>
      <c r="Q33" s="64">
        <f>IFERROR( VLOOKUP($AZ$12,OBIEE_DATA!$A$1:$ZZ$999, $AX33,FALSE),"")</f>
        <v>12534.303534303534</v>
      </c>
      <c r="S33" s="41">
        <f>IF(I33&lt;&gt;"",IF(I33&lt;=G33,0,IF(I33&gt;=H33,D33,SQRT((I33-G33)/(H33-G33))*D33)),0)</f>
        <v>0</v>
      </c>
      <c r="T33" s="41">
        <f>IF(M33&lt;&gt;"",IF(M33&lt;=K33,0,IF(M33&gt;=L33,D33,SQRT((M33-K33)/(L33-K33))*D33)),0)</f>
        <v>0</v>
      </c>
      <c r="U33" s="41">
        <f>IF(Q33&lt;&gt;"",IF(Q33&lt;=O33,0,IF(Q33&gt;=P33,D33,SQRT((Q33-O33)/(P33-O33))*D33)),0)</f>
        <v>0</v>
      </c>
      <c r="V33" s="139">
        <f>(S33*Service_Weights!$E$8) + (T33*Service_Weights!$F$8) + (U33*Service_Weights!$G$8)</f>
        <v>0</v>
      </c>
      <c r="AM33" s="247">
        <f>(S33*Service_Weights!$E$8)</f>
        <v>0</v>
      </c>
      <c r="AN33" s="247">
        <f xml:space="preserve"> (T33*Service_Weights!$F$8)</f>
        <v>0</v>
      </c>
      <c r="AO33" s="247">
        <f>(U33*Service_Weights!$G$8)</f>
        <v>0</v>
      </c>
      <c r="AX33">
        <f t="shared" si="8"/>
        <v>9</v>
      </c>
    </row>
    <row r="34" spans="1:50" x14ac:dyDescent="0.25">
      <c r="D34" s="1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t="s">
        <v>42</v>
      </c>
      <c r="S34" s="53">
        <f>SUM(S30:S33)</f>
        <v>0.75815134979836474</v>
      </c>
      <c r="T34" s="53">
        <f t="shared" ref="T34:U34" si="10">SUM(T30:T33)</f>
        <v>0.74363420934663205</v>
      </c>
      <c r="U34" s="53">
        <f t="shared" si="10"/>
        <v>0.68548125139003535</v>
      </c>
    </row>
    <row r="35" spans="1:50" x14ac:dyDescent="0.25">
      <c r="D35" s="1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t="s">
        <v>483</v>
      </c>
      <c r="S35" s="131">
        <f>S34*Service_Weights!E8</f>
        <v>27.293448592741129</v>
      </c>
      <c r="T35" s="131">
        <f>T34*Service_Weights!F8</f>
        <v>8.9236105121595841</v>
      </c>
      <c r="U35" s="131">
        <f>U34*Service_Weights!G8</f>
        <v>8.2257750166804247</v>
      </c>
    </row>
    <row r="36" spans="1:50" ht="18.75" x14ac:dyDescent="0.3">
      <c r="A36" s="5" t="s">
        <v>31</v>
      </c>
      <c r="D36" s="8">
        <f>SUM(D38:D41)</f>
        <v>0.99999999999999989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S36" s="40"/>
      <c r="T36" s="40"/>
      <c r="U36" s="40"/>
    </row>
    <row r="37" spans="1:50" ht="15.75" thickBot="1" x14ac:dyDescent="0.3">
      <c r="A37" t="s">
        <v>30</v>
      </c>
      <c r="D37" s="1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S37" s="40"/>
      <c r="T37" s="40"/>
      <c r="U37" s="40"/>
      <c r="V37" s="138" t="s">
        <v>483</v>
      </c>
      <c r="AM37" t="s">
        <v>632</v>
      </c>
      <c r="AN37" t="s">
        <v>40</v>
      </c>
      <c r="AO37" t="s">
        <v>633</v>
      </c>
    </row>
    <row r="38" spans="1:50" x14ac:dyDescent="0.25">
      <c r="A38" t="s">
        <v>21</v>
      </c>
      <c r="D38" s="1">
        <v>0.6</v>
      </c>
      <c r="E38" t="s">
        <v>47</v>
      </c>
      <c r="G38" s="18">
        <v>87</v>
      </c>
      <c r="H38" s="30">
        <v>100</v>
      </c>
      <c r="I38" s="27">
        <f>IFERROR( VLOOKUP($AZ$10,OBIEE_DATA!$A$1:$ZZ$999, $AX38,FALSE),"")</f>
        <v>97.581682618403434</v>
      </c>
      <c r="J38" s="25"/>
      <c r="K38" s="18">
        <v>87</v>
      </c>
      <c r="L38" s="30">
        <v>100</v>
      </c>
      <c r="M38" s="27">
        <f>IFERROR( VLOOKUP($AZ$11,OBIEE_DATA!$A$1:$ZZ$999, $AX38,FALSE),I38)</f>
        <v>97.461667393055706</v>
      </c>
      <c r="N38" s="25"/>
      <c r="O38" s="18">
        <v>80</v>
      </c>
      <c r="P38" s="30">
        <v>100</v>
      </c>
      <c r="Q38" s="27">
        <f>IFERROR( VLOOKUP($AZ$12,OBIEE_DATA!$A$1:$ZZ$999, $AX38,FALSE),"")</f>
        <v>92.274535809018559</v>
      </c>
      <c r="S38" s="41">
        <f>IF(I38&lt;&gt;"",IF(I38&lt;=(0.9*G38+0.1*H38),0.1*D38*I38/(0.9*G38+0.1*H38),IF(I38&gt;=H38,D38,(I38-G38)/(H38-G38)*D38)),0)</f>
        <v>0.48838535161862001</v>
      </c>
      <c r="T38" s="41">
        <f>IF(M38&lt;&gt;"",IF(M38&lt;=(0.9*K38+0.1*L38),0.1*D38*M38/(0.9*K38+0.1*L38),IF(M38&gt;=L38,D38,(M38-K38)/(L38-K38)*D38)),0)</f>
        <v>0.48284618737180179</v>
      </c>
      <c r="U38" s="41">
        <f>IF(Q38&lt;&gt;"",IF(Q38&lt;=(0.9*O38+0.1*P38),0.1*D38*Q38/(0.9*O38+0.1*P38),IF(Q38&gt;=P38,D38,(Q38-O38)/(P38-O38)*D38)),0)</f>
        <v>0.36823607427055677</v>
      </c>
      <c r="V38" s="139">
        <f>(S38*Service_Weights!$E$9) + (T38*Service_Weights!$F$9) + (U38*Service_Weights!$G$9)</f>
        <v>27.794859797978624</v>
      </c>
      <c r="AM38" s="247">
        <f>(S38*Service_Weights!$E$9)</f>
        <v>17.581872658270321</v>
      </c>
      <c r="AN38" s="247">
        <f>(T38*Service_Weights!$F$9)</f>
        <v>5.7941542484616217</v>
      </c>
      <c r="AO38" s="247">
        <f xml:space="preserve"> (U38*Service_Weights!$G$9)</f>
        <v>4.418832891246681</v>
      </c>
      <c r="AX38">
        <f>AX33+1</f>
        <v>10</v>
      </c>
    </row>
    <row r="39" spans="1:50" x14ac:dyDescent="0.25">
      <c r="A39" t="s">
        <v>501</v>
      </c>
      <c r="D39" s="1">
        <v>0.12</v>
      </c>
      <c r="E39" t="s">
        <v>48</v>
      </c>
      <c r="G39" s="20">
        <v>1</v>
      </c>
      <c r="H39" s="24">
        <v>10</v>
      </c>
      <c r="I39" s="28">
        <f>IFERROR( VLOOKUP($AZ$10,OBIEE_DATA!$A$1:$ZZ$999, $AX39,FALSE),"")</f>
        <v>1.3505070322701467</v>
      </c>
      <c r="J39" s="25"/>
      <c r="K39" s="20">
        <v>1</v>
      </c>
      <c r="L39" s="24">
        <v>10</v>
      </c>
      <c r="M39" s="28">
        <f>IFERROR( VLOOKUP($AZ$11,OBIEE_DATA!$A$1:$ZZ$999, $AX39,FALSE),I39)</f>
        <v>1.5063812527520233</v>
      </c>
      <c r="N39" s="25"/>
      <c r="O39" s="20">
        <v>1.5</v>
      </c>
      <c r="P39" s="24">
        <v>12</v>
      </c>
      <c r="Q39" s="28">
        <f>IFERROR( VLOOKUP($AZ$12,OBIEE_DATA!$A$1:$ZZ$999, $AX39,FALSE),"")</f>
        <v>2.3273407252368137</v>
      </c>
      <c r="S39" s="41">
        <f>IF(AND(I39&lt;&gt;"",I39&lt;&gt;0),IF(I39&lt;=G39,D39,IF(I39&gt;=H39,0,SQRT((I39-H39)/(G39-H39))*D39)),0)</f>
        <v>0.11764008138541798</v>
      </c>
      <c r="T39" s="41">
        <f>IF(AND(M39&lt;&gt;"",M39&lt;&gt;0),IF(M39&lt;=K39,D39,IF(M39&gt;=L39,0,SQRT((M39-L39)/(K39-L39))*D39)),0)</f>
        <v>0.11657525464521518</v>
      </c>
      <c r="U39" s="41">
        <f>IF(AND(Q39&lt;&gt;"",Q39&lt;&gt;0),IF(Q39&lt;=O39,D39,IF(Q39&gt;=P39,0,SQRT((Q39-P39)/(O39-P39))*D39)),0)</f>
        <v>0.11517535018876129</v>
      </c>
      <c r="V39" s="139">
        <f>(S39*Service_Weights!$E$9) + (T39*Service_Weights!$F$9) + (U39*Service_Weights!$G$9)</f>
        <v>7.0160501878827644</v>
      </c>
      <c r="AM39" s="247">
        <f>(S39*Service_Weights!$E$9)</f>
        <v>4.2350429298750472</v>
      </c>
      <c r="AN39" s="247">
        <f>(T39*Service_Weights!$F$9)</f>
        <v>1.3989030557425821</v>
      </c>
      <c r="AO39" s="247">
        <f xml:space="preserve"> (U39*Service_Weights!$G$9)</f>
        <v>1.3821042022651355</v>
      </c>
      <c r="AX39">
        <f t="shared" si="8"/>
        <v>11</v>
      </c>
    </row>
    <row r="40" spans="1:50" x14ac:dyDescent="0.25">
      <c r="A40" s="61" t="s">
        <v>502</v>
      </c>
      <c r="D40" s="1">
        <v>0.2</v>
      </c>
      <c r="E40" t="s">
        <v>46</v>
      </c>
      <c r="G40" s="20">
        <v>384</v>
      </c>
      <c r="H40" s="24">
        <v>8000</v>
      </c>
      <c r="I40" s="63">
        <f>IFERROR( VLOOKUP($AZ$10,OBIEE_DATA!$A$1:$ZZ$999, $AX40,FALSE),"")</f>
        <v>1570.6197854588795</v>
      </c>
      <c r="J40" s="25"/>
      <c r="K40" s="20">
        <v>384</v>
      </c>
      <c r="L40" s="24">
        <v>8000</v>
      </c>
      <c r="M40" s="63">
        <f>IFERROR( VLOOKUP($AZ$11,OBIEE_DATA!$A$1:$ZZ$999, $AX40,FALSE),I40)</f>
        <v>1394.3254198031273</v>
      </c>
      <c r="N40" s="25"/>
      <c r="O40" s="20">
        <v>384</v>
      </c>
      <c r="P40" s="24">
        <v>6000</v>
      </c>
      <c r="Q40" s="63">
        <f>IFERROR( VLOOKUP($AZ$12,OBIEE_DATA!$A$1:$ZZ$999, $AX40,FALSE),"")</f>
        <v>674.50315075133301</v>
      </c>
      <c r="S40" s="41">
        <f>IF(I40&lt;&gt;"",IF(I40&lt;=G40,0,IF(I40&gt;=H40,D40,SQRT((I40-G40)/(H40-G40))*D40)),0)</f>
        <v>7.8944580386294191E-2</v>
      </c>
      <c r="T40" s="41">
        <f>IF(M40&lt;&gt;"",IF(M40&lt;=K40,0,IF(M40&gt;=L40,D40,SQRT((M40-K40)/(L40-K40))*D40)),0)</f>
        <v>7.2844567308488858E-2</v>
      </c>
      <c r="U40" s="41">
        <f>IF(Q40&lt;&gt;"",IF(Q40&lt;=O40,0,IF(Q40&gt;=P40,D40,SQRT((Q40-O40)/(P40-O40))*D40)),0)</f>
        <v>4.5487479160062606E-2</v>
      </c>
      <c r="V40" s="139">
        <f>(S40*Service_Weights!$E$9) + (T40*Service_Weights!$F$9) + (U40*Service_Weights!$G$9)</f>
        <v>4.2619894515292085</v>
      </c>
      <c r="AM40" s="247">
        <f>(S40*Service_Weights!$E$9)</f>
        <v>2.8420048939065907</v>
      </c>
      <c r="AN40" s="247">
        <f>(T40*Service_Weights!$F$9)</f>
        <v>0.87413480770186625</v>
      </c>
      <c r="AO40" s="247">
        <f xml:space="preserve"> (U40*Service_Weights!$G$9)</f>
        <v>0.5458497499207513</v>
      </c>
      <c r="AX40">
        <f>AX39+1</f>
        <v>12</v>
      </c>
    </row>
    <row r="41" spans="1:50" ht="15.75" thickBot="1" x14ac:dyDescent="0.3">
      <c r="A41" s="61" t="s">
        <v>503</v>
      </c>
      <c r="D41" s="1">
        <v>0.08</v>
      </c>
      <c r="E41" t="s">
        <v>46</v>
      </c>
      <c r="G41" s="22">
        <v>10000</v>
      </c>
      <c r="H41" s="31">
        <v>30000</v>
      </c>
      <c r="I41" s="64">
        <f>IFERROR( VLOOKUP($AZ$10,OBIEE_DATA!$A$1:$ZZ$999, $AX41,FALSE),"")</f>
        <v>9660.8391608391612</v>
      </c>
      <c r="J41" s="25"/>
      <c r="K41" s="22">
        <v>10000</v>
      </c>
      <c r="L41" s="31">
        <v>30000</v>
      </c>
      <c r="M41" s="64">
        <f>IFERROR( VLOOKUP($AZ$11,OBIEE_DATA!$A$1:$ZZ$999, $AX41,FALSE),I41)</f>
        <v>9252.1200260926289</v>
      </c>
      <c r="N41" s="25"/>
      <c r="O41" s="22">
        <v>5000</v>
      </c>
      <c r="P41" s="31">
        <v>25000</v>
      </c>
      <c r="Q41" s="64">
        <f>IFERROR( VLOOKUP($AZ$12,OBIEE_DATA!$A$1:$ZZ$999, $AX41,FALSE),"")</f>
        <v>8257.374631268438</v>
      </c>
      <c r="S41" s="41">
        <f>IF(I41&lt;&gt;"",IF(I41&lt;=G41,0,IF(I41&gt;=H41,D41,SQRT((I41-G41)/(H41-G41))*D41)),0)</f>
        <v>0</v>
      </c>
      <c r="T41" s="41">
        <f>IF(M41&lt;&gt;"",IF(M41&lt;=K41,0,IF(M41&gt;=L41,D41,SQRT((M41-K41)/(L41-K41))*D41)),0)</f>
        <v>0</v>
      </c>
      <c r="U41" s="41">
        <f>IF(Q41&lt;&gt;"",IF(Q41&lt;=O41,0,IF(Q41&gt;=P41,D41,SQRT((Q41-O41)/(P41-O41))*D41)),0)</f>
        <v>3.2285598678139765E-2</v>
      </c>
      <c r="V41" s="139">
        <f>(S41*Service_Weights!$E$9) + (T41*Service_Weights!$F$9) + (U41*Service_Weights!$G$9)</f>
        <v>0.38742718413767718</v>
      </c>
      <c r="AM41" s="247">
        <f>(S41*Service_Weights!$E$9)</f>
        <v>0</v>
      </c>
      <c r="AN41" s="247">
        <f>(T41*Service_Weights!$F$9)</f>
        <v>0</v>
      </c>
      <c r="AO41" s="247">
        <f xml:space="preserve"> (U41*Service_Weights!$G$9)</f>
        <v>0.38742718413767718</v>
      </c>
      <c r="AX41">
        <f t="shared" si="8"/>
        <v>13</v>
      </c>
    </row>
    <row r="42" spans="1:50" x14ac:dyDescent="0.25">
      <c r="D42" s="1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t="s">
        <v>42</v>
      </c>
      <c r="S42" s="53">
        <f>SUM(S38:S41)</f>
        <v>0.68497001339033214</v>
      </c>
      <c r="T42" s="53">
        <f t="shared" ref="T42:U42" si="11">SUM(T38:T41)</f>
        <v>0.67226600932550584</v>
      </c>
      <c r="U42" s="53">
        <f t="shared" si="11"/>
        <v>0.56118450229752037</v>
      </c>
    </row>
    <row r="43" spans="1:50" x14ac:dyDescent="0.25">
      <c r="D43" s="1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t="s">
        <v>483</v>
      </c>
      <c r="S43" s="131">
        <f>S42*Service_Weights!E9</f>
        <v>24.658920482051958</v>
      </c>
      <c r="T43" s="131">
        <f>T42*Service_Weights!F9</f>
        <v>8.0671921119060706</v>
      </c>
      <c r="U43" s="131">
        <f>U42*Service_Weights!G9</f>
        <v>6.7342140275702445</v>
      </c>
    </row>
    <row r="44" spans="1:50" ht="18.75" x14ac:dyDescent="0.3">
      <c r="A44" s="5" t="s">
        <v>56</v>
      </c>
      <c r="D44" s="8">
        <f>SUM(D54:D57)</f>
        <v>0.99999999999999989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S44" s="40"/>
      <c r="T44" s="40"/>
      <c r="U44" s="40"/>
    </row>
    <row r="45" spans="1:50" ht="15.75" thickBot="1" x14ac:dyDescent="0.3">
      <c r="A45" t="s">
        <v>30</v>
      </c>
      <c r="D45" s="1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S45" s="40"/>
      <c r="T45" s="40"/>
      <c r="U45" s="40"/>
      <c r="V45" s="138" t="s">
        <v>483</v>
      </c>
      <c r="AM45" t="s">
        <v>632</v>
      </c>
      <c r="AN45" t="s">
        <v>40</v>
      </c>
      <c r="AO45" t="s">
        <v>633</v>
      </c>
    </row>
    <row r="46" spans="1:50" x14ac:dyDescent="0.25">
      <c r="A46" t="s">
        <v>21</v>
      </c>
      <c r="D46" s="23">
        <v>0.6</v>
      </c>
      <c r="E46" t="s">
        <v>47</v>
      </c>
      <c r="G46" s="18">
        <v>87</v>
      </c>
      <c r="H46" s="30">
        <v>100</v>
      </c>
      <c r="I46" s="27">
        <f>IFERROR( VLOOKUP($AZ$10,OBIEE_DATA!$A$1:$ZZ$999, $AX46,FALSE),"")</f>
        <v>99.269943905515333</v>
      </c>
      <c r="J46" s="25"/>
      <c r="K46" s="18">
        <v>87</v>
      </c>
      <c r="L46" s="30">
        <v>100</v>
      </c>
      <c r="M46" s="27">
        <f>IFERROR( VLOOKUP($AZ$11,OBIEE_DATA!$A$1:$ZZ$999, $AX46,FALSE),I46)</f>
        <v>99.041581146034758</v>
      </c>
      <c r="N46" s="25"/>
      <c r="O46" s="18">
        <v>80</v>
      </c>
      <c r="P46" s="30">
        <v>100</v>
      </c>
      <c r="Q46" s="27">
        <f>IFERROR( VLOOKUP($AZ$12,OBIEE_DATA!$A$1:$ZZ$999, $AX46,FALSE),"")</f>
        <v>96.996699669967001</v>
      </c>
      <c r="S46" s="41">
        <f>IF(I46&lt;&gt;"",IF(I46&lt;=(0.9*G46+0.1*H46),0.1*D46*I46/(0.9*G46+0.1*H46),IF(I46&gt;=H46,D46,(I46-G46)/(H46-G46)*D46)),0)</f>
        <v>0.56630510333147688</v>
      </c>
      <c r="T46" s="41">
        <f>IF(M46&lt;&gt;"",IF(M46&lt;=(0.9*K46+0.1*L46),0.1*D46*M46/(0.9*K46+0.1*L46),IF(M46&gt;=L46,D46,(M46-K46)/(L46-K46)*D46)),0)</f>
        <v>0.55576528366314271</v>
      </c>
      <c r="U46" s="41">
        <f>IF(Q46&lt;&gt;"",IF(Q46&lt;=(0.9*O46+0.1*P46),0.1*D46*Q46/(0.9*O46+0.1*P46),IF(Q46&gt;=P46,D46,(Q46-O46)/(P46-O46)*D46)),0)</f>
        <v>0.50990099009901002</v>
      </c>
      <c r="V46" s="139">
        <f>(S46*Service_Weights!$E$10) + (T46*Service_Weights!$F$10) + (U46*Service_Weights!$G$10)</f>
        <v>33.174979005079003</v>
      </c>
      <c r="AM46" s="247">
        <f>(S46*Service_Weights!$E$10)</f>
        <v>20.386983719933166</v>
      </c>
      <c r="AN46" s="247">
        <f>(T46*Service_Weights!$F$10)</f>
        <v>6.669183403957712</v>
      </c>
      <c r="AO46" s="247">
        <f xml:space="preserve"> (U46*Service_Weights!$G$10)</f>
        <v>6.1188118811881207</v>
      </c>
      <c r="AX46">
        <f>AX41+1</f>
        <v>14</v>
      </c>
    </row>
    <row r="47" spans="1:50" x14ac:dyDescent="0.25">
      <c r="A47" t="s">
        <v>504</v>
      </c>
      <c r="D47" s="23">
        <v>0.12</v>
      </c>
      <c r="E47" t="s">
        <v>46</v>
      </c>
      <c r="G47" s="20">
        <v>7500</v>
      </c>
      <c r="H47" s="24">
        <v>80000</v>
      </c>
      <c r="I47" s="28">
        <f>IFERROR( VLOOKUP($AZ$10,OBIEE_DATA!$A$1:$ZZ$999, $AX47,FALSE),"")</f>
        <v>16449.969363789347</v>
      </c>
      <c r="J47" s="25"/>
      <c r="K47" s="20">
        <v>7500</v>
      </c>
      <c r="L47" s="24">
        <v>80000</v>
      </c>
      <c r="M47" s="28">
        <f>IFERROR( VLOOKUP($AZ$11,OBIEE_DATA!$A$1:$ZZ$999, $AX47,FALSE),I47)</f>
        <v>16539.365087701899</v>
      </c>
      <c r="N47" s="25"/>
      <c r="O47" s="20">
        <v>4000</v>
      </c>
      <c r="P47" s="24">
        <v>50000</v>
      </c>
      <c r="Q47" s="28">
        <f>IFERROR( VLOOKUP($AZ$12,OBIEE_DATA!$A$1:$ZZ$999, $AX47,FALSE),"")</f>
        <v>11969.037377228724</v>
      </c>
      <c r="S47" s="41">
        <f>IF(I47&lt;&gt;"",IF(I47&lt;=G47,0,IF(I47&gt;=H47,D47,SQRT((I47-G47)/(H47-G47))*D47)),0)</f>
        <v>4.2162176028147605E-2</v>
      </c>
      <c r="T47" s="41">
        <f>IF(M47&lt;&gt;"",IF(M47&lt;=K47,0,IF(M47&gt;=L47,D47,SQRT((M47-K47)/(L47-K47))*D47)),0)</f>
        <v>4.2372218820404477E-2</v>
      </c>
      <c r="U47" s="41">
        <f>IF(Q47&lt;&gt;"",IF(Q47&lt;=O47,0,IF(Q47&gt;=P47,D47,SQRT((Q47-O47)/(P47-O47))*D47)),0)</f>
        <v>4.994652319189552E-2</v>
      </c>
      <c r="V47" s="139">
        <f>(S47*Service_Weights!$E$10) + (T47*Service_Weights!$F$10) + (U47*Service_Weights!$G$10)</f>
        <v>2.6256632411609138</v>
      </c>
      <c r="AM47" s="247">
        <f>(S47*Service_Weights!$E$10)</f>
        <v>1.5178383370133137</v>
      </c>
      <c r="AN47" s="247">
        <f>(T47*Service_Weights!$F$10)</f>
        <v>0.50846662584485369</v>
      </c>
      <c r="AO47" s="247">
        <f xml:space="preserve"> (U47*Service_Weights!$G$10)</f>
        <v>0.59935827830274624</v>
      </c>
      <c r="AX47">
        <f t="shared" ref="AX47:AX49" si="12">AX46+1</f>
        <v>15</v>
      </c>
    </row>
    <row r="48" spans="1:50" x14ac:dyDescent="0.25">
      <c r="A48" s="61" t="s">
        <v>505</v>
      </c>
      <c r="D48" s="23">
        <v>0.2</v>
      </c>
      <c r="E48" t="s">
        <v>46</v>
      </c>
      <c r="G48" s="20">
        <v>128</v>
      </c>
      <c r="H48" s="24">
        <v>35000</v>
      </c>
      <c r="I48" s="63">
        <f>IFERROR( VLOOKUP($AZ$10,OBIEE_DATA!$A$1:$ZZ$999, $AX48,FALSE),"")</f>
        <v>5470.916334661355</v>
      </c>
      <c r="J48" s="25"/>
      <c r="K48" s="20">
        <v>128</v>
      </c>
      <c r="L48" s="24">
        <v>35000</v>
      </c>
      <c r="M48" s="63">
        <f>IFERROR( VLOOKUP($AZ$11,OBIEE_DATA!$A$1:$ZZ$999, $AX48,FALSE),I48)</f>
        <v>5528.3748925193495</v>
      </c>
      <c r="N48" s="25"/>
      <c r="O48" s="20">
        <v>128</v>
      </c>
      <c r="P48" s="24">
        <v>12000</v>
      </c>
      <c r="Q48" s="63">
        <f>IFERROR( VLOOKUP($AZ$12,OBIEE_DATA!$A$1:$ZZ$999, $AX48,FALSE),"")</f>
        <v>1996.6032608695657</v>
      </c>
      <c r="S48" s="41">
        <f>IF(I48&lt;&gt;"",IF(I48&lt;=G48,0,IF(I48&gt;=H48,D48,SQRT((I48-G48)/(H48-G48))*D48)),0)</f>
        <v>7.828539630381412E-2</v>
      </c>
      <c r="T48" s="41">
        <f>IF(M48&lt;&gt;"",IF(M48&lt;=K48,0,IF(M48&gt;=L48,D48,SQRT((M48-K48)/(L48-K48))*D48)),0)</f>
        <v>7.8705217314544343E-2</v>
      </c>
      <c r="U48" s="41">
        <f>IF(Q48&lt;&gt;"",IF(Q48&lt;=O48,0,IF(Q48&gt;=P48,D48,SQRT((Q48-O48)/(P48-O48))*D48)),0)</f>
        <v>7.9346285919273965E-2</v>
      </c>
      <c r="V48" s="139">
        <f>(S48*Service_Weights!$E$10) + (T48*Service_Weights!$F$10) + (U48*Service_Weights!$G$10)</f>
        <v>4.7148923057431285</v>
      </c>
      <c r="AM48" s="247">
        <f>(S48*Service_Weights!$E$10)</f>
        <v>2.8182742669373084</v>
      </c>
      <c r="AN48" s="247">
        <f>(T48*Service_Weights!$F$10)</f>
        <v>0.94446260777453217</v>
      </c>
      <c r="AO48" s="247">
        <f xml:space="preserve"> (U48*Service_Weights!$G$10)</f>
        <v>0.95215543103128764</v>
      </c>
      <c r="AX48">
        <f>AX47+1</f>
        <v>16</v>
      </c>
    </row>
    <row r="49" spans="1:50" ht="15.75" thickBot="1" x14ac:dyDescent="0.3">
      <c r="A49" s="61" t="s">
        <v>506</v>
      </c>
      <c r="D49" s="23">
        <v>0.08</v>
      </c>
      <c r="E49" t="s">
        <v>46</v>
      </c>
      <c r="G49" s="22">
        <v>25000</v>
      </c>
      <c r="H49" s="31">
        <v>180000</v>
      </c>
      <c r="I49" s="64">
        <f>IFERROR( VLOOKUP($AZ$10,OBIEE_DATA!$A$1:$ZZ$999, $AX49,FALSE),"")</f>
        <v>29748.218527315916</v>
      </c>
      <c r="J49" s="25"/>
      <c r="K49" s="22">
        <v>25000</v>
      </c>
      <c r="L49" s="31">
        <v>180000</v>
      </c>
      <c r="M49" s="64">
        <f>IFERROR( VLOOKUP($AZ$11,OBIEE_DATA!$A$1:$ZZ$999, $AX49,FALSE),I49)</f>
        <v>31702.868852459014</v>
      </c>
      <c r="N49" s="25"/>
      <c r="O49" s="22">
        <v>15000</v>
      </c>
      <c r="P49" s="31">
        <v>100000</v>
      </c>
      <c r="Q49" s="64">
        <f>IFERROR( VLOOKUP($AZ$12,OBIEE_DATA!$A$1:$ZZ$999, $AX49,FALSE),"")</f>
        <v>24628.342245989301</v>
      </c>
      <c r="S49" s="41">
        <f>IF(I49&lt;&gt;"",IF(I49&lt;=G49,0,IF(I49&gt;=H49,D49,SQRT((I49-G49)/(H49-G49))*D49)),0)</f>
        <v>1.4001981098268562E-2</v>
      </c>
      <c r="T49" s="41">
        <f>IF(M49&lt;&gt;"",IF(M49&lt;=K49,0,IF(M49&gt;=L49,D49,SQRT((M49-K49)/(L49-K49))*D49)),0)</f>
        <v>1.6636214026448191E-2</v>
      </c>
      <c r="U49" s="41">
        <f>IF(Q49&lt;&gt;"",IF(Q49&lt;=O49,0,IF(Q49&gt;=P49,D49,SQRT((Q49-O49)/(P49-O49))*D49)),0)</f>
        <v>2.6925035446878524E-2</v>
      </c>
      <c r="V49" s="139">
        <f>(S49*Service_Weights!$E$10) + (T49*Service_Weights!$F$10) + (U49*Service_Weights!$G$10)</f>
        <v>1.0268063132175889</v>
      </c>
      <c r="AM49" s="247">
        <f>(S49*Service_Weights!$E$10)</f>
        <v>0.50407131953766826</v>
      </c>
      <c r="AN49" s="247">
        <f>(T49*Service_Weights!$F$10)</f>
        <v>0.1996345683173783</v>
      </c>
      <c r="AO49" s="247">
        <f xml:space="preserve"> (U49*Service_Weights!$G$10)</f>
        <v>0.3231004253625423</v>
      </c>
      <c r="AX49">
        <f t="shared" si="12"/>
        <v>17</v>
      </c>
    </row>
    <row r="50" spans="1:50" x14ac:dyDescent="0.25">
      <c r="D50" s="1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t="s">
        <v>42</v>
      </c>
      <c r="S50" s="53">
        <f>SUM(S46:S49)</f>
        <v>0.70075465676170723</v>
      </c>
      <c r="T50" s="53">
        <f t="shared" ref="T50:U50" si="13">SUM(T46:T49)</f>
        <v>0.69347893382453973</v>
      </c>
      <c r="U50" s="53">
        <f t="shared" si="13"/>
        <v>0.66611883465705801</v>
      </c>
    </row>
    <row r="51" spans="1:50" x14ac:dyDescent="0.25">
      <c r="D51" s="1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t="s">
        <v>483</v>
      </c>
      <c r="S51" s="131">
        <f>S50*Service_Weights!E10</f>
        <v>25.22716764342146</v>
      </c>
      <c r="T51" s="131">
        <f>T50*Service_Weights!F10</f>
        <v>8.3217472058944768</v>
      </c>
      <c r="U51" s="131">
        <f>U50*Service_Weights!G10</f>
        <v>7.9934260158846957</v>
      </c>
    </row>
    <row r="52" spans="1:50" ht="18.75" x14ac:dyDescent="0.3">
      <c r="A52" s="5" t="s">
        <v>57</v>
      </c>
      <c r="D52" s="8">
        <f>SUM(D54:D57)</f>
        <v>0.99999999999999989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S52" s="40"/>
      <c r="T52" s="40"/>
      <c r="U52" s="40"/>
    </row>
    <row r="53" spans="1:50" ht="15.75" thickBot="1" x14ac:dyDescent="0.3">
      <c r="A53" t="s">
        <v>30</v>
      </c>
      <c r="D53" s="1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S53" s="40"/>
      <c r="T53" s="40"/>
      <c r="U53" s="40"/>
      <c r="V53" s="138" t="s">
        <v>483</v>
      </c>
      <c r="AM53" t="s">
        <v>632</v>
      </c>
      <c r="AN53" t="s">
        <v>40</v>
      </c>
      <c r="AO53" t="s">
        <v>633</v>
      </c>
    </row>
    <row r="54" spans="1:50" x14ac:dyDescent="0.25">
      <c r="A54" t="s">
        <v>21</v>
      </c>
      <c r="D54" s="1">
        <v>0.6</v>
      </c>
      <c r="E54" t="s">
        <v>47</v>
      </c>
      <c r="G54" s="18">
        <v>87</v>
      </c>
      <c r="H54" s="30">
        <v>100</v>
      </c>
      <c r="I54" s="27">
        <f>IFERROR( VLOOKUP($AZ$10,OBIEE_DATA!$A$1:$ZZ$999, $AX54,FALSE),"")</f>
        <v>98.913858092819623</v>
      </c>
      <c r="J54" s="25"/>
      <c r="K54" s="18">
        <v>87</v>
      </c>
      <c r="L54" s="30">
        <v>100</v>
      </c>
      <c r="M54" s="27">
        <f>IFERROR( VLOOKUP($AZ$11,OBIEE_DATA!$A$1:$ZZ$999, $AX54,FALSE),I54)</f>
        <v>99.094559548633868</v>
      </c>
      <c r="N54" s="25"/>
      <c r="O54" s="18">
        <v>80</v>
      </c>
      <c r="P54" s="30">
        <v>100</v>
      </c>
      <c r="Q54" s="27">
        <f>IFERROR( VLOOKUP($AZ$12,OBIEE_DATA!$A$1:$ZZ$999, $AX54,FALSE),"")</f>
        <v>93.51422898742554</v>
      </c>
      <c r="S54" s="41">
        <f>IF(I54&lt;&gt;"",IF(I54&lt;=(0.9*G54+0.1*H54),0.1*D54*I54/(0.9*G54+0.1*H54),IF(I54&gt;=H54,D54,(I54-G54)/(H54-G54)*D54)),0)</f>
        <v>0.54987037351475188</v>
      </c>
      <c r="T54" s="41">
        <f>IF(M54&lt;&gt;"",IF(M54&lt;=(0.9*K54+0.1*L54),0.1*D54*M54/(0.9*K54+0.1*L54),IF(M54&gt;=L54,D54,(M54-K54)/(L54-K54)*D54)),0)</f>
        <v>0.55821044070617842</v>
      </c>
      <c r="U54" s="41">
        <f>IF(Q54&lt;&gt;"",IF(Q54&lt;=(0.9*O54+0.1*P54),0.1*D54*Q54/(0.9*O54+0.1*P54),IF(Q54&gt;=P54,D54,(Q54-O54)/(P54-O54)*D54)),0)</f>
        <v>0.4054268696227662</v>
      </c>
      <c r="V54" s="139">
        <f>(S54*Service_Weights!$E$11) + (T54*Service_Weights!$F$11) + (U54*Service_Weights!$G$11)</f>
        <v>31.358981170478401</v>
      </c>
      <c r="AM54" s="247">
        <f>(S54*Service_Weights!$E$11)</f>
        <v>19.795333446531068</v>
      </c>
      <c r="AN54" s="247">
        <f>(T54*Service_Weights!$F$11)</f>
        <v>6.6985252884741406</v>
      </c>
      <c r="AO54" s="247">
        <f xml:space="preserve">  (U54*Service_Weights!$G$11)</f>
        <v>4.8651224354731948</v>
      </c>
      <c r="AX54">
        <f>AX49+1</f>
        <v>18</v>
      </c>
    </row>
    <row r="55" spans="1:50" x14ac:dyDescent="0.25">
      <c r="A55" t="s">
        <v>504</v>
      </c>
      <c r="D55" s="1">
        <v>0.12</v>
      </c>
      <c r="E55" t="s">
        <v>46</v>
      </c>
      <c r="G55" s="20">
        <v>4000</v>
      </c>
      <c r="H55" s="24">
        <v>35000</v>
      </c>
      <c r="I55" s="28">
        <f>IFERROR( VLOOKUP($AZ$10,OBIEE_DATA!$A$1:$ZZ$999, $AX55,FALSE),"")</f>
        <v>12126.301520557683</v>
      </c>
      <c r="J55" s="25"/>
      <c r="K55" s="20">
        <v>4000</v>
      </c>
      <c r="L55" s="24">
        <v>35000</v>
      </c>
      <c r="M55" s="28">
        <f>IFERROR( VLOOKUP($AZ$11,OBIEE_DATA!$A$1:$ZZ$999, $AX55,FALSE),I55)</f>
        <v>12547.062670872087</v>
      </c>
      <c r="N55" s="25"/>
      <c r="O55" s="20">
        <v>1000</v>
      </c>
      <c r="P55" s="24">
        <v>25000</v>
      </c>
      <c r="Q55" s="28">
        <f>IFERROR( VLOOKUP($AZ$12,OBIEE_DATA!$A$1:$ZZ$999, $AX55,FALSE),"")</f>
        <v>6757.549502893371</v>
      </c>
      <c r="S55" s="41">
        <f>IF(I55&lt;&gt;"",IF(I55&lt;=G55,0,IF(I55&gt;=H55,D55,SQRT((I55-G55)/(H55-G55))*D55)),0)</f>
        <v>6.1439385785328343E-2</v>
      </c>
      <c r="T55" s="41">
        <f>IF(M55&lt;&gt;"",IF(M55&lt;=K55,0,IF(M55&gt;=L55,D55,SQRT((M55-K55)/(L55-K55))*D55)),0)</f>
        <v>6.3009907684979299E-2</v>
      </c>
      <c r="U55" s="41">
        <f>IF(Q55&lt;&gt;"",IF(Q55&lt;=O55,0,IF(Q55&gt;=P55,D55,SQRT((Q55-O55)/(P55-O55))*D55)),0)</f>
        <v>5.8775247355804659E-2</v>
      </c>
      <c r="V55" s="139">
        <f>(S55*Service_Weights!$E$11) + (T55*Service_Weights!$F$11) + (U55*Service_Weights!$G$11)</f>
        <v>3.6732397487612278</v>
      </c>
      <c r="AM55" s="247">
        <f>(S55*Service_Weights!$E$11)</f>
        <v>2.2118178882718205</v>
      </c>
      <c r="AN55" s="247">
        <f>(T55*Service_Weights!$F$11)</f>
        <v>0.75611889221975159</v>
      </c>
      <c r="AO55" s="247">
        <f xml:space="preserve">  (U55*Service_Weights!$G$11)</f>
        <v>0.70530296826965588</v>
      </c>
      <c r="AX55">
        <f t="shared" ref="AX55:AX57" si="14">AX54+1</f>
        <v>19</v>
      </c>
    </row>
    <row r="56" spans="1:50" x14ac:dyDescent="0.25">
      <c r="A56" t="s">
        <v>505</v>
      </c>
      <c r="D56" s="1">
        <v>0.2</v>
      </c>
      <c r="E56" t="s">
        <v>46</v>
      </c>
      <c r="G56" s="20">
        <v>64</v>
      </c>
      <c r="H56" s="24">
        <v>10000</v>
      </c>
      <c r="I56" s="63">
        <f>IFERROR( VLOOKUP($AZ$10,OBIEE_DATA!$A$1:$ZZ$999, $AX56,FALSE),"")</f>
        <v>2083.3333333333335</v>
      </c>
      <c r="J56" s="25"/>
      <c r="K56" s="20">
        <v>64</v>
      </c>
      <c r="L56" s="24">
        <v>10000</v>
      </c>
      <c r="M56" s="63">
        <f>IFERROR( VLOOKUP($AZ$11,OBIEE_DATA!$A$1:$ZZ$999, $AX56,FALSE),I56)</f>
        <v>2101.6295025728982</v>
      </c>
      <c r="N56" s="25"/>
      <c r="O56" s="20">
        <v>64</v>
      </c>
      <c r="P56" s="24">
        <v>5000</v>
      </c>
      <c r="Q56" s="63">
        <f>IFERROR( VLOOKUP($AZ$12,OBIEE_DATA!$A$1:$ZZ$999, $AX56,FALSE),"")</f>
        <v>743.68421052631584</v>
      </c>
      <c r="S56" s="41">
        <f>IF(I56&lt;&gt;"",IF(I56&lt;=G56,0,IF(I56&gt;=H56,D56,SQRT((I56-G56)/(H56-G56))*D56)),0)</f>
        <v>9.0162970477371013E-2</v>
      </c>
      <c r="T56" s="41">
        <f>IF(M56&lt;&gt;"",IF(M56&lt;=K56,0,IF(M56&gt;=L56,D56,SQRT((M56-K56)/(L56-K56))*D56)),0)</f>
        <v>9.0570510217989467E-2</v>
      </c>
      <c r="U56" s="41">
        <f>IF(Q56&lt;&gt;"",IF(Q56&lt;=O56,0,IF(Q56&gt;=P56,D56,SQRT((Q56-O56)/(P56-O56))*D56)),0)</f>
        <v>7.4215738048740404E-2</v>
      </c>
      <c r="V56" s="139">
        <f>(S56*Service_Weights!$E$11) + (T56*Service_Weights!$F$11) + (U56*Service_Weights!$G$11)</f>
        <v>5.2233019163861147</v>
      </c>
      <c r="AM56" s="247">
        <f>(S56*Service_Weights!$E$11)</f>
        <v>3.2458669371853563</v>
      </c>
      <c r="AN56" s="247">
        <f>(T56*Service_Weights!$F$11)</f>
        <v>1.0868461226158737</v>
      </c>
      <c r="AO56" s="247">
        <f xml:space="preserve">  (U56*Service_Weights!$G$11)</f>
        <v>0.89058885658488485</v>
      </c>
      <c r="AX56">
        <f>AX55+1</f>
        <v>20</v>
      </c>
    </row>
    <row r="57" spans="1:50" ht="15.75" thickBot="1" x14ac:dyDescent="0.3">
      <c r="A57" t="s">
        <v>506</v>
      </c>
      <c r="D57" s="1">
        <v>0.08</v>
      </c>
      <c r="E57" t="s">
        <v>46</v>
      </c>
      <c r="G57" s="22">
        <v>15000</v>
      </c>
      <c r="H57" s="31">
        <v>50000</v>
      </c>
      <c r="I57" s="64">
        <f>IFERROR( VLOOKUP($AZ$10,OBIEE_DATA!$A$1:$ZZ$999, $AX57,FALSE),"")</f>
        <v>22895.480225988696</v>
      </c>
      <c r="J57" s="25"/>
      <c r="K57" s="22">
        <v>15000</v>
      </c>
      <c r="L57" s="31">
        <v>50000</v>
      </c>
      <c r="M57" s="64">
        <f>IFERROR( VLOOKUP($AZ$11,OBIEE_DATA!$A$1:$ZZ$999, $AX57,FALSE),I57)</f>
        <v>23345.894263217106</v>
      </c>
      <c r="N57" s="25"/>
      <c r="O57" s="22">
        <v>6000</v>
      </c>
      <c r="P57" s="31">
        <v>45000</v>
      </c>
      <c r="Q57" s="64">
        <f>IFERROR( VLOOKUP($AZ$12,OBIEE_DATA!$A$1:$ZZ$999, $AX57,FALSE),"")</f>
        <v>19072.519083969466</v>
      </c>
      <c r="S57" s="41">
        <f>IF(I57&lt;&gt;"",IF(I57&lt;=G57,0,IF(I57&gt;=H57,D57,SQRT((I57-G57)/(H57-G57))*D57)),0)</f>
        <v>3.7996644004561271E-2</v>
      </c>
      <c r="T57" s="41">
        <f>IF(M57&lt;&gt;"",IF(M57&lt;=K57,0,IF(M57&gt;=L57,D57,SQRT((M57-K57)/(L57-K57))*D57)),0)</f>
        <v>3.9065411549856981E-2</v>
      </c>
      <c r="U57" s="41">
        <f>IF(Q57&lt;&gt;"",IF(Q57&lt;=O57,0,IF(Q57&gt;=P57,D57,SQRT((Q57-O57)/(P57-O57))*D57)),0)</f>
        <v>4.6316669795648004E-2</v>
      </c>
      <c r="V57" s="139">
        <f>(S57*Service_Weights!$E$11) + (T57*Service_Weights!$F$11) + (U57*Service_Weights!$G$11)</f>
        <v>2.3924641603102654</v>
      </c>
      <c r="AM57" s="247">
        <f>(S57*Service_Weights!$E$11)</f>
        <v>1.3678791841642057</v>
      </c>
      <c r="AN57" s="247">
        <f>(T57*Service_Weights!$F$11)</f>
        <v>0.46878493859828374</v>
      </c>
      <c r="AO57" s="247">
        <f xml:space="preserve">  (U57*Service_Weights!$G$11)</f>
        <v>0.55580003754777607</v>
      </c>
      <c r="AX57">
        <f t="shared" si="14"/>
        <v>21</v>
      </c>
    </row>
    <row r="58" spans="1:50" x14ac:dyDescent="0.25">
      <c r="D58" s="1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t="s">
        <v>42</v>
      </c>
      <c r="S58" s="53">
        <f>SUM(S54:S57)</f>
        <v>0.7394693737820125</v>
      </c>
      <c r="T58" s="53">
        <f t="shared" ref="T58:U58" si="15">SUM(T54:T57)</f>
        <v>0.75085627015900414</v>
      </c>
      <c r="U58" s="53">
        <f t="shared" si="15"/>
        <v>0.58473452482295918</v>
      </c>
    </row>
    <row r="59" spans="1:50" x14ac:dyDescent="0.25">
      <c r="D59" s="1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t="s">
        <v>483</v>
      </c>
      <c r="S59" s="131">
        <f>S58*Service_Weights!E11</f>
        <v>26.620897456152449</v>
      </c>
      <c r="T59" s="131">
        <f>T58*Service_Weights!F11</f>
        <v>9.0102752419080492</v>
      </c>
      <c r="U59" s="131">
        <f>U58*Service_Weights!G11</f>
        <v>7.0168142978755101</v>
      </c>
    </row>
    <row r="60" spans="1:50" ht="18.75" x14ac:dyDescent="0.3">
      <c r="A60" s="5" t="s">
        <v>32</v>
      </c>
      <c r="D60" s="8">
        <f>SUM(D62:D65)</f>
        <v>1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S60" s="40"/>
      <c r="T60" s="40"/>
      <c r="U60" s="40"/>
    </row>
    <row r="61" spans="1:50" ht="15.75" thickBot="1" x14ac:dyDescent="0.3">
      <c r="A61" t="s">
        <v>30</v>
      </c>
      <c r="D61" s="1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S61" s="40"/>
      <c r="T61" s="40"/>
      <c r="U61" s="40"/>
      <c r="V61" s="138" t="s">
        <v>483</v>
      </c>
      <c r="AM61" t="s">
        <v>632</v>
      </c>
      <c r="AN61" t="s">
        <v>40</v>
      </c>
      <c r="AO61" t="s">
        <v>633</v>
      </c>
    </row>
    <row r="62" spans="1:50" x14ac:dyDescent="0.25">
      <c r="A62" s="61" t="s">
        <v>21</v>
      </c>
      <c r="D62" s="1">
        <v>0.55000000000000004</v>
      </c>
      <c r="E62" t="s">
        <v>47</v>
      </c>
      <c r="G62" s="18">
        <v>85</v>
      </c>
      <c r="H62" s="30">
        <v>100</v>
      </c>
      <c r="I62" s="65">
        <f>IFERROR( VLOOKUP($AZ$10,OBIEE_DATA!$A$1:$ZZ$999, $AX62,FALSE),"")</f>
        <v>97.489068704417932</v>
      </c>
      <c r="J62" s="25"/>
      <c r="K62" s="18">
        <v>85</v>
      </c>
      <c r="L62" s="30">
        <v>100</v>
      </c>
      <c r="M62" s="65">
        <f>IFERROR( VLOOKUP($AZ$11,OBIEE_DATA!$A$1:$ZZ$999, $AX62,FALSE),I62)</f>
        <v>98.526441950588577</v>
      </c>
      <c r="N62" s="25"/>
      <c r="O62" s="18">
        <v>75</v>
      </c>
      <c r="P62" s="30">
        <v>100</v>
      </c>
      <c r="Q62" s="65">
        <f>IFERROR( VLOOKUP($AZ$12,OBIEE_DATA!$A$1:$ZZ$999, $AX62,FALSE),"")</f>
        <v>98.442064977933896</v>
      </c>
      <c r="S62" s="41">
        <f>IF(I62&lt;&gt;"",IF(I62&lt;=(0.9*G62+0.1*H62),0.1*D62*I62/(0.9*G62+0.1*H62),IF(I62&gt;=H62,D62,(I62-G62)/(H62-G62)*D62)),0)</f>
        <v>0.45793251916199085</v>
      </c>
      <c r="T62" s="41">
        <f>IF(M62&lt;&gt;"",IF(M62&lt;=(0.9*K62+0.1*L62),0.1*D62*M62/(0.9*K62+0.1*L62),IF(M62&gt;=L62,D62,(M62-K62)/(L62-K62)*D62)),0)</f>
        <v>0.49596953818824785</v>
      </c>
      <c r="U62" s="41">
        <f>IF(Q62&lt;&gt;"",IF(Q62&lt;=(0.9*O62+0.1*P62),0.1*D62*Q62/(0.9*O62+0.1*P62),IF(Q62&gt;=P62,D62,(Q62-O62)/(P62-O62)*D62)),0)</f>
        <v>0.51572542951454581</v>
      </c>
      <c r="V62" s="139">
        <f>(S62*Service_Weights!$E$12) + (T62*Service_Weights!$F$12) + (U62*Service_Weights!$G$12)</f>
        <v>71.564775755662978</v>
      </c>
      <c r="AM62" s="247">
        <f>(S62*Service_Weights!$E$12)</f>
        <v>41.213926724579174</v>
      </c>
      <c r="AN62" s="247">
        <f xml:space="preserve"> (T62*Service_Weights!$F$12)</f>
        <v>14.879086145647435</v>
      </c>
      <c r="AO62" s="247">
        <f xml:space="preserve"> (U62*Service_Weights!$G$12)</f>
        <v>15.471762885436375</v>
      </c>
      <c r="AX62">
        <v>25</v>
      </c>
    </row>
    <row r="63" spans="1:50" x14ac:dyDescent="0.25">
      <c r="A63" s="61" t="s">
        <v>703</v>
      </c>
      <c r="D63" s="1">
        <v>0.05</v>
      </c>
      <c r="E63" t="s">
        <v>45</v>
      </c>
      <c r="G63" s="20">
        <v>1</v>
      </c>
      <c r="H63" s="24">
        <v>4.5</v>
      </c>
      <c r="I63" s="63">
        <f>IFERROR( VLOOKUP($AZ$10,OBIEE_DATA!$A$1:$ZZ$999, $AX63,FALSE),"")</f>
        <v>1.0673185277239223</v>
      </c>
      <c r="J63" s="25"/>
      <c r="K63" s="20">
        <v>1</v>
      </c>
      <c r="L63" s="24">
        <v>4.5</v>
      </c>
      <c r="M63" s="63">
        <f>IFERROR( VLOOKUP($AZ$11,OBIEE_DATA!$A$1:$ZZ$999, $AX63,FALSE),I63)</f>
        <v>1.1256764280584455</v>
      </c>
      <c r="N63" s="25"/>
      <c r="O63" s="20">
        <v>1.5</v>
      </c>
      <c r="P63" s="24">
        <v>5</v>
      </c>
      <c r="Q63" s="63">
        <f>IFERROR( VLOOKUP($AZ$12,OBIEE_DATA!$A$1:$ZZ$999, $AX63,FALSE),"")</f>
        <v>1.2878977268652105</v>
      </c>
      <c r="S63" s="41">
        <f>IF(AND(I63&lt;&gt;"",I63&lt;&gt;0),IF(I63&lt;=G63,D63,IF(I63&gt;=H63,0,D63-(I63-G63)/(H63-G63)*D63)),0)</f>
        <v>4.9038306746801111E-2</v>
      </c>
      <c r="T63" s="41">
        <f>IF(AND(M63&lt;&gt;"",M63&lt;&gt;0),IF(M63&lt;=K63,D63,IF(M63&gt;=L63,0,D63-(M63-K63)/(L63-K63)*D63)),0)</f>
        <v>4.8204622456307925E-2</v>
      </c>
      <c r="U63" s="41">
        <f>IF(AND(Q63&lt;&gt;"",Q63&lt;&gt;0),IF(Q63&lt;=O63,D63,IF(Q63&gt;=P63,0,D63-(Q63-O63)/(P63-O63)*D63)),0)</f>
        <v>0.05</v>
      </c>
      <c r="V63" s="139">
        <f>(S63*Service_Weights!$E$12) + (T63*Service_Weights!$F$12) + (U63*Service_Weights!$G$12)</f>
        <v>7.3595862809013379</v>
      </c>
      <c r="AM63" s="247">
        <f>(S63*Service_Weights!$E$12)</f>
        <v>4.4134476072120998</v>
      </c>
      <c r="AN63" s="247">
        <f xml:space="preserve"> (T63*Service_Weights!$F$12)</f>
        <v>1.4461386736892377</v>
      </c>
      <c r="AO63" s="247">
        <f xml:space="preserve"> (U63*Service_Weights!$G$12)</f>
        <v>1.5</v>
      </c>
      <c r="AX63">
        <v>27</v>
      </c>
    </row>
    <row r="64" spans="1:50" x14ac:dyDescent="0.25">
      <c r="A64" s="61" t="s">
        <v>704</v>
      </c>
      <c r="D64" s="1">
        <v>0.15</v>
      </c>
      <c r="E64" t="s">
        <v>47</v>
      </c>
      <c r="G64" s="20">
        <v>90</v>
      </c>
      <c r="H64" s="24">
        <v>100</v>
      </c>
      <c r="I64" s="63">
        <f>IFERROR( VLOOKUP($AZ$10,OBIEE_DATA!$A$1:$ZZ$999, $AX64,FALSE),"")</f>
        <v>98.761155686288248</v>
      </c>
      <c r="J64" s="25"/>
      <c r="K64" s="20">
        <v>90</v>
      </c>
      <c r="L64" s="24">
        <v>100</v>
      </c>
      <c r="M64" s="63">
        <f>IFERROR( VLOOKUP($AZ$11,OBIEE_DATA!$A$1:$ZZ$999, $AX64,FALSE),I64)</f>
        <v>99.480240490613298</v>
      </c>
      <c r="N64" s="25"/>
      <c r="O64" s="20">
        <v>80</v>
      </c>
      <c r="P64" s="24">
        <v>100</v>
      </c>
      <c r="Q64" s="63">
        <f>IFERROR( VLOOKUP($AZ$12,OBIEE_DATA!$A$1:$ZZ$999, $AX64,FALSE),"")</f>
        <v>98.010714176780027</v>
      </c>
      <c r="S64" s="41">
        <f>IF(OR(I64&lt;=G64,I64=""),0,IF(I64&gt;=H64,D64,(I64-G64)/(H64-G64)*D64))</f>
        <v>0.1314173352943237</v>
      </c>
      <c r="T64" s="41">
        <f>IF(OR(M64&lt;=K64,M64=""),0,IF(M64&gt;=L64,D64,(M64-K64)/(L64-K64)*D64))</f>
        <v>0.14220360735919946</v>
      </c>
      <c r="U64" s="41">
        <f>IF(OR(Q64&lt;=O64,Q64=""),0,IF(Q64&gt;=P64,D64,(Q64-O64)/(P64-O64)*D64))</f>
        <v>0.13508035632585019</v>
      </c>
      <c r="V64" s="139">
        <f>(S64*Service_Weights!$E$12) + (T64*Service_Weights!$F$12) + (U64*Service_Weights!$G$12)</f>
        <v>20.146079087040622</v>
      </c>
      <c r="AM64" s="247">
        <f>(S64*Service_Weights!$E$12)</f>
        <v>11.827560176489133</v>
      </c>
      <c r="AN64" s="247">
        <f xml:space="preserve"> (T64*Service_Weights!$F$12)</f>
        <v>4.2661082207759833</v>
      </c>
      <c r="AO64" s="247">
        <f xml:space="preserve"> (U64*Service_Weights!$G$12)</f>
        <v>4.0524106897755061</v>
      </c>
      <c r="AX64">
        <v>26</v>
      </c>
    </row>
    <row r="65" spans="1:50" ht="15.75" thickBot="1" x14ac:dyDescent="0.3">
      <c r="A65" s="61" t="s">
        <v>658</v>
      </c>
      <c r="D65" s="1">
        <v>0.25</v>
      </c>
      <c r="E65" t="s">
        <v>47</v>
      </c>
      <c r="G65" s="22">
        <v>360</v>
      </c>
      <c r="H65" s="31">
        <v>690</v>
      </c>
      <c r="I65" s="64">
        <f>IFERROR( VLOOKUP($AZ$10,OBIEE_DATA!$A$1:$ZZ$999, $AX65,FALSE),"")</f>
        <v>573.6050837188443</v>
      </c>
      <c r="J65" s="25"/>
      <c r="K65" s="22">
        <v>360</v>
      </c>
      <c r="L65" s="31">
        <v>690</v>
      </c>
      <c r="M65" s="64">
        <f>IFERROR( VLOOKUP($AZ$11,OBIEE_DATA!$A$1:$ZZ$999, $AX65,FALSE),I65)</f>
        <v>571.43421734576702</v>
      </c>
      <c r="N65" s="25"/>
      <c r="O65" s="22">
        <v>360</v>
      </c>
      <c r="P65" s="31">
        <v>690</v>
      </c>
      <c r="Q65" s="64">
        <f>IFERROR( VLOOKUP($AZ$12,OBIEE_DATA!$A$1:$ZZ$999, $AX65,FALSE),"")</f>
        <v>514.85714285714289</v>
      </c>
      <c r="S65" s="41">
        <f t="shared" ref="S65" si="16">IF(OR(I65&lt;=G65,I65=""),0,IF(I65&gt;=H65,D65,(I65-G65)/(H65-G65)*D65))</f>
        <v>0.16182203312033658</v>
      </c>
      <c r="T65" s="41">
        <f t="shared" ref="T65" si="17">IF(OR(M65&lt;=K65,M65=""),0,IF(M65&gt;=L65,D65,(M65-K65)/(L65-K65)*D65))</f>
        <v>0.16017743738315685</v>
      </c>
      <c r="U65" s="41">
        <f t="shared" ref="U65" si="18">IF(OR(Q65&lt;=O65,Q65=""),0,IF(Q65&gt;=P65,D65,(Q65-O65)/(P65-O65)*D65))</f>
        <v>0.11731601731601735</v>
      </c>
      <c r="V65" s="139">
        <f>(S65*Service_Weights!$E$12) + (T65*Service_Weights!$F$12) + (U65*Service_Weights!$G$12)</f>
        <v>22.888786621805519</v>
      </c>
      <c r="AM65" s="247">
        <f>(S65*Service_Weights!$E$12)</f>
        <v>14.563982980830293</v>
      </c>
      <c r="AN65" s="247">
        <f xml:space="preserve"> (T65*Service_Weights!$F$12)</f>
        <v>4.8053231214947054</v>
      </c>
      <c r="AO65" s="247">
        <f xml:space="preserve"> (U65*Service_Weights!$G$12)</f>
        <v>3.5194805194805205</v>
      </c>
      <c r="AX65">
        <v>29</v>
      </c>
    </row>
    <row r="66" spans="1:50" x14ac:dyDescent="0.25">
      <c r="R66" t="s">
        <v>42</v>
      </c>
      <c r="S66" s="53">
        <f>SUM(S62:S65)</f>
        <v>0.80021019432345231</v>
      </c>
      <c r="T66" s="53">
        <f>SUM(T62:T65)</f>
        <v>0.84655520538691209</v>
      </c>
      <c r="U66" s="53">
        <f>SUM(U62:U65)</f>
        <v>0.81812180315641336</v>
      </c>
    </row>
    <row r="67" spans="1:50" x14ac:dyDescent="0.25">
      <c r="R67" t="s">
        <v>483</v>
      </c>
      <c r="S67" s="131">
        <f>S66*Service_Weights!E12</f>
        <v>72.018917489110706</v>
      </c>
      <c r="T67" s="131">
        <f>T66*Service_Weights!F12</f>
        <v>25.396656161607364</v>
      </c>
      <c r="U67" s="131">
        <f>U66*Service_Weights!G12</f>
        <v>24.5436540946924</v>
      </c>
    </row>
    <row r="69" spans="1:50" ht="45" x14ac:dyDescent="0.25">
      <c r="R69" s="129" t="s">
        <v>484</v>
      </c>
      <c r="S69" s="132">
        <f>S67+S59+S51+S43+S35+S27+S20</f>
        <v>278.22681426854842</v>
      </c>
      <c r="T69" s="132">
        <f>T67+T59+T51+T43+T35+T27+T20</f>
        <v>94.166084222669866</v>
      </c>
      <c r="U69" s="132">
        <f>U67+U59+U51+U43+U35+U27+U20</f>
        <v>78.023760380893393</v>
      </c>
    </row>
  </sheetData>
  <mergeCells count="3">
    <mergeCell ref="D1:D2"/>
    <mergeCell ref="E1:H1"/>
    <mergeCell ref="W2:AA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>
    <tabColor rgb="FFFF0000"/>
  </sheetPr>
  <dimension ref="A1:A34"/>
  <sheetViews>
    <sheetView workbookViewId="0"/>
  </sheetViews>
  <sheetFormatPr baseColWidth="10" defaultColWidth="9.140625" defaultRowHeight="15" x14ac:dyDescent="0.25"/>
  <cols>
    <col min="1" max="1" width="113.7109375" style="66" bestFit="1" customWidth="1"/>
    <col min="2" max="16384" width="9.140625" style="66"/>
  </cols>
  <sheetData>
    <row r="1" spans="1:1" ht="37.5" customHeight="1" x14ac:dyDescent="0.25">
      <c r="A1" s="110" t="s">
        <v>348</v>
      </c>
    </row>
    <row r="2" spans="1:1" x14ac:dyDescent="0.25">
      <c r="A2" s="111"/>
    </row>
    <row r="3" spans="1:1" x14ac:dyDescent="0.25">
      <c r="A3" s="113" t="s">
        <v>351</v>
      </c>
    </row>
    <row r="4" spans="1:1" ht="30" x14ac:dyDescent="0.25">
      <c r="A4" s="225" t="s">
        <v>619</v>
      </c>
    </row>
    <row r="5" spans="1:1" x14ac:dyDescent="0.25">
      <c r="A5" s="111"/>
    </row>
    <row r="6" spans="1:1" x14ac:dyDescent="0.25">
      <c r="A6" s="111"/>
    </row>
    <row r="7" spans="1:1" x14ac:dyDescent="0.25">
      <c r="A7" s="111"/>
    </row>
    <row r="8" spans="1:1" x14ac:dyDescent="0.25">
      <c r="A8" s="111"/>
    </row>
    <row r="9" spans="1:1" x14ac:dyDescent="0.25">
      <c r="A9" s="111"/>
    </row>
    <row r="10" spans="1:1" x14ac:dyDescent="0.25">
      <c r="A10" s="111"/>
    </row>
    <row r="11" spans="1:1" x14ac:dyDescent="0.25">
      <c r="A11" s="111"/>
    </row>
    <row r="12" spans="1:1" x14ac:dyDescent="0.25">
      <c r="A12" s="111"/>
    </row>
    <row r="13" spans="1:1" x14ac:dyDescent="0.25">
      <c r="A13" s="111"/>
    </row>
    <row r="14" spans="1:1" x14ac:dyDescent="0.25">
      <c r="A14" s="111"/>
    </row>
    <row r="15" spans="1:1" x14ac:dyDescent="0.25">
      <c r="A15" s="111"/>
    </row>
    <row r="16" spans="1:1" x14ac:dyDescent="0.25">
      <c r="A16" s="111"/>
    </row>
    <row r="17" spans="1:1" x14ac:dyDescent="0.25">
      <c r="A17" s="111"/>
    </row>
    <row r="18" spans="1:1" x14ac:dyDescent="0.25">
      <c r="A18" s="111"/>
    </row>
    <row r="19" spans="1:1" x14ac:dyDescent="0.25">
      <c r="A19" s="112"/>
    </row>
    <row r="20" spans="1:1" x14ac:dyDescent="0.25">
      <c r="A20" s="113" t="s">
        <v>349</v>
      </c>
    </row>
    <row r="21" spans="1:1" x14ac:dyDescent="0.25">
      <c r="A21" s="113"/>
    </row>
    <row r="22" spans="1:1" x14ac:dyDescent="0.25">
      <c r="A22" s="111"/>
    </row>
    <row r="23" spans="1:1" x14ac:dyDescent="0.25">
      <c r="A23" s="111"/>
    </row>
    <row r="24" spans="1:1" x14ac:dyDescent="0.25">
      <c r="A24" s="111"/>
    </row>
    <row r="25" spans="1:1" x14ac:dyDescent="0.25">
      <c r="A25" s="111"/>
    </row>
    <row r="26" spans="1:1" x14ac:dyDescent="0.25">
      <c r="A26" s="111"/>
    </row>
    <row r="27" spans="1:1" x14ac:dyDescent="0.25">
      <c r="A27" s="111"/>
    </row>
    <row r="28" spans="1:1" x14ac:dyDescent="0.25">
      <c r="A28" s="111" t="s">
        <v>350</v>
      </c>
    </row>
    <row r="29" spans="1:1" x14ac:dyDescent="0.25">
      <c r="A29" s="111"/>
    </row>
    <row r="30" spans="1:1" x14ac:dyDescent="0.25">
      <c r="A30" s="111"/>
    </row>
    <row r="31" spans="1:1" ht="15.75" x14ac:dyDescent="0.25">
      <c r="A31" s="246" t="s">
        <v>629</v>
      </c>
    </row>
    <row r="32" spans="1:1" x14ac:dyDescent="0.25">
      <c r="A32" s="111"/>
    </row>
    <row r="33" spans="1:1" x14ac:dyDescent="0.25">
      <c r="A33" s="113" t="s">
        <v>631</v>
      </c>
    </row>
    <row r="34" spans="1:1" x14ac:dyDescent="0.25">
      <c r="A34" s="113" t="s">
        <v>630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>
    <tabColor theme="0" tint="-0.499984740745262"/>
  </sheetPr>
  <dimension ref="A1:D453"/>
  <sheetViews>
    <sheetView topLeftCell="A93" workbookViewId="0">
      <selection activeCell="B108" sqref="B108"/>
    </sheetView>
  </sheetViews>
  <sheetFormatPr baseColWidth="10" defaultColWidth="52.42578125" defaultRowHeight="15" x14ac:dyDescent="0.25"/>
  <cols>
    <col min="2" max="4" width="17" customWidth="1"/>
  </cols>
  <sheetData>
    <row r="1" spans="1:4" x14ac:dyDescent="0.25">
      <c r="A1" s="67" t="s">
        <v>58</v>
      </c>
      <c r="B1" s="69" t="s">
        <v>451</v>
      </c>
      <c r="C1" s="67" t="s">
        <v>452</v>
      </c>
      <c r="D1" s="67" t="s">
        <v>453</v>
      </c>
    </row>
    <row r="2" spans="1:4" x14ac:dyDescent="0.25">
      <c r="A2" s="70" t="s">
        <v>59</v>
      </c>
      <c r="B2" s="68">
        <v>99.434229137199395</v>
      </c>
      <c r="C2" s="68">
        <v>4.9489533319744403</v>
      </c>
      <c r="D2" s="68">
        <v>3.1371299935522599</v>
      </c>
    </row>
    <row r="3" spans="1:4" x14ac:dyDescent="0.25">
      <c r="A3" s="70" t="s">
        <v>507</v>
      </c>
      <c r="B3" s="68">
        <v>99.434229137199395</v>
      </c>
      <c r="C3" s="68">
        <v>4.9489533319744403</v>
      </c>
      <c r="D3" s="68">
        <v>3.1371299935522599</v>
      </c>
    </row>
    <row r="4" spans="1:4" x14ac:dyDescent="0.25">
      <c r="A4" s="70" t="s">
        <v>417</v>
      </c>
      <c r="B4" s="68">
        <v>97.700779711063703</v>
      </c>
      <c r="C4" s="68">
        <v>6.0907099808567402</v>
      </c>
      <c r="D4" s="68">
        <v>3.43500076358182</v>
      </c>
    </row>
    <row r="5" spans="1:4" x14ac:dyDescent="0.25">
      <c r="A5" s="70" t="s">
        <v>418</v>
      </c>
      <c r="B5" s="68">
        <v>96.533777816339907</v>
      </c>
      <c r="C5" s="68">
        <v>5.8809565998453497</v>
      </c>
      <c r="D5" s="68">
        <v>3.4722697755153802</v>
      </c>
    </row>
    <row r="6" spans="1:4" x14ac:dyDescent="0.25">
      <c r="A6" s="70" t="s">
        <v>652</v>
      </c>
      <c r="B6" s="68">
        <v>99.139457505591395</v>
      </c>
      <c r="C6" s="68">
        <v>6.34929356409899</v>
      </c>
      <c r="D6" s="68">
        <v>3.3890555940536302</v>
      </c>
    </row>
    <row r="7" spans="1:4" x14ac:dyDescent="0.25">
      <c r="A7" s="70" t="s">
        <v>352</v>
      </c>
      <c r="B7" s="68">
        <v>99.434229137199395</v>
      </c>
      <c r="C7" s="68">
        <v>4.9489533319744403</v>
      </c>
      <c r="D7" s="68">
        <v>3.1371299935522599</v>
      </c>
    </row>
    <row r="8" spans="1:4" x14ac:dyDescent="0.25">
      <c r="A8" s="70" t="s">
        <v>508</v>
      </c>
      <c r="B8" s="68">
        <v>99.434229137199395</v>
      </c>
      <c r="C8" s="68">
        <v>4.9489533319744403</v>
      </c>
      <c r="D8" s="68">
        <v>3.1371299935522599</v>
      </c>
    </row>
    <row r="9" spans="1:4" x14ac:dyDescent="0.25">
      <c r="A9" s="70" t="s">
        <v>419</v>
      </c>
      <c r="B9" s="68">
        <v>98.791840021151998</v>
      </c>
      <c r="C9" s="68">
        <v>6.0298904649735396</v>
      </c>
      <c r="D9" s="68">
        <v>3.4752272616467801</v>
      </c>
    </row>
    <row r="10" spans="1:4" x14ac:dyDescent="0.25">
      <c r="A10" s="70" t="s">
        <v>420</v>
      </c>
      <c r="B10" s="68">
        <v>98.218835796018993</v>
      </c>
      <c r="C10" s="68">
        <v>6.2915493569335501</v>
      </c>
      <c r="D10" s="68">
        <v>3.5273727057150501</v>
      </c>
    </row>
    <row r="11" spans="1:4" x14ac:dyDescent="0.25">
      <c r="A11" s="70" t="s">
        <v>653</v>
      </c>
      <c r="B11" s="68">
        <v>99.364844246285003</v>
      </c>
      <c r="C11" s="68">
        <v>5.7682315730135301</v>
      </c>
      <c r="D11" s="68">
        <v>3.4191419101130198</v>
      </c>
    </row>
    <row r="12" spans="1:4" x14ac:dyDescent="0.25">
      <c r="A12" s="70" t="s">
        <v>60</v>
      </c>
      <c r="B12" s="68">
        <v>98.174442190669396</v>
      </c>
      <c r="C12" s="68">
        <v>5.62304697130305</v>
      </c>
      <c r="D12" s="68">
        <v>2.9437950303126801</v>
      </c>
    </row>
    <row r="13" spans="1:4" x14ac:dyDescent="0.25">
      <c r="A13" s="70" t="s">
        <v>509</v>
      </c>
      <c r="B13" s="68">
        <v>98.174442190669396</v>
      </c>
      <c r="C13" s="68">
        <v>5.62304697130305</v>
      </c>
      <c r="D13" s="68">
        <v>2.9437950303126801</v>
      </c>
    </row>
    <row r="14" spans="1:4" x14ac:dyDescent="0.25">
      <c r="A14" s="70" t="s">
        <v>421</v>
      </c>
      <c r="B14" s="68">
        <v>98.157786355416803</v>
      </c>
      <c r="C14" s="68">
        <v>6.5014464992479502</v>
      </c>
      <c r="D14" s="68">
        <v>3.1191390241504999</v>
      </c>
    </row>
    <row r="15" spans="1:4" x14ac:dyDescent="0.25">
      <c r="A15" s="70" t="s">
        <v>422</v>
      </c>
      <c r="B15" s="68">
        <v>97.621574005725805</v>
      </c>
      <c r="C15" s="68">
        <v>6.3864567945246398</v>
      </c>
      <c r="D15" s="68">
        <v>3.1686703160098699</v>
      </c>
    </row>
    <row r="16" spans="1:4" x14ac:dyDescent="0.25">
      <c r="A16" s="70" t="s">
        <v>654</v>
      </c>
      <c r="B16" s="68">
        <v>98.81882795624</v>
      </c>
      <c r="C16" s="68">
        <v>6.6432055962405698</v>
      </c>
      <c r="D16" s="68">
        <v>3.0580769384293802</v>
      </c>
    </row>
    <row r="17" spans="1:4" x14ac:dyDescent="0.25">
      <c r="A17" s="70" t="s">
        <v>353</v>
      </c>
      <c r="B17" s="68">
        <v>98.174442190669396</v>
      </c>
      <c r="C17" s="68">
        <v>5.62304697130305</v>
      </c>
      <c r="D17" s="68">
        <v>2.9437950303126801</v>
      </c>
    </row>
    <row r="18" spans="1:4" x14ac:dyDescent="0.25">
      <c r="A18" s="70" t="s">
        <v>510</v>
      </c>
      <c r="B18" s="68">
        <v>98.174442190669396</v>
      </c>
      <c r="C18" s="68">
        <v>5.62304697130305</v>
      </c>
      <c r="D18" s="68">
        <v>2.9437950303126801</v>
      </c>
    </row>
    <row r="19" spans="1:4" x14ac:dyDescent="0.25">
      <c r="A19" s="70" t="s">
        <v>423</v>
      </c>
      <c r="B19" s="68">
        <v>98.6706808335001</v>
      </c>
      <c r="C19" s="68">
        <v>6.2289290349054802</v>
      </c>
      <c r="D19" s="68">
        <v>3.1032763050714598</v>
      </c>
    </row>
    <row r="20" spans="1:4" x14ac:dyDescent="0.25">
      <c r="A20" s="70" t="s">
        <v>424</v>
      </c>
      <c r="B20" s="68">
        <v>98.523313201074203</v>
      </c>
      <c r="C20" s="68">
        <v>6.5416570117151398</v>
      </c>
      <c r="D20" s="68">
        <v>3.1973994563803299</v>
      </c>
    </row>
    <row r="21" spans="1:4" x14ac:dyDescent="0.25">
      <c r="A21" s="70" t="s">
        <v>655</v>
      </c>
      <c r="B21" s="68">
        <v>98.818048465925997</v>
      </c>
      <c r="C21" s="68">
        <v>5.9162010580958198</v>
      </c>
      <c r="D21" s="68">
        <v>3.0091531537626</v>
      </c>
    </row>
    <row r="22" spans="1:4" ht="30" x14ac:dyDescent="0.25">
      <c r="A22" s="70" t="s">
        <v>61</v>
      </c>
      <c r="B22" s="68">
        <v>97.339593114240998</v>
      </c>
      <c r="C22" s="68">
        <v>6.0082813634849996</v>
      </c>
      <c r="D22" s="68">
        <v>2.72953295317591</v>
      </c>
    </row>
    <row r="23" spans="1:4" x14ac:dyDescent="0.25">
      <c r="A23" s="70" t="s">
        <v>599</v>
      </c>
      <c r="B23" s="68">
        <v>97.339593114240998</v>
      </c>
      <c r="C23" s="68">
        <v>6.0082813634849996</v>
      </c>
      <c r="D23" s="68">
        <v>2.72953295317591</v>
      </c>
    </row>
    <row r="24" spans="1:4" x14ac:dyDescent="0.25">
      <c r="A24" s="70" t="s">
        <v>620</v>
      </c>
      <c r="B24" s="68">
        <v>98.751920694690497</v>
      </c>
      <c r="C24" s="68">
        <v>6.5730845685764203</v>
      </c>
      <c r="D24" s="68">
        <v>2.8327015691936799</v>
      </c>
    </row>
    <row r="25" spans="1:4" x14ac:dyDescent="0.25">
      <c r="A25" s="70" t="s">
        <v>621</v>
      </c>
      <c r="B25" s="68">
        <v>98.500792370017805</v>
      </c>
      <c r="C25" s="68">
        <v>6.6596908355419799</v>
      </c>
      <c r="D25" s="68">
        <v>2.8241180681224298</v>
      </c>
    </row>
    <row r="26" spans="1:4" x14ac:dyDescent="0.25">
      <c r="A26" s="70" t="s">
        <v>681</v>
      </c>
      <c r="B26" s="68">
        <v>99.061511232561102</v>
      </c>
      <c r="C26" s="68">
        <v>6.4663165215718497</v>
      </c>
      <c r="D26" s="68">
        <v>2.84328329356478</v>
      </c>
    </row>
    <row r="27" spans="1:4" x14ac:dyDescent="0.25">
      <c r="A27" s="70" t="s">
        <v>354</v>
      </c>
      <c r="B27" s="68">
        <v>97.339593114240998</v>
      </c>
      <c r="C27" s="68">
        <v>6.0082813634849996</v>
      </c>
      <c r="D27" s="68">
        <v>2.72953295317591</v>
      </c>
    </row>
    <row r="28" spans="1:4" x14ac:dyDescent="0.25">
      <c r="A28" s="70" t="s">
        <v>600</v>
      </c>
      <c r="B28" s="68">
        <v>97.339593114240998</v>
      </c>
      <c r="C28" s="68">
        <v>6.0082813634849996</v>
      </c>
      <c r="D28" s="68">
        <v>2.72953295317591</v>
      </c>
    </row>
    <row r="29" spans="1:4" x14ac:dyDescent="0.25">
      <c r="A29" s="70" t="s">
        <v>622</v>
      </c>
      <c r="B29" s="68">
        <v>98.888938198257406</v>
      </c>
      <c r="C29" s="68">
        <v>6.5858506610219099</v>
      </c>
      <c r="D29" s="68">
        <v>2.85626578526335</v>
      </c>
    </row>
    <row r="30" spans="1:4" x14ac:dyDescent="0.25">
      <c r="A30" s="70" t="s">
        <v>623</v>
      </c>
      <c r="B30" s="68">
        <v>98.572834166927706</v>
      </c>
      <c r="C30" s="68">
        <v>7.12152689460852</v>
      </c>
      <c r="D30" s="68">
        <v>2.8541330544048402</v>
      </c>
    </row>
    <row r="31" spans="1:4" x14ac:dyDescent="0.25">
      <c r="A31" s="70" t="s">
        <v>682</v>
      </c>
      <c r="B31" s="68">
        <v>99.205042229587093</v>
      </c>
      <c r="C31" s="68">
        <v>6.0501744274353104</v>
      </c>
      <c r="D31" s="68">
        <v>2.8586930900244498</v>
      </c>
    </row>
    <row r="32" spans="1:4" x14ac:dyDescent="0.25">
      <c r="A32" s="70" t="s">
        <v>62</v>
      </c>
      <c r="B32" s="68">
        <v>98.292422625400206</v>
      </c>
      <c r="C32" s="68">
        <v>5.3937984766382501</v>
      </c>
      <c r="D32" s="68">
        <v>3.2807997488143799</v>
      </c>
    </row>
    <row r="33" spans="1:4" x14ac:dyDescent="0.25">
      <c r="A33" s="70" t="s">
        <v>511</v>
      </c>
      <c r="B33" s="68">
        <v>98.292422625400206</v>
      </c>
      <c r="C33" s="68">
        <v>5.3937984766382501</v>
      </c>
      <c r="D33" s="68">
        <v>3.2807997488143799</v>
      </c>
    </row>
    <row r="34" spans="1:4" x14ac:dyDescent="0.25">
      <c r="A34" s="70" t="s">
        <v>425</v>
      </c>
      <c r="B34" s="68">
        <v>99.121294774665301</v>
      </c>
      <c r="C34" s="68">
        <v>6.2983938745957104</v>
      </c>
      <c r="D34" s="68">
        <v>3.3877049774297401</v>
      </c>
    </row>
    <row r="35" spans="1:4" x14ac:dyDescent="0.25">
      <c r="A35" s="70" t="s">
        <v>426</v>
      </c>
      <c r="B35" s="68">
        <v>99.386090310209198</v>
      </c>
      <c r="C35" s="68">
        <v>5.2093605363190498</v>
      </c>
      <c r="D35" s="68">
        <v>3.4196755024009899</v>
      </c>
    </row>
    <row r="36" spans="1:4" x14ac:dyDescent="0.25">
      <c r="A36" s="70" t="s">
        <v>656</v>
      </c>
      <c r="B36" s="68">
        <v>98.794855324310205</v>
      </c>
      <c r="C36" s="68">
        <v>7.6409521757968601</v>
      </c>
      <c r="D36" s="68">
        <v>3.3482917729066899</v>
      </c>
    </row>
    <row r="37" spans="1:4" x14ac:dyDescent="0.25">
      <c r="A37" s="70" t="s">
        <v>355</v>
      </c>
      <c r="B37" s="68">
        <v>98.292422625400206</v>
      </c>
      <c r="C37" s="68">
        <v>5.3937984766382501</v>
      </c>
      <c r="D37" s="68">
        <v>3.2807997488143799</v>
      </c>
    </row>
    <row r="38" spans="1:4" x14ac:dyDescent="0.25">
      <c r="A38" s="70" t="s">
        <v>512</v>
      </c>
      <c r="B38" s="68">
        <v>98.292422625400206</v>
      </c>
      <c r="C38" s="68">
        <v>5.3937984766382501</v>
      </c>
      <c r="D38" s="68">
        <v>3.2807997488143799</v>
      </c>
    </row>
    <row r="39" spans="1:4" x14ac:dyDescent="0.25">
      <c r="A39" s="70" t="s">
        <v>427</v>
      </c>
      <c r="B39" s="68">
        <v>99.295273436576295</v>
      </c>
      <c r="C39" s="68">
        <v>6.6431124046807097</v>
      </c>
      <c r="D39" s="68">
        <v>3.43023342151429</v>
      </c>
    </row>
    <row r="40" spans="1:4" x14ac:dyDescent="0.25">
      <c r="A40" s="70" t="s">
        <v>428</v>
      </c>
      <c r="B40" s="68">
        <v>99.104924020216004</v>
      </c>
      <c r="C40" s="68">
        <v>5.7274954767603798</v>
      </c>
      <c r="D40" s="68">
        <v>3.4198811386177899</v>
      </c>
    </row>
    <row r="41" spans="1:4" x14ac:dyDescent="0.25">
      <c r="A41" s="70" t="s">
        <v>657</v>
      </c>
      <c r="B41" s="68">
        <v>99.485622852936601</v>
      </c>
      <c r="C41" s="68">
        <v>7.5587293326010396</v>
      </c>
      <c r="D41" s="68">
        <v>3.4405857044107901</v>
      </c>
    </row>
    <row r="42" spans="1:4" x14ac:dyDescent="0.25">
      <c r="A42" s="70" t="s">
        <v>63</v>
      </c>
      <c r="B42" s="68">
        <v>77.300850734725401</v>
      </c>
      <c r="C42" s="68">
        <v>10.852499999999999</v>
      </c>
      <c r="D42" s="68">
        <v>2.7524999999999999</v>
      </c>
    </row>
    <row r="43" spans="1:4" x14ac:dyDescent="0.25">
      <c r="A43" s="70" t="s">
        <v>513</v>
      </c>
      <c r="B43" s="68">
        <v>77.300850734725401</v>
      </c>
      <c r="C43" s="68">
        <v>10.852499999999999</v>
      </c>
      <c r="D43" s="68">
        <v>2.7524999999999999</v>
      </c>
    </row>
    <row r="44" spans="1:4" x14ac:dyDescent="0.25">
      <c r="A44" s="70" t="s">
        <v>64</v>
      </c>
      <c r="B44" s="68">
        <v>93.971599151597403</v>
      </c>
      <c r="C44" s="68">
        <v>10.691983062595</v>
      </c>
      <c r="D44" s="68">
        <v>2.95776855043442</v>
      </c>
    </row>
    <row r="45" spans="1:4" x14ac:dyDescent="0.25">
      <c r="A45" s="70" t="s">
        <v>65</v>
      </c>
      <c r="B45" s="68">
        <v>95.632087081238794</v>
      </c>
      <c r="C45" s="68">
        <v>9.8773096873351296</v>
      </c>
      <c r="D45" s="68">
        <v>2.9476296457775</v>
      </c>
    </row>
    <row r="46" spans="1:4" x14ac:dyDescent="0.25">
      <c r="A46" s="70" t="s">
        <v>66</v>
      </c>
      <c r="B46" s="68">
        <v>92.311111221955997</v>
      </c>
      <c r="C46" s="68">
        <v>11.506656437854801</v>
      </c>
      <c r="D46" s="68">
        <v>2.9679074550913298</v>
      </c>
    </row>
    <row r="47" spans="1:4" x14ac:dyDescent="0.25">
      <c r="A47" s="70" t="s">
        <v>356</v>
      </c>
      <c r="B47" s="68">
        <v>77.017543859649095</v>
      </c>
      <c r="C47" s="68">
        <v>10.946666666666699</v>
      </c>
      <c r="D47" s="68">
        <v>2.75166666666667</v>
      </c>
    </row>
    <row r="48" spans="1:4" x14ac:dyDescent="0.25">
      <c r="A48" s="70" t="s">
        <v>514</v>
      </c>
      <c r="B48" s="68">
        <v>77.017543859649095</v>
      </c>
      <c r="C48" s="68">
        <v>10.946666666666699</v>
      </c>
      <c r="D48" s="68">
        <v>2.75166666666667</v>
      </c>
    </row>
    <row r="49" spans="1:4" x14ac:dyDescent="0.25">
      <c r="A49" s="70" t="s">
        <v>429</v>
      </c>
      <c r="B49" s="68">
        <v>88.304048441741998</v>
      </c>
      <c r="C49" s="68">
        <v>9.9444673604699201</v>
      </c>
      <c r="D49" s="68">
        <v>2.7965565202315501</v>
      </c>
    </row>
    <row r="50" spans="1:4" x14ac:dyDescent="0.25">
      <c r="A50" s="70" t="s">
        <v>430</v>
      </c>
      <c r="B50" s="68">
        <v>94.1860208372823</v>
      </c>
      <c r="C50" s="68">
        <v>8.9104537403111408</v>
      </c>
      <c r="D50" s="68">
        <v>2.78842793429508</v>
      </c>
    </row>
    <row r="51" spans="1:4" x14ac:dyDescent="0.25">
      <c r="A51" s="70" t="s">
        <v>431</v>
      </c>
      <c r="B51" s="68">
        <v>83.062731350836103</v>
      </c>
      <c r="C51" s="68">
        <v>10.865857821886699</v>
      </c>
      <c r="D51" s="68">
        <v>2.8037997532032102</v>
      </c>
    </row>
    <row r="52" spans="1:4" x14ac:dyDescent="0.25">
      <c r="A52" s="70" t="s">
        <v>67</v>
      </c>
      <c r="B52" s="68">
        <v>93.702497285559204</v>
      </c>
      <c r="C52" s="68">
        <v>9.9187499999999993</v>
      </c>
      <c r="D52" s="68">
        <v>3.1112500000000001</v>
      </c>
    </row>
    <row r="53" spans="1:4" x14ac:dyDescent="0.25">
      <c r="A53" s="70" t="s">
        <v>515</v>
      </c>
      <c r="B53" s="68">
        <v>93.702497285559204</v>
      </c>
      <c r="C53" s="68">
        <v>9.9187499999999993</v>
      </c>
      <c r="D53" s="68">
        <v>3.1112500000000001</v>
      </c>
    </row>
    <row r="54" spans="1:4" x14ac:dyDescent="0.25">
      <c r="A54" s="70" t="s">
        <v>68</v>
      </c>
      <c r="B54" s="68">
        <v>94.144636287298496</v>
      </c>
      <c r="C54" s="68">
        <v>8.4328282632899008</v>
      </c>
      <c r="D54" s="68">
        <v>3.2881707344996101</v>
      </c>
    </row>
    <row r="55" spans="1:4" x14ac:dyDescent="0.25">
      <c r="A55" s="70" t="s">
        <v>69</v>
      </c>
      <c r="B55" s="68">
        <v>94.0694835286574</v>
      </c>
      <c r="C55" s="68">
        <v>7.6231221074945896</v>
      </c>
      <c r="D55" s="68">
        <v>3.39997695535989</v>
      </c>
    </row>
    <row r="56" spans="1:4" x14ac:dyDescent="0.25">
      <c r="A56" s="70" t="s">
        <v>70</v>
      </c>
      <c r="B56" s="68">
        <v>94.219789045939507</v>
      </c>
      <c r="C56" s="68">
        <v>9.2425344190852208</v>
      </c>
      <c r="D56" s="68">
        <v>3.1763645136393199</v>
      </c>
    </row>
    <row r="57" spans="1:4" x14ac:dyDescent="0.25">
      <c r="A57" s="70" t="s">
        <v>357</v>
      </c>
      <c r="B57" s="68">
        <v>93.265306122449005</v>
      </c>
      <c r="C57" s="68">
        <v>10.053333333333301</v>
      </c>
      <c r="D57" s="68">
        <v>3.11</v>
      </c>
    </row>
    <row r="58" spans="1:4" x14ac:dyDescent="0.25">
      <c r="A58" s="70" t="s">
        <v>516</v>
      </c>
      <c r="B58" s="68">
        <v>93.265306122449005</v>
      </c>
      <c r="C58" s="68">
        <v>10.053333333333301</v>
      </c>
      <c r="D58" s="68">
        <v>3.11</v>
      </c>
    </row>
    <row r="59" spans="1:4" x14ac:dyDescent="0.25">
      <c r="A59" s="70" t="s">
        <v>432</v>
      </c>
      <c r="B59" s="68">
        <v>95.039738689828596</v>
      </c>
      <c r="C59" s="68">
        <v>7.8406967100015299</v>
      </c>
      <c r="D59" s="68">
        <v>3.39957708142963</v>
      </c>
    </row>
    <row r="60" spans="1:4" x14ac:dyDescent="0.25">
      <c r="A60" s="70" t="s">
        <v>433</v>
      </c>
      <c r="B60" s="68">
        <v>93.374957612160699</v>
      </c>
      <c r="C60" s="68">
        <v>7.05880604559513</v>
      </c>
      <c r="D60" s="68">
        <v>3.4784704661201098</v>
      </c>
    </row>
    <row r="61" spans="1:4" x14ac:dyDescent="0.25">
      <c r="A61" s="70" t="s">
        <v>434</v>
      </c>
      <c r="B61" s="68">
        <v>96.523194396219395</v>
      </c>
      <c r="C61" s="68">
        <v>8.5374250567173906</v>
      </c>
      <c r="D61" s="68">
        <v>3.3292766417588902</v>
      </c>
    </row>
    <row r="62" spans="1:4" x14ac:dyDescent="0.25">
      <c r="A62" s="70" t="s">
        <v>71</v>
      </c>
      <c r="B62" s="68">
        <v>97.929310960371296</v>
      </c>
      <c r="C62" s="68">
        <v>7.21875</v>
      </c>
      <c r="D62" s="68">
        <v>3.4575</v>
      </c>
    </row>
    <row r="63" spans="1:4" x14ac:dyDescent="0.25">
      <c r="A63" s="70" t="s">
        <v>517</v>
      </c>
      <c r="B63" s="68">
        <v>97.929310960371296</v>
      </c>
      <c r="C63" s="68">
        <v>7.21875</v>
      </c>
      <c r="D63" s="68">
        <v>3.4575</v>
      </c>
    </row>
    <row r="64" spans="1:4" x14ac:dyDescent="0.25">
      <c r="A64" s="70" t="s">
        <v>72</v>
      </c>
      <c r="B64" s="68">
        <v>97.860021237972006</v>
      </c>
      <c r="C64" s="68">
        <v>5.6264956930230703</v>
      </c>
      <c r="D64" s="68">
        <v>3.5973965829440102</v>
      </c>
    </row>
    <row r="65" spans="1:4" x14ac:dyDescent="0.25">
      <c r="A65" s="70" t="s">
        <v>73</v>
      </c>
      <c r="B65" s="68">
        <v>97.112469552026695</v>
      </c>
      <c r="C65" s="68">
        <v>4.9968545187243096</v>
      </c>
      <c r="D65" s="68">
        <v>3.61074242284029</v>
      </c>
    </row>
    <row r="66" spans="1:4" x14ac:dyDescent="0.25">
      <c r="A66" s="70" t="s">
        <v>74</v>
      </c>
      <c r="B66" s="68">
        <v>98.607572923917303</v>
      </c>
      <c r="C66" s="68">
        <v>6.2561368673218301</v>
      </c>
      <c r="D66" s="68">
        <v>3.58405074304773</v>
      </c>
    </row>
    <row r="67" spans="1:4" x14ac:dyDescent="0.25">
      <c r="A67" s="70" t="s">
        <v>358</v>
      </c>
      <c r="B67" s="68">
        <v>97.950984331056603</v>
      </c>
      <c r="C67" s="68">
        <v>7.21</v>
      </c>
      <c r="D67" s="68">
        <v>3.4183333333333299</v>
      </c>
    </row>
    <row r="68" spans="1:4" x14ac:dyDescent="0.25">
      <c r="A68" s="70" t="s">
        <v>518</v>
      </c>
      <c r="B68" s="68">
        <v>97.950984331056603</v>
      </c>
      <c r="C68" s="68">
        <v>7.21</v>
      </c>
      <c r="D68" s="68">
        <v>3.4183333333333299</v>
      </c>
    </row>
    <row r="69" spans="1:4" x14ac:dyDescent="0.25">
      <c r="A69" s="70" t="s">
        <v>435</v>
      </c>
      <c r="B69" s="68">
        <v>98.157923431424805</v>
      </c>
      <c r="C69" s="68">
        <v>5.5314349416303399</v>
      </c>
      <c r="D69" s="68">
        <v>3.6295149938325899</v>
      </c>
    </row>
    <row r="70" spans="1:4" x14ac:dyDescent="0.25">
      <c r="A70" s="70" t="s">
        <v>436</v>
      </c>
      <c r="B70" s="68">
        <v>97.254587195650203</v>
      </c>
      <c r="C70" s="68">
        <v>4.65821697981848</v>
      </c>
      <c r="D70" s="68">
        <v>3.6410119620757899</v>
      </c>
    </row>
    <row r="71" spans="1:4" x14ac:dyDescent="0.25">
      <c r="A71" s="70" t="s">
        <v>437</v>
      </c>
      <c r="B71" s="68">
        <v>98.9628696863562</v>
      </c>
      <c r="C71" s="68">
        <v>6.3095433582561498</v>
      </c>
      <c r="D71" s="68">
        <v>3.6192702575274098</v>
      </c>
    </row>
    <row r="72" spans="1:4" x14ac:dyDescent="0.25">
      <c r="A72" s="70" t="s">
        <v>75</v>
      </c>
      <c r="B72" s="68">
        <v>74.519494783086202</v>
      </c>
      <c r="C72" s="68">
        <v>10.9227272727273</v>
      </c>
      <c r="D72" s="68">
        <v>2.7390909090909101</v>
      </c>
    </row>
    <row r="73" spans="1:4" x14ac:dyDescent="0.25">
      <c r="A73" s="70" t="s">
        <v>519</v>
      </c>
      <c r="B73" s="68">
        <v>74.519494783086202</v>
      </c>
      <c r="C73" s="68">
        <v>10.9227272727273</v>
      </c>
      <c r="D73" s="68">
        <v>2.7390909090909101</v>
      </c>
    </row>
    <row r="74" spans="1:4" x14ac:dyDescent="0.25">
      <c r="A74" s="70" t="s">
        <v>76</v>
      </c>
      <c r="B74" s="68">
        <v>89.428282684286899</v>
      </c>
      <c r="C74" s="68">
        <v>8.7357246617729807</v>
      </c>
      <c r="D74" s="68">
        <v>3.3410573045997398</v>
      </c>
    </row>
    <row r="75" spans="1:4" x14ac:dyDescent="0.25">
      <c r="A75" s="70" t="s">
        <v>77</v>
      </c>
      <c r="B75" s="68">
        <v>87.848157879116798</v>
      </c>
      <c r="C75" s="68">
        <v>8.0656493487541105</v>
      </c>
      <c r="D75" s="68">
        <v>3.38785499916272</v>
      </c>
    </row>
    <row r="76" spans="1:4" x14ac:dyDescent="0.25">
      <c r="A76" s="70" t="s">
        <v>78</v>
      </c>
      <c r="B76" s="68">
        <v>91.008407489456999</v>
      </c>
      <c r="C76" s="68">
        <v>9.4057999747918508</v>
      </c>
      <c r="D76" s="68">
        <v>3.29425961003676</v>
      </c>
    </row>
    <row r="77" spans="1:4" x14ac:dyDescent="0.25">
      <c r="A77" s="70" t="s">
        <v>693</v>
      </c>
      <c r="B77" s="68">
        <v>91.969959829680207</v>
      </c>
      <c r="C77" s="68">
        <v>5.0939765000229604</v>
      </c>
      <c r="D77" s="68">
        <v>3.8683360607034198</v>
      </c>
    </row>
    <row r="78" spans="1:4" x14ac:dyDescent="0.25">
      <c r="A78" s="70" t="s">
        <v>359</v>
      </c>
      <c r="B78" s="68">
        <v>74.519494783086202</v>
      </c>
      <c r="C78" s="68">
        <v>10.9227272727273</v>
      </c>
      <c r="D78" s="68">
        <v>2.7390909090909101</v>
      </c>
    </row>
    <row r="79" spans="1:4" x14ac:dyDescent="0.25">
      <c r="A79" s="70" t="s">
        <v>520</v>
      </c>
      <c r="B79" s="68">
        <v>74.519494783086202</v>
      </c>
      <c r="C79" s="68">
        <v>10.9227272727273</v>
      </c>
      <c r="D79" s="68">
        <v>2.7390909090909101</v>
      </c>
    </row>
    <row r="80" spans="1:4" x14ac:dyDescent="0.25">
      <c r="A80" s="70" t="s">
        <v>79</v>
      </c>
      <c r="B80" s="68">
        <v>92.787784677902494</v>
      </c>
      <c r="C80" s="68">
        <v>8.7484736458026102</v>
      </c>
      <c r="D80" s="68">
        <v>3.3087355984130902</v>
      </c>
    </row>
    <row r="81" spans="1:4" x14ac:dyDescent="0.25">
      <c r="A81" s="70" t="s">
        <v>80</v>
      </c>
      <c r="B81" s="68">
        <v>93.452566904179406</v>
      </c>
      <c r="C81" s="68">
        <v>7.97519685331888</v>
      </c>
      <c r="D81" s="68">
        <v>3.3704623981491002</v>
      </c>
    </row>
    <row r="82" spans="1:4" x14ac:dyDescent="0.25">
      <c r="A82" s="70" t="s">
        <v>81</v>
      </c>
      <c r="B82" s="68">
        <v>92.123002451625595</v>
      </c>
      <c r="C82" s="68">
        <v>9.5217504382863396</v>
      </c>
      <c r="D82" s="68">
        <v>3.2470087986770801</v>
      </c>
    </row>
    <row r="83" spans="1:4" x14ac:dyDescent="0.25">
      <c r="A83" s="70" t="s">
        <v>694</v>
      </c>
      <c r="B83" s="68">
        <v>89.189427341427603</v>
      </c>
      <c r="C83" s="68">
        <v>5.3755214754869396</v>
      </c>
      <c r="D83" s="68">
        <v>3.8909622768315901</v>
      </c>
    </row>
    <row r="84" spans="1:4" x14ac:dyDescent="0.25">
      <c r="A84" s="70" t="s">
        <v>82</v>
      </c>
      <c r="B84" s="68">
        <v>97.052740434333003</v>
      </c>
      <c r="C84" s="68">
        <v>6.38090909090909</v>
      </c>
      <c r="D84" s="68">
        <v>3.2563636363636399</v>
      </c>
    </row>
    <row r="85" spans="1:4" x14ac:dyDescent="0.25">
      <c r="A85" s="70" t="s">
        <v>521</v>
      </c>
      <c r="B85" s="68">
        <v>97.052740434333003</v>
      </c>
      <c r="C85" s="68">
        <v>6.38090909090909</v>
      </c>
      <c r="D85" s="68">
        <v>3.2563636363636399</v>
      </c>
    </row>
    <row r="86" spans="1:4" x14ac:dyDescent="0.25">
      <c r="A86" s="70" t="s">
        <v>83</v>
      </c>
      <c r="B86" s="68">
        <v>97.504132451411394</v>
      </c>
      <c r="C86" s="68">
        <v>6.0018720325188397</v>
      </c>
      <c r="D86" s="68">
        <v>3.4031338724823001</v>
      </c>
    </row>
    <row r="87" spans="1:4" x14ac:dyDescent="0.25">
      <c r="A87" s="70" t="s">
        <v>84</v>
      </c>
      <c r="B87" s="68">
        <v>97.390981670310495</v>
      </c>
      <c r="C87" s="68">
        <v>6.0363225433426102</v>
      </c>
      <c r="D87" s="68">
        <v>3.4089456560535401</v>
      </c>
    </row>
    <row r="88" spans="1:4" x14ac:dyDescent="0.25">
      <c r="A88" s="70" t="s">
        <v>85</v>
      </c>
      <c r="B88" s="68">
        <v>97.617283232512406</v>
      </c>
      <c r="C88" s="68">
        <v>5.9674215216950701</v>
      </c>
      <c r="D88" s="68">
        <v>3.39732208891107</v>
      </c>
    </row>
    <row r="89" spans="1:4" x14ac:dyDescent="0.25">
      <c r="A89" s="70" t="s">
        <v>695</v>
      </c>
      <c r="B89" s="68">
        <v>98.995066733353198</v>
      </c>
      <c r="C89" s="68">
        <v>3.5377483054996999</v>
      </c>
      <c r="D89" s="68">
        <v>4.0071153665869002</v>
      </c>
    </row>
    <row r="90" spans="1:4" x14ac:dyDescent="0.25">
      <c r="A90" s="70" t="s">
        <v>360</v>
      </c>
      <c r="B90" s="68">
        <v>97.052740434333003</v>
      </c>
      <c r="C90" s="68">
        <v>6.38090909090909</v>
      </c>
      <c r="D90" s="68">
        <v>3.2563636363636399</v>
      </c>
    </row>
    <row r="91" spans="1:4" x14ac:dyDescent="0.25">
      <c r="A91" s="70" t="s">
        <v>522</v>
      </c>
      <c r="B91" s="68">
        <v>97.052740434333003</v>
      </c>
      <c r="C91" s="68">
        <v>6.38090909090909</v>
      </c>
      <c r="D91" s="68">
        <v>3.2563636363636399</v>
      </c>
    </row>
    <row r="92" spans="1:4" x14ac:dyDescent="0.25">
      <c r="A92" s="70" t="s">
        <v>86</v>
      </c>
      <c r="B92" s="68">
        <v>98.691739836834103</v>
      </c>
      <c r="C92" s="68">
        <v>5.7907835319337702</v>
      </c>
      <c r="D92" s="68">
        <v>3.4235790445018499</v>
      </c>
    </row>
    <row r="93" spans="1:4" x14ac:dyDescent="0.25">
      <c r="A93" s="70" t="s">
        <v>87</v>
      </c>
      <c r="B93" s="68">
        <v>98.427779900868103</v>
      </c>
      <c r="C93" s="68">
        <v>5.8929733016020602</v>
      </c>
      <c r="D93" s="68">
        <v>3.4144314617717701</v>
      </c>
    </row>
    <row r="94" spans="1:4" x14ac:dyDescent="0.25">
      <c r="A94" s="70" t="s">
        <v>88</v>
      </c>
      <c r="B94" s="68">
        <v>98.955699772800202</v>
      </c>
      <c r="C94" s="68">
        <v>5.6885937622654801</v>
      </c>
      <c r="D94" s="68">
        <v>3.4327266272319301</v>
      </c>
    </row>
    <row r="95" spans="1:4" x14ac:dyDescent="0.25">
      <c r="A95" s="70" t="s">
        <v>696</v>
      </c>
      <c r="B95" s="68">
        <v>99.377106082878896</v>
      </c>
      <c r="C95" s="68">
        <v>3.8991486469617298</v>
      </c>
      <c r="D95" s="68">
        <v>3.9579974957979598</v>
      </c>
    </row>
    <row r="96" spans="1:4" x14ac:dyDescent="0.25">
      <c r="A96" s="70" t="s">
        <v>89</v>
      </c>
      <c r="B96" s="68">
        <v>96.298200514138799</v>
      </c>
      <c r="C96" s="68">
        <v>6.5945454545454503</v>
      </c>
      <c r="D96" s="68">
        <v>3.25727272727273</v>
      </c>
    </row>
    <row r="97" spans="1:4" x14ac:dyDescent="0.25">
      <c r="A97" s="70" t="s">
        <v>523</v>
      </c>
      <c r="B97" s="68">
        <v>96.298200514138799</v>
      </c>
      <c r="C97" s="68">
        <v>6.5945454545454503</v>
      </c>
      <c r="D97" s="68">
        <v>3.25727272727273</v>
      </c>
    </row>
    <row r="98" spans="1:4" x14ac:dyDescent="0.25">
      <c r="A98" s="70" t="s">
        <v>90</v>
      </c>
      <c r="B98" s="68">
        <v>97.932432013076195</v>
      </c>
      <c r="C98" s="68">
        <v>5.8336902225638401</v>
      </c>
      <c r="D98" s="68">
        <v>3.5545247489090501</v>
      </c>
    </row>
    <row r="99" spans="1:4" x14ac:dyDescent="0.25">
      <c r="A99" s="70" t="s">
        <v>91</v>
      </c>
      <c r="B99" s="68">
        <v>98.283774192464705</v>
      </c>
      <c r="C99" s="68">
        <v>5.7387898791394703</v>
      </c>
      <c r="D99" s="68">
        <v>3.5803612396475</v>
      </c>
    </row>
    <row r="100" spans="1:4" x14ac:dyDescent="0.25">
      <c r="A100" s="70" t="s">
        <v>92</v>
      </c>
      <c r="B100" s="68">
        <v>97.581089833687699</v>
      </c>
      <c r="C100" s="68">
        <v>5.9285905659882001</v>
      </c>
      <c r="D100" s="68">
        <v>3.5286882581705998</v>
      </c>
    </row>
    <row r="101" spans="1:4" x14ac:dyDescent="0.25">
      <c r="A101" s="70" t="s">
        <v>697</v>
      </c>
      <c r="B101" s="68">
        <v>99.059911900400493</v>
      </c>
      <c r="C101" s="68">
        <v>3.3841991223706702</v>
      </c>
      <c r="D101" s="68">
        <v>3.8800811505197998</v>
      </c>
    </row>
    <row r="102" spans="1:4" x14ac:dyDescent="0.25">
      <c r="A102" s="70" t="s">
        <v>361</v>
      </c>
      <c r="B102" s="68">
        <v>96.298200514138799</v>
      </c>
      <c r="C102" s="68">
        <v>6.5945454545454503</v>
      </c>
      <c r="D102" s="68">
        <v>3.25727272727273</v>
      </c>
    </row>
    <row r="103" spans="1:4" x14ac:dyDescent="0.25">
      <c r="A103" s="70" t="s">
        <v>524</v>
      </c>
      <c r="B103" s="68">
        <v>96.298200514138799</v>
      </c>
      <c r="C103" s="68">
        <v>6.5945454545454503</v>
      </c>
      <c r="D103" s="68">
        <v>3.25727272727273</v>
      </c>
    </row>
    <row r="104" spans="1:4" x14ac:dyDescent="0.25">
      <c r="A104" s="70" t="s">
        <v>93</v>
      </c>
      <c r="B104" s="68">
        <v>98.431679823334605</v>
      </c>
      <c r="C104" s="68">
        <v>5.9568604274030799</v>
      </c>
      <c r="D104" s="68">
        <v>3.5767679794313101</v>
      </c>
    </row>
    <row r="105" spans="1:4" x14ac:dyDescent="0.25">
      <c r="A105" s="70" t="s">
        <v>94</v>
      </c>
      <c r="B105" s="68">
        <v>98.483664565444101</v>
      </c>
      <c r="C105" s="68">
        <v>5.8761024900349801</v>
      </c>
      <c r="D105" s="68">
        <v>3.6177485633543802</v>
      </c>
    </row>
    <row r="106" spans="1:4" x14ac:dyDescent="0.25">
      <c r="A106" s="70" t="s">
        <v>95</v>
      </c>
      <c r="B106" s="68">
        <v>98.379695081225094</v>
      </c>
      <c r="C106" s="68">
        <v>6.0376183647711796</v>
      </c>
      <c r="D106" s="68">
        <v>3.5357873955082399</v>
      </c>
    </row>
    <row r="107" spans="1:4" x14ac:dyDescent="0.25">
      <c r="A107" s="70" t="s">
        <v>698</v>
      </c>
      <c r="B107" s="68">
        <v>100</v>
      </c>
      <c r="C107" s="68">
        <v>3.2304733143605802</v>
      </c>
      <c r="D107" s="68">
        <v>3.9243535539872401</v>
      </c>
    </row>
    <row r="108" spans="1:4" x14ac:dyDescent="0.25">
      <c r="A108" s="287" t="s">
        <v>96</v>
      </c>
      <c r="B108" s="288">
        <v>92.621696091437911</v>
      </c>
      <c r="C108" s="288">
        <v>7.4578568511391135</v>
      </c>
      <c r="D108" s="288">
        <v>3.219311638784498</v>
      </c>
    </row>
    <row r="109" spans="1:4" x14ac:dyDescent="0.25">
      <c r="A109" s="287" t="s">
        <v>525</v>
      </c>
      <c r="B109" s="288">
        <v>92.621696091437911</v>
      </c>
      <c r="C109" s="288">
        <v>7.4578568511391135</v>
      </c>
      <c r="D109" s="288">
        <v>3.219311638784498</v>
      </c>
    </row>
    <row r="110" spans="1:4" x14ac:dyDescent="0.25">
      <c r="A110" s="287" t="s">
        <v>438</v>
      </c>
      <c r="B110" s="288">
        <v>96.152655372368201</v>
      </c>
      <c r="C110" s="288">
        <v>6.8862950502273215</v>
      </c>
      <c r="D110" s="288">
        <v>3.3151084176662304</v>
      </c>
    </row>
    <row r="111" spans="1:4" x14ac:dyDescent="0.25">
      <c r="A111" s="287" t="s">
        <v>439</v>
      </c>
      <c r="B111" s="288">
        <v>95.209453369832175</v>
      </c>
      <c r="C111" s="288">
        <v>6.0686361107612177</v>
      </c>
      <c r="D111" s="288">
        <v>3.3328395154306785</v>
      </c>
    </row>
    <row r="112" spans="1:4" x14ac:dyDescent="0.25">
      <c r="A112" s="287" t="s">
        <v>440</v>
      </c>
      <c r="B112" s="288">
        <v>97.095857374904227</v>
      </c>
      <c r="C112" s="288">
        <v>7.7039539896934253</v>
      </c>
      <c r="D112" s="288">
        <v>3.2973773199017824</v>
      </c>
    </row>
    <row r="113" spans="1:4" x14ac:dyDescent="0.25">
      <c r="A113" s="287" t="s">
        <v>362</v>
      </c>
      <c r="B113" s="288">
        <v>94.962113454843333</v>
      </c>
      <c r="C113" s="288">
        <v>5.8314297584105574</v>
      </c>
      <c r="D113" s="288">
        <v>3.5533076253323186</v>
      </c>
    </row>
    <row r="114" spans="1:4" x14ac:dyDescent="0.25">
      <c r="A114" s="287" t="s">
        <v>526</v>
      </c>
      <c r="B114" s="288">
        <v>94.962113454843333</v>
      </c>
      <c r="C114" s="288">
        <v>5.8314297584105574</v>
      </c>
      <c r="D114" s="288">
        <v>3.5533076253323186</v>
      </c>
    </row>
    <row r="115" spans="1:4" x14ac:dyDescent="0.25">
      <c r="A115" s="287" t="s">
        <v>97</v>
      </c>
      <c r="B115" s="288">
        <v>96.982875715934284</v>
      </c>
      <c r="C115" s="288">
        <v>7.0494843040430037</v>
      </c>
      <c r="D115" s="288">
        <v>3.1909835550687466</v>
      </c>
    </row>
    <row r="116" spans="1:4" x14ac:dyDescent="0.25">
      <c r="A116" s="287" t="s">
        <v>98</v>
      </c>
      <c r="B116" s="288">
        <v>97.41134882447588</v>
      </c>
      <c r="C116" s="288">
        <v>6.161763003857879</v>
      </c>
      <c r="D116" s="288">
        <v>3.1927354674547166</v>
      </c>
    </row>
    <row r="117" spans="1:4" x14ac:dyDescent="0.25">
      <c r="A117" s="287" t="s">
        <v>99</v>
      </c>
      <c r="B117" s="288">
        <v>96.554402607392689</v>
      </c>
      <c r="C117" s="288">
        <v>7.9372056042281276</v>
      </c>
      <c r="D117" s="288">
        <v>3.1892316426827767</v>
      </c>
    </row>
    <row r="118" spans="1:4" x14ac:dyDescent="0.25">
      <c r="A118" s="287" t="s">
        <v>100</v>
      </c>
      <c r="B118" s="288">
        <v>91.888866273152871</v>
      </c>
      <c r="C118" s="288">
        <v>6.6728196553515717</v>
      </c>
      <c r="D118" s="288">
        <v>3.4909284211839386</v>
      </c>
    </row>
    <row r="119" spans="1:4" x14ac:dyDescent="0.25">
      <c r="A119" s="287" t="s">
        <v>527</v>
      </c>
      <c r="B119" s="288">
        <v>91.888866273152871</v>
      </c>
      <c r="C119" s="288">
        <v>6.6728196553515717</v>
      </c>
      <c r="D119" s="288">
        <v>3.4909284211839386</v>
      </c>
    </row>
    <row r="120" spans="1:4" x14ac:dyDescent="0.25">
      <c r="A120" s="287" t="s">
        <v>441</v>
      </c>
      <c r="B120" s="288">
        <v>97.881759000588403</v>
      </c>
      <c r="C120" s="288">
        <v>6.11202290178759</v>
      </c>
      <c r="D120" s="288">
        <v>3.5570338925970493</v>
      </c>
    </row>
    <row r="121" spans="1:4" x14ac:dyDescent="0.25">
      <c r="A121" s="287" t="s">
        <v>442</v>
      </c>
      <c r="B121" s="288">
        <v>96.792979009703473</v>
      </c>
      <c r="C121" s="288">
        <v>5.2587443425745999</v>
      </c>
      <c r="D121" s="288">
        <v>3.6185875576614541</v>
      </c>
    </row>
    <row r="122" spans="1:4" x14ac:dyDescent="0.25">
      <c r="A122" s="287" t="s">
        <v>443</v>
      </c>
      <c r="B122" s="288">
        <v>98.970538991473347</v>
      </c>
      <c r="C122" s="288">
        <v>6.9653014610005792</v>
      </c>
      <c r="D122" s="288">
        <v>3.4954802275326449</v>
      </c>
    </row>
    <row r="123" spans="1:4" x14ac:dyDescent="0.25">
      <c r="A123" s="287" t="s">
        <v>363</v>
      </c>
      <c r="B123" s="288">
        <v>91.888866273152871</v>
      </c>
      <c r="C123" s="288">
        <v>6.6728196553515717</v>
      </c>
      <c r="D123" s="288">
        <v>3.4909284211839386</v>
      </c>
    </row>
    <row r="124" spans="1:4" x14ac:dyDescent="0.25">
      <c r="A124" s="287" t="s">
        <v>528</v>
      </c>
      <c r="B124" s="288">
        <v>91.888866273152871</v>
      </c>
      <c r="C124" s="288">
        <v>6.6728196553515717</v>
      </c>
      <c r="D124" s="288">
        <v>3.4909284211839386</v>
      </c>
    </row>
    <row r="125" spans="1:4" x14ac:dyDescent="0.25">
      <c r="A125" s="287" t="s">
        <v>101</v>
      </c>
      <c r="B125" s="288">
        <v>98.299054944695428</v>
      </c>
      <c r="C125" s="288">
        <v>5.6269738045021125</v>
      </c>
      <c r="D125" s="288">
        <v>3.5804725422613553</v>
      </c>
    </row>
    <row r="126" spans="1:4" x14ac:dyDescent="0.25">
      <c r="A126" s="287" t="s">
        <v>102</v>
      </c>
      <c r="B126" s="288">
        <v>97.764898093723446</v>
      </c>
      <c r="C126" s="288">
        <v>5.0280731455654815</v>
      </c>
      <c r="D126" s="288">
        <v>3.6139898138105369</v>
      </c>
    </row>
    <row r="127" spans="1:4" x14ac:dyDescent="0.25">
      <c r="A127" s="287" t="s">
        <v>103</v>
      </c>
      <c r="B127" s="288">
        <v>98.83321179566741</v>
      </c>
      <c r="C127" s="288">
        <v>6.2258744634387435</v>
      </c>
      <c r="D127" s="288">
        <v>3.5469552707121741</v>
      </c>
    </row>
    <row r="128" spans="1:4" x14ac:dyDescent="0.25">
      <c r="A128" s="287" t="s">
        <v>104</v>
      </c>
      <c r="B128" s="288">
        <v>94.962113454843333</v>
      </c>
      <c r="C128" s="288">
        <v>5.8314297584105574</v>
      </c>
      <c r="D128" s="288">
        <v>3.5533076253323186</v>
      </c>
    </row>
    <row r="129" spans="1:4" x14ac:dyDescent="0.25">
      <c r="A129" s="287" t="s">
        <v>529</v>
      </c>
      <c r="B129" s="288">
        <v>94.962113454843333</v>
      </c>
      <c r="C129" s="288">
        <v>5.8314297584105574</v>
      </c>
      <c r="D129" s="288">
        <v>3.5533076253323186</v>
      </c>
    </row>
    <row r="130" spans="1:4" x14ac:dyDescent="0.25">
      <c r="A130" s="287" t="s">
        <v>683</v>
      </c>
      <c r="B130" s="288">
        <v>85.339034819792289</v>
      </c>
      <c r="C130" s="288">
        <v>6.4530335698549717</v>
      </c>
      <c r="D130" s="288">
        <v>3.6661980636795248</v>
      </c>
    </row>
    <row r="131" spans="1:4" x14ac:dyDescent="0.25">
      <c r="A131" s="287" t="s">
        <v>444</v>
      </c>
      <c r="B131" s="288">
        <v>99.072482222649199</v>
      </c>
      <c r="C131" s="288">
        <v>5.0802449121481263</v>
      </c>
      <c r="D131" s="288">
        <v>3.6721355844943568</v>
      </c>
    </row>
    <row r="132" spans="1:4" x14ac:dyDescent="0.25">
      <c r="A132" s="287" t="s">
        <v>445</v>
      </c>
      <c r="B132" s="288">
        <v>98.705721403295485</v>
      </c>
      <c r="C132" s="288">
        <v>4.9651489905960986</v>
      </c>
      <c r="D132" s="288">
        <v>3.676225654709417</v>
      </c>
    </row>
    <row r="133" spans="1:4" x14ac:dyDescent="0.25">
      <c r="A133" s="287" t="s">
        <v>446</v>
      </c>
      <c r="B133" s="288">
        <v>99.439243042002914</v>
      </c>
      <c r="C133" s="288">
        <v>5.195340833700155</v>
      </c>
      <c r="D133" s="288">
        <v>3.6680455142792967</v>
      </c>
    </row>
    <row r="134" spans="1:4" x14ac:dyDescent="0.25">
      <c r="A134" s="287" t="s">
        <v>699</v>
      </c>
      <c r="B134" s="288">
        <v>98.317971211994461</v>
      </c>
      <c r="C134" s="288">
        <v>4.2918302331834379</v>
      </c>
      <c r="D134" s="288">
        <v>3.8991168575826785</v>
      </c>
    </row>
    <row r="135" spans="1:4" x14ac:dyDescent="0.25">
      <c r="A135" s="287" t="s">
        <v>364</v>
      </c>
      <c r="B135" s="288">
        <v>94.962113454843333</v>
      </c>
      <c r="C135" s="288">
        <v>5.8314297584105574</v>
      </c>
      <c r="D135" s="288">
        <v>3.5533076253323186</v>
      </c>
    </row>
    <row r="136" spans="1:4" x14ac:dyDescent="0.25">
      <c r="A136" s="287" t="s">
        <v>530</v>
      </c>
      <c r="B136" s="288">
        <v>94.962113454843333</v>
      </c>
      <c r="C136" s="288">
        <v>5.8314297584105574</v>
      </c>
      <c r="D136" s="288">
        <v>3.5533076253323186</v>
      </c>
    </row>
    <row r="137" spans="1:4" x14ac:dyDescent="0.25">
      <c r="A137" s="287" t="s">
        <v>684</v>
      </c>
      <c r="B137" s="288">
        <v>85.339034819792289</v>
      </c>
      <c r="C137" s="288">
        <v>6.4530335698549717</v>
      </c>
      <c r="D137" s="288">
        <v>3.6661980636795248</v>
      </c>
    </row>
    <row r="138" spans="1:4" x14ac:dyDescent="0.25">
      <c r="A138" s="287" t="s">
        <v>105</v>
      </c>
      <c r="B138" s="288">
        <v>98.85079283059558</v>
      </c>
      <c r="C138" s="288">
        <v>5.6025853016520459</v>
      </c>
      <c r="D138" s="288">
        <v>3.5898997814558555</v>
      </c>
    </row>
    <row r="139" spans="1:4" x14ac:dyDescent="0.25">
      <c r="A139" s="287" t="s">
        <v>106</v>
      </c>
      <c r="B139" s="288">
        <v>98.372996504699827</v>
      </c>
      <c r="C139" s="288">
        <v>5.3630318685973366</v>
      </c>
      <c r="D139" s="288">
        <v>3.6012873802762373</v>
      </c>
    </row>
    <row r="140" spans="1:4" x14ac:dyDescent="0.25">
      <c r="A140" s="287" t="s">
        <v>107</v>
      </c>
      <c r="B140" s="288">
        <v>99.328589156491333</v>
      </c>
      <c r="C140" s="288">
        <v>5.8421387347067553</v>
      </c>
      <c r="D140" s="288">
        <v>3.5785121826354742</v>
      </c>
    </row>
    <row r="141" spans="1:4" x14ac:dyDescent="0.25">
      <c r="A141" s="287" t="s">
        <v>685</v>
      </c>
      <c r="B141" s="288">
        <v>97.859758748351453</v>
      </c>
      <c r="C141" s="288">
        <v>4.6375979659955417</v>
      </c>
      <c r="D141" s="288">
        <v>3.8664620692581941</v>
      </c>
    </row>
    <row r="142" spans="1:4" x14ac:dyDescent="0.25">
      <c r="A142" s="287" t="s">
        <v>108</v>
      </c>
      <c r="B142" s="288">
        <v>82.609603340292281</v>
      </c>
      <c r="C142" s="288">
        <v>7.8386518490537851</v>
      </c>
      <c r="D142" s="288">
        <v>2.6024078166849542</v>
      </c>
    </row>
    <row r="143" spans="1:4" x14ac:dyDescent="0.25">
      <c r="A143" s="287" t="s">
        <v>531</v>
      </c>
      <c r="B143" s="288">
        <v>82.609603340292281</v>
      </c>
      <c r="C143" s="288">
        <v>7.8386518490537851</v>
      </c>
      <c r="D143" s="288">
        <v>2.6024078166849542</v>
      </c>
    </row>
    <row r="144" spans="1:4" x14ac:dyDescent="0.25">
      <c r="A144" s="287" t="s">
        <v>447</v>
      </c>
      <c r="B144" s="288">
        <v>96.564012418461189</v>
      </c>
      <c r="C144" s="288">
        <v>7.0366120031999317</v>
      </c>
      <c r="D144" s="288">
        <v>2.8328851834535413</v>
      </c>
    </row>
    <row r="145" spans="1:4" x14ac:dyDescent="0.25">
      <c r="A145" s="287" t="s">
        <v>448</v>
      </c>
      <c r="B145" s="288">
        <v>96.559619371507694</v>
      </c>
      <c r="C145" s="288">
        <v>6.028903185965385</v>
      </c>
      <c r="D145" s="288">
        <v>2.7890284068048103</v>
      </c>
    </row>
    <row r="146" spans="1:4" x14ac:dyDescent="0.25">
      <c r="A146" s="287" t="s">
        <v>449</v>
      </c>
      <c r="B146" s="288">
        <v>96.568405465414685</v>
      </c>
      <c r="C146" s="288">
        <v>8.0443208204344785</v>
      </c>
      <c r="D146" s="288">
        <v>2.8767419601022719</v>
      </c>
    </row>
    <row r="147" spans="1:4" x14ac:dyDescent="0.25">
      <c r="A147" s="287" t="s">
        <v>365</v>
      </c>
      <c r="B147" s="288">
        <v>82.609603340292281</v>
      </c>
      <c r="C147" s="288">
        <v>7.8386518490537851</v>
      </c>
      <c r="D147" s="288">
        <v>2.6024078166849542</v>
      </c>
    </row>
    <row r="148" spans="1:4" x14ac:dyDescent="0.25">
      <c r="A148" s="287" t="s">
        <v>532</v>
      </c>
      <c r="B148" s="288">
        <v>82.609603340292281</v>
      </c>
      <c r="C148" s="288">
        <v>7.8386518490537851</v>
      </c>
      <c r="D148" s="288">
        <v>2.6024078166849542</v>
      </c>
    </row>
    <row r="149" spans="1:4" x14ac:dyDescent="0.25">
      <c r="A149" s="287" t="s">
        <v>109</v>
      </c>
      <c r="B149" s="288">
        <v>97.478087142866457</v>
      </c>
      <c r="C149" s="288">
        <v>6.9371731180185296</v>
      </c>
      <c r="D149" s="288">
        <v>2.8174467404461123</v>
      </c>
    </row>
    <row r="150" spans="1:4" x14ac:dyDescent="0.25">
      <c r="A150" s="287" t="s">
        <v>110</v>
      </c>
      <c r="B150" s="288">
        <v>97.246673236257209</v>
      </c>
      <c r="C150" s="288">
        <v>6.1352736235253786</v>
      </c>
      <c r="D150" s="288">
        <v>2.783622852957166</v>
      </c>
    </row>
    <row r="151" spans="1:4" x14ac:dyDescent="0.25">
      <c r="A151" s="287" t="s">
        <v>111</v>
      </c>
      <c r="B151" s="288">
        <v>97.709501049475691</v>
      </c>
      <c r="C151" s="288">
        <v>7.7390726125116798</v>
      </c>
      <c r="D151" s="288">
        <v>2.8512706279350586</v>
      </c>
    </row>
    <row r="152" spans="1:4" x14ac:dyDescent="0.25">
      <c r="A152" s="70" t="s">
        <v>112</v>
      </c>
      <c r="B152" s="68">
        <v>95.493562231759697</v>
      </c>
      <c r="C152" s="68">
        <v>5.6203333333333303</v>
      </c>
      <c r="D152" s="68">
        <v>3.4266666666666699</v>
      </c>
    </row>
    <row r="153" spans="1:4" x14ac:dyDescent="0.25">
      <c r="A153" s="70" t="s">
        <v>533</v>
      </c>
      <c r="B153" s="68">
        <v>95.493562231759697</v>
      </c>
      <c r="C153" s="68">
        <v>5.6203333333333303</v>
      </c>
      <c r="D153" s="68">
        <v>3.4266666666666699</v>
      </c>
    </row>
    <row r="154" spans="1:4" x14ac:dyDescent="0.25">
      <c r="A154" s="70" t="s">
        <v>113</v>
      </c>
      <c r="B154" s="68">
        <v>92.857466498080598</v>
      </c>
      <c r="C154" s="68">
        <v>6.0706142912367502</v>
      </c>
      <c r="D154" s="68">
        <v>3.2121050216865301</v>
      </c>
    </row>
    <row r="155" spans="1:4" x14ac:dyDescent="0.25">
      <c r="A155" s="70" t="s">
        <v>114</v>
      </c>
      <c r="B155" s="68">
        <v>92.208767688356701</v>
      </c>
      <c r="C155" s="68">
        <v>5.9645303091357897</v>
      </c>
      <c r="D155" s="68">
        <v>3.2289809121804698</v>
      </c>
    </row>
    <row r="156" spans="1:4" x14ac:dyDescent="0.25">
      <c r="A156" s="70" t="s">
        <v>115</v>
      </c>
      <c r="B156" s="68">
        <v>93.506165307804494</v>
      </c>
      <c r="C156" s="68">
        <v>6.1766982733377196</v>
      </c>
      <c r="D156" s="68">
        <v>3.19522913119259</v>
      </c>
    </row>
    <row r="157" spans="1:4" x14ac:dyDescent="0.25">
      <c r="A157" s="70" t="s">
        <v>366</v>
      </c>
      <c r="B157" s="68">
        <v>95.493562231759697</v>
      </c>
      <c r="C157" s="68">
        <v>5.6203333333333303</v>
      </c>
      <c r="D157" s="68">
        <v>3.4266666666666699</v>
      </c>
    </row>
    <row r="158" spans="1:4" x14ac:dyDescent="0.25">
      <c r="A158" s="70" t="s">
        <v>534</v>
      </c>
      <c r="B158" s="68">
        <v>95.493562231759697</v>
      </c>
      <c r="C158" s="68">
        <v>5.6203333333333303</v>
      </c>
      <c r="D158" s="68">
        <v>3.4266666666666699</v>
      </c>
    </row>
    <row r="159" spans="1:4" x14ac:dyDescent="0.25">
      <c r="A159" s="70" t="s">
        <v>116</v>
      </c>
      <c r="B159" s="68">
        <v>96.166510795782003</v>
      </c>
      <c r="C159" s="68">
        <v>5.5882101130171602</v>
      </c>
      <c r="D159" s="68">
        <v>3.2520366836301999</v>
      </c>
    </row>
    <row r="160" spans="1:4" x14ac:dyDescent="0.25">
      <c r="A160" s="70" t="s">
        <v>117</v>
      </c>
      <c r="B160" s="68">
        <v>95.553379647648399</v>
      </c>
      <c r="C160" s="68">
        <v>5.6728039562265904</v>
      </c>
      <c r="D160" s="68">
        <v>3.2409911536138298</v>
      </c>
    </row>
    <row r="161" spans="1:4" x14ac:dyDescent="0.25">
      <c r="A161" s="70" t="s">
        <v>118</v>
      </c>
      <c r="B161" s="68">
        <v>96.779641943915607</v>
      </c>
      <c r="C161" s="68">
        <v>5.5036162698077398</v>
      </c>
      <c r="D161" s="68">
        <v>3.2630822136465598</v>
      </c>
    </row>
    <row r="162" spans="1:4" x14ac:dyDescent="0.25">
      <c r="A162" s="70" t="s">
        <v>119</v>
      </c>
      <c r="B162" s="68">
        <v>92.431192660550494</v>
      </c>
      <c r="C162" s="68">
        <v>6.4486666666666697</v>
      </c>
      <c r="D162" s="68">
        <v>3.33</v>
      </c>
    </row>
    <row r="163" spans="1:4" x14ac:dyDescent="0.25">
      <c r="A163" s="70" t="s">
        <v>535</v>
      </c>
      <c r="B163" s="68">
        <v>92.431192660550494</v>
      </c>
      <c r="C163" s="68">
        <v>6.4486666666666697</v>
      </c>
      <c r="D163" s="68">
        <v>3.33</v>
      </c>
    </row>
    <row r="164" spans="1:4" x14ac:dyDescent="0.25">
      <c r="A164" s="70" t="s">
        <v>120</v>
      </c>
      <c r="B164" s="68">
        <v>96.318877761611105</v>
      </c>
      <c r="C164" s="68">
        <v>6.1115251730071298</v>
      </c>
      <c r="D164" s="68">
        <v>3.2738156747474698</v>
      </c>
    </row>
    <row r="165" spans="1:4" x14ac:dyDescent="0.25">
      <c r="A165" s="70" t="s">
        <v>121</v>
      </c>
      <c r="B165" s="68">
        <v>95.987238832194095</v>
      </c>
      <c r="C165" s="68">
        <v>6.1558828844224101</v>
      </c>
      <c r="D165" s="68">
        <v>3.2082578595104301</v>
      </c>
    </row>
    <row r="166" spans="1:4" x14ac:dyDescent="0.25">
      <c r="A166" s="70" t="s">
        <v>122</v>
      </c>
      <c r="B166" s="68">
        <v>96.650516691028102</v>
      </c>
      <c r="C166" s="68">
        <v>6.0671674615918496</v>
      </c>
      <c r="D166" s="68">
        <v>3.33937348998451</v>
      </c>
    </row>
    <row r="167" spans="1:4" x14ac:dyDescent="0.25">
      <c r="A167" s="70" t="s">
        <v>367</v>
      </c>
      <c r="B167" s="68">
        <v>92.431192660550494</v>
      </c>
      <c r="C167" s="68">
        <v>6.4486666666666697</v>
      </c>
      <c r="D167" s="68">
        <v>3.33</v>
      </c>
    </row>
    <row r="168" spans="1:4" x14ac:dyDescent="0.25">
      <c r="A168" s="70" t="s">
        <v>536</v>
      </c>
      <c r="B168" s="68">
        <v>92.431192660550494</v>
      </c>
      <c r="C168" s="68">
        <v>6.4486666666666697</v>
      </c>
      <c r="D168" s="68">
        <v>3.33</v>
      </c>
    </row>
    <row r="169" spans="1:4" x14ac:dyDescent="0.25">
      <c r="A169" s="70" t="s">
        <v>123</v>
      </c>
      <c r="B169" s="68">
        <v>97.621432894054493</v>
      </c>
      <c r="C169" s="68">
        <v>6.35556344969938</v>
      </c>
      <c r="D169" s="68">
        <v>3.2931884899955901</v>
      </c>
    </row>
    <row r="170" spans="1:4" x14ac:dyDescent="0.25">
      <c r="A170" s="70" t="s">
        <v>124</v>
      </c>
      <c r="B170" s="68">
        <v>97.465586087809996</v>
      </c>
      <c r="C170" s="68">
        <v>6.6869895159447799</v>
      </c>
      <c r="D170" s="68">
        <v>3.2308205559154799</v>
      </c>
    </row>
    <row r="171" spans="1:4" x14ac:dyDescent="0.25">
      <c r="A171" s="70" t="s">
        <v>125</v>
      </c>
      <c r="B171" s="68">
        <v>97.777279700299005</v>
      </c>
      <c r="C171" s="68">
        <v>6.02413738345399</v>
      </c>
      <c r="D171" s="68">
        <v>3.3555564240756901</v>
      </c>
    </row>
    <row r="172" spans="1:4" x14ac:dyDescent="0.25">
      <c r="A172" s="70" t="s">
        <v>126</v>
      </c>
      <c r="B172" s="68">
        <v>77.161862527716195</v>
      </c>
      <c r="C172" s="68">
        <v>7.4996666666666698</v>
      </c>
      <c r="D172" s="68">
        <v>2.98</v>
      </c>
    </row>
    <row r="173" spans="1:4" x14ac:dyDescent="0.25">
      <c r="A173" s="70" t="s">
        <v>537</v>
      </c>
      <c r="B173" s="68">
        <v>77.161862527716195</v>
      </c>
      <c r="C173" s="68">
        <v>7.4996666666666698</v>
      </c>
      <c r="D173" s="68">
        <v>2.98</v>
      </c>
    </row>
    <row r="174" spans="1:4" x14ac:dyDescent="0.25">
      <c r="A174" s="70" t="s">
        <v>127</v>
      </c>
      <c r="B174" s="68">
        <v>90.926069681136994</v>
      </c>
      <c r="C174" s="68">
        <v>7.7335609261748797</v>
      </c>
      <c r="D174" s="68">
        <v>3.2169731105794601</v>
      </c>
    </row>
    <row r="175" spans="1:4" x14ac:dyDescent="0.25">
      <c r="A175" s="70" t="s">
        <v>128</v>
      </c>
      <c r="B175" s="68">
        <v>89.838262523391407</v>
      </c>
      <c r="C175" s="68">
        <v>6.9346309292692103</v>
      </c>
      <c r="D175" s="68">
        <v>3.2656399450013498</v>
      </c>
    </row>
    <row r="176" spans="1:4" x14ac:dyDescent="0.25">
      <c r="A176" s="70" t="s">
        <v>129</v>
      </c>
      <c r="B176" s="68">
        <v>92.013876838882496</v>
      </c>
      <c r="C176" s="68">
        <v>8.5324909230805499</v>
      </c>
      <c r="D176" s="68">
        <v>3.1683062761575802</v>
      </c>
    </row>
    <row r="177" spans="1:4" x14ac:dyDescent="0.25">
      <c r="A177" s="70" t="s">
        <v>368</v>
      </c>
      <c r="B177" s="68">
        <v>77.161862527716195</v>
      </c>
      <c r="C177" s="68">
        <v>7.4996666666666698</v>
      </c>
      <c r="D177" s="68">
        <v>2.98</v>
      </c>
    </row>
    <row r="178" spans="1:4" x14ac:dyDescent="0.25">
      <c r="A178" s="70" t="s">
        <v>538</v>
      </c>
      <c r="B178" s="68">
        <v>77.161862527716195</v>
      </c>
      <c r="C178" s="68">
        <v>7.4996666666666698</v>
      </c>
      <c r="D178" s="68">
        <v>2.98</v>
      </c>
    </row>
    <row r="179" spans="1:4" x14ac:dyDescent="0.25">
      <c r="A179" s="70" t="s">
        <v>130</v>
      </c>
      <c r="B179" s="68">
        <v>87.877278330186797</v>
      </c>
      <c r="C179" s="68">
        <v>7.1077910782638396</v>
      </c>
      <c r="D179" s="68">
        <v>3.0670765299256</v>
      </c>
    </row>
    <row r="180" spans="1:4" x14ac:dyDescent="0.25">
      <c r="A180" s="70" t="s">
        <v>131</v>
      </c>
      <c r="B180" s="68">
        <v>88.677056107370305</v>
      </c>
      <c r="C180" s="68">
        <v>6.8104543549634</v>
      </c>
      <c r="D180" s="68">
        <v>3.0680245470393599</v>
      </c>
    </row>
    <row r="181" spans="1:4" x14ac:dyDescent="0.25">
      <c r="A181" s="70" t="s">
        <v>132</v>
      </c>
      <c r="B181" s="68">
        <v>87.077500553003304</v>
      </c>
      <c r="C181" s="68">
        <v>7.4051278015642801</v>
      </c>
      <c r="D181" s="68">
        <v>3.0661285128118498</v>
      </c>
    </row>
    <row r="182" spans="1:4" x14ac:dyDescent="0.25">
      <c r="A182" s="70" t="s">
        <v>133</v>
      </c>
      <c r="B182" s="68">
        <v>98.780487804878007</v>
      </c>
      <c r="C182" s="68">
        <v>7.1102499999999997</v>
      </c>
      <c r="D182" s="68">
        <v>3.0789879999999998</v>
      </c>
    </row>
    <row r="183" spans="1:4" x14ac:dyDescent="0.25">
      <c r="A183" s="70" t="s">
        <v>539</v>
      </c>
      <c r="B183" s="68">
        <v>98.780487804878007</v>
      </c>
      <c r="C183" s="68">
        <v>7.1102499999999997</v>
      </c>
      <c r="D183" s="68">
        <v>3.0789879999999998</v>
      </c>
    </row>
    <row r="184" spans="1:4" x14ac:dyDescent="0.25">
      <c r="A184" s="70" t="s">
        <v>134</v>
      </c>
      <c r="B184" s="68">
        <v>99.060418977729995</v>
      </c>
      <c r="C184" s="68">
        <v>5.9119462605529103</v>
      </c>
      <c r="D184" s="68">
        <v>3.4904916694693702</v>
      </c>
    </row>
    <row r="185" spans="1:4" x14ac:dyDescent="0.25">
      <c r="A185" s="70" t="s">
        <v>135</v>
      </c>
      <c r="B185" s="68">
        <v>98.886309592149004</v>
      </c>
      <c r="C185" s="68">
        <v>6.1917770406386801</v>
      </c>
      <c r="D185" s="68">
        <v>3.5215731275262501</v>
      </c>
    </row>
    <row r="186" spans="1:4" x14ac:dyDescent="0.25">
      <c r="A186" s="70" t="s">
        <v>136</v>
      </c>
      <c r="B186" s="68">
        <v>99.234528363311099</v>
      </c>
      <c r="C186" s="68">
        <v>5.6321154804671298</v>
      </c>
      <c r="D186" s="68">
        <v>3.4594102114125</v>
      </c>
    </row>
    <row r="187" spans="1:4" x14ac:dyDescent="0.25">
      <c r="A187" s="70" t="s">
        <v>369</v>
      </c>
      <c r="B187" s="68">
        <v>98.780487804878007</v>
      </c>
      <c r="C187" s="68">
        <v>7.1102499999999997</v>
      </c>
      <c r="D187" s="68">
        <v>3.0789879999999998</v>
      </c>
    </row>
    <row r="188" spans="1:4" x14ac:dyDescent="0.25">
      <c r="A188" s="70" t="s">
        <v>540</v>
      </c>
      <c r="B188" s="68">
        <v>98.780487804878007</v>
      </c>
      <c r="C188" s="68">
        <v>7.1102499999999997</v>
      </c>
      <c r="D188" s="68">
        <v>3.0789879999999998</v>
      </c>
    </row>
    <row r="189" spans="1:4" x14ac:dyDescent="0.25">
      <c r="A189" s="70" t="s">
        <v>137</v>
      </c>
      <c r="B189" s="68">
        <v>99.287437580500196</v>
      </c>
      <c r="C189" s="68">
        <v>6.0438819014156104</v>
      </c>
      <c r="D189" s="68">
        <v>3.47641025182</v>
      </c>
    </row>
    <row r="190" spans="1:4" x14ac:dyDescent="0.25">
      <c r="A190" s="70" t="s">
        <v>138</v>
      </c>
      <c r="B190" s="68">
        <v>98.927279078338401</v>
      </c>
      <c r="C190" s="68">
        <v>6.3037069172487703</v>
      </c>
      <c r="D190" s="68">
        <v>3.5373554368366502</v>
      </c>
    </row>
    <row r="191" spans="1:4" x14ac:dyDescent="0.25">
      <c r="A191" s="70" t="s">
        <v>541</v>
      </c>
      <c r="B191" s="68">
        <v>99.647596082662005</v>
      </c>
      <c r="C191" s="68">
        <v>5.7840568855824497</v>
      </c>
      <c r="D191" s="68">
        <v>3.4154650668033399</v>
      </c>
    </row>
    <row r="192" spans="1:4" x14ac:dyDescent="0.25">
      <c r="A192" s="70" t="s">
        <v>139</v>
      </c>
      <c r="B192" s="68">
        <v>94.250281848929006</v>
      </c>
      <c r="C192" s="68">
        <v>8.9915000000000003</v>
      </c>
      <c r="D192" s="68">
        <v>2.86046325</v>
      </c>
    </row>
    <row r="193" spans="1:4" x14ac:dyDescent="0.25">
      <c r="A193" s="70" t="s">
        <v>542</v>
      </c>
      <c r="B193" s="68">
        <v>94.250281848929006</v>
      </c>
      <c r="C193" s="68">
        <v>8.9915000000000003</v>
      </c>
      <c r="D193" s="68">
        <v>2.86046325</v>
      </c>
    </row>
    <row r="194" spans="1:4" x14ac:dyDescent="0.25">
      <c r="A194" s="70" t="s">
        <v>140</v>
      </c>
      <c r="B194" s="68">
        <v>98.699761447820705</v>
      </c>
      <c r="C194" s="68">
        <v>5.39624098297198</v>
      </c>
      <c r="D194" s="68">
        <v>3.4158703349041701</v>
      </c>
    </row>
    <row r="195" spans="1:4" x14ac:dyDescent="0.25">
      <c r="A195" s="70" t="s">
        <v>141</v>
      </c>
      <c r="B195" s="68">
        <v>98.552525248917306</v>
      </c>
      <c r="C195" s="68">
        <v>4.4963886202673198</v>
      </c>
      <c r="D195" s="68">
        <v>3.47794505231212</v>
      </c>
    </row>
    <row r="196" spans="1:4" x14ac:dyDescent="0.25">
      <c r="A196" s="70" t="s">
        <v>142</v>
      </c>
      <c r="B196" s="68">
        <v>98.846997646724205</v>
      </c>
      <c r="C196" s="68">
        <v>6.2960933456766401</v>
      </c>
      <c r="D196" s="68">
        <v>3.3537956174962198</v>
      </c>
    </row>
    <row r="197" spans="1:4" x14ac:dyDescent="0.25">
      <c r="A197" s="70" t="s">
        <v>370</v>
      </c>
      <c r="B197" s="68">
        <v>94.250281848929006</v>
      </c>
      <c r="C197" s="68">
        <v>8.9915000000000003</v>
      </c>
      <c r="D197" s="68">
        <v>2.86046325</v>
      </c>
    </row>
    <row r="198" spans="1:4" x14ac:dyDescent="0.25">
      <c r="A198" s="70" t="s">
        <v>543</v>
      </c>
      <c r="B198" s="68">
        <v>94.250281848929006</v>
      </c>
      <c r="C198" s="68">
        <v>8.9915000000000003</v>
      </c>
      <c r="D198" s="68">
        <v>2.86046325</v>
      </c>
    </row>
    <row r="199" spans="1:4" x14ac:dyDescent="0.25">
      <c r="A199" s="70" t="s">
        <v>143</v>
      </c>
      <c r="B199" s="68">
        <v>98.7260138343904</v>
      </c>
      <c r="C199" s="68">
        <v>5.7112507534159098</v>
      </c>
      <c r="D199" s="68">
        <v>3.2722868943021099</v>
      </c>
    </row>
    <row r="200" spans="1:4" x14ac:dyDescent="0.25">
      <c r="A200" s="70" t="s">
        <v>144</v>
      </c>
      <c r="B200" s="68">
        <v>98.382562541477895</v>
      </c>
      <c r="C200" s="68">
        <v>4.6635283136075598</v>
      </c>
      <c r="D200" s="68">
        <v>3.4678334449728898</v>
      </c>
    </row>
    <row r="201" spans="1:4" x14ac:dyDescent="0.25">
      <c r="A201" s="70" t="s">
        <v>544</v>
      </c>
      <c r="B201" s="68">
        <v>99.069465127302806</v>
      </c>
      <c r="C201" s="68">
        <v>6.7589731932242501</v>
      </c>
      <c r="D201" s="68">
        <v>3.0767403436313399</v>
      </c>
    </row>
    <row r="202" spans="1:4" x14ac:dyDescent="0.25">
      <c r="A202" s="70" t="s">
        <v>145</v>
      </c>
      <c r="B202" s="68">
        <v>98.997772828507806</v>
      </c>
      <c r="C202" s="68">
        <v>4.9379999999999997</v>
      </c>
      <c r="D202" s="68">
        <v>3.4084370000000002</v>
      </c>
    </row>
    <row r="203" spans="1:4" x14ac:dyDescent="0.25">
      <c r="A203" s="70" t="s">
        <v>545</v>
      </c>
      <c r="B203" s="68">
        <v>98.997772828507806</v>
      </c>
      <c r="C203" s="68">
        <v>4.9379999999999997</v>
      </c>
      <c r="D203" s="68">
        <v>3.4084370000000002</v>
      </c>
    </row>
    <row r="204" spans="1:4" x14ac:dyDescent="0.25">
      <c r="A204" s="70" t="s">
        <v>146</v>
      </c>
      <c r="B204" s="68">
        <v>99.232887488790098</v>
      </c>
      <c r="C204" s="68">
        <v>4.67611788495332</v>
      </c>
      <c r="D204" s="68">
        <v>3.4955061136726</v>
      </c>
    </row>
    <row r="205" spans="1:4" x14ac:dyDescent="0.25">
      <c r="A205" s="70" t="s">
        <v>147</v>
      </c>
      <c r="B205" s="68">
        <v>99.2004990423723</v>
      </c>
      <c r="C205" s="68">
        <v>4.0140107444076198</v>
      </c>
      <c r="D205" s="68">
        <v>3.51521995115329</v>
      </c>
    </row>
    <row r="206" spans="1:4" x14ac:dyDescent="0.25">
      <c r="A206" s="70" t="s">
        <v>148</v>
      </c>
      <c r="B206" s="68">
        <v>99.265275935207995</v>
      </c>
      <c r="C206" s="68">
        <v>5.3382250254990202</v>
      </c>
      <c r="D206" s="68">
        <v>3.4757922761918998</v>
      </c>
    </row>
    <row r="207" spans="1:4" x14ac:dyDescent="0.25">
      <c r="A207" s="70" t="s">
        <v>371</v>
      </c>
      <c r="B207" s="68">
        <v>98.997772828507806</v>
      </c>
      <c r="C207" s="68">
        <v>4.9379999999999997</v>
      </c>
      <c r="D207" s="68">
        <v>3.4084370000000002</v>
      </c>
    </row>
    <row r="208" spans="1:4" x14ac:dyDescent="0.25">
      <c r="A208" s="70" t="s">
        <v>546</v>
      </c>
      <c r="B208" s="68">
        <v>98.997772828507806</v>
      </c>
      <c r="C208" s="68">
        <v>4.9379999999999997</v>
      </c>
      <c r="D208" s="68">
        <v>3.4084370000000002</v>
      </c>
    </row>
    <row r="209" spans="1:4" x14ac:dyDescent="0.25">
      <c r="A209" s="70" t="s">
        <v>149</v>
      </c>
      <c r="B209" s="68">
        <v>99.385530200569704</v>
      </c>
      <c r="C209" s="68">
        <v>4.2346392795748997</v>
      </c>
      <c r="D209" s="68">
        <v>3.5143061872025201</v>
      </c>
    </row>
    <row r="210" spans="1:4" x14ac:dyDescent="0.25">
      <c r="A210" s="70" t="s">
        <v>150</v>
      </c>
      <c r="B210" s="68">
        <v>99.266979696308496</v>
      </c>
      <c r="C210" s="68">
        <v>3.9086090977010901</v>
      </c>
      <c r="D210" s="68">
        <v>3.5352213360006401</v>
      </c>
    </row>
    <row r="211" spans="1:4" x14ac:dyDescent="0.25">
      <c r="A211" s="70" t="s">
        <v>547</v>
      </c>
      <c r="B211" s="68">
        <v>99.504080704830898</v>
      </c>
      <c r="C211" s="68">
        <v>4.5606694614486996</v>
      </c>
      <c r="D211" s="68">
        <v>3.4933910384043898</v>
      </c>
    </row>
    <row r="212" spans="1:4" x14ac:dyDescent="0.25">
      <c r="A212" s="70" t="s">
        <v>151</v>
      </c>
      <c r="B212" s="68">
        <v>85.367557185262797</v>
      </c>
      <c r="C212" s="68">
        <v>6.4857894736842097</v>
      </c>
      <c r="D212" s="68">
        <v>2.8094736842105301</v>
      </c>
    </row>
    <row r="213" spans="1:4" x14ac:dyDescent="0.25">
      <c r="A213" s="70" t="s">
        <v>548</v>
      </c>
      <c r="B213" s="68">
        <v>85.367557185262797</v>
      </c>
      <c r="C213" s="68">
        <v>6.4857894736842097</v>
      </c>
      <c r="D213" s="68">
        <v>2.8094736842105301</v>
      </c>
    </row>
    <row r="214" spans="1:4" x14ac:dyDescent="0.25">
      <c r="A214" s="70" t="s">
        <v>152</v>
      </c>
      <c r="B214" s="68">
        <v>95.638636602343198</v>
      </c>
      <c r="C214" s="68">
        <v>6.3375254692397496</v>
      </c>
      <c r="D214" s="68">
        <v>2.95474222074222</v>
      </c>
    </row>
    <row r="215" spans="1:4" x14ac:dyDescent="0.25">
      <c r="A215" s="70" t="s">
        <v>153</v>
      </c>
      <c r="B215" s="68">
        <v>94.647429980617005</v>
      </c>
      <c r="C215" s="68">
        <v>6.7228398902684603</v>
      </c>
      <c r="D215" s="68">
        <v>2.9559380830809401</v>
      </c>
    </row>
    <row r="216" spans="1:4" x14ac:dyDescent="0.25">
      <c r="A216" s="70" t="s">
        <v>154</v>
      </c>
      <c r="B216" s="68">
        <v>96.629843224069504</v>
      </c>
      <c r="C216" s="68">
        <v>5.9522110482110504</v>
      </c>
      <c r="D216" s="68">
        <v>2.9535463584035</v>
      </c>
    </row>
    <row r="217" spans="1:4" x14ac:dyDescent="0.25">
      <c r="A217" s="70" t="s">
        <v>372</v>
      </c>
      <c r="B217" s="68">
        <v>89.084628670120907</v>
      </c>
      <c r="C217" s="68">
        <v>6.4442857142857104</v>
      </c>
      <c r="D217" s="68">
        <v>2.81785714285714</v>
      </c>
    </row>
    <row r="218" spans="1:4" x14ac:dyDescent="0.25">
      <c r="A218" s="70" t="s">
        <v>549</v>
      </c>
      <c r="B218" s="68">
        <v>89.084628670120907</v>
      </c>
      <c r="C218" s="68">
        <v>6.4442857142857104</v>
      </c>
      <c r="D218" s="68">
        <v>2.81785714285714</v>
      </c>
    </row>
    <row r="219" spans="1:4" x14ac:dyDescent="0.25">
      <c r="A219" s="70" t="s">
        <v>155</v>
      </c>
      <c r="B219" s="68">
        <v>95.086208396900602</v>
      </c>
      <c r="C219" s="68">
        <v>6.0365598408213899</v>
      </c>
      <c r="D219" s="68">
        <v>2.94941187043288</v>
      </c>
    </row>
    <row r="220" spans="1:4" x14ac:dyDescent="0.25">
      <c r="A220" s="70" t="s">
        <v>156</v>
      </c>
      <c r="B220" s="68">
        <v>95.456423763195204</v>
      </c>
      <c r="C220" s="68">
        <v>6.1782937165452498</v>
      </c>
      <c r="D220" s="68">
        <v>2.9643962277927902</v>
      </c>
    </row>
    <row r="221" spans="1:4" x14ac:dyDescent="0.25">
      <c r="A221" s="70" t="s">
        <v>157</v>
      </c>
      <c r="B221" s="68">
        <v>94.7159930306061</v>
      </c>
      <c r="C221" s="68">
        <v>5.8948259650975299</v>
      </c>
      <c r="D221" s="68">
        <v>2.93442751307298</v>
      </c>
    </row>
    <row r="222" spans="1:4" x14ac:dyDescent="0.25">
      <c r="A222" s="70" t="s">
        <v>158</v>
      </c>
      <c r="B222" s="68">
        <v>83.912310286677894</v>
      </c>
      <c r="C222" s="68">
        <v>7.7289473684210499</v>
      </c>
      <c r="D222" s="68">
        <v>2.9468421052631601</v>
      </c>
    </row>
    <row r="223" spans="1:4" x14ac:dyDescent="0.25">
      <c r="A223" s="70" t="s">
        <v>550</v>
      </c>
      <c r="B223" s="68">
        <v>83.912310286677894</v>
      </c>
      <c r="C223" s="68">
        <v>7.7289473684210499</v>
      </c>
      <c r="D223" s="68">
        <v>2.9468421052631601</v>
      </c>
    </row>
    <row r="224" spans="1:4" x14ac:dyDescent="0.25">
      <c r="A224" s="70" t="s">
        <v>159</v>
      </c>
      <c r="B224" s="68">
        <v>91.974933277328802</v>
      </c>
      <c r="C224" s="68">
        <v>7.4261201021201</v>
      </c>
      <c r="D224" s="68">
        <v>3.29956653928082</v>
      </c>
    </row>
    <row r="225" spans="1:4" x14ac:dyDescent="0.25">
      <c r="A225" s="70" t="s">
        <v>160</v>
      </c>
      <c r="B225" s="68">
        <v>91.191491717655595</v>
      </c>
      <c r="C225" s="68">
        <v>6.6832910581481997</v>
      </c>
      <c r="D225" s="68">
        <v>3.31787885130742</v>
      </c>
    </row>
    <row r="226" spans="1:4" x14ac:dyDescent="0.25">
      <c r="A226" s="70" t="s">
        <v>161</v>
      </c>
      <c r="B226" s="68">
        <v>92.758374837001995</v>
      </c>
      <c r="C226" s="68">
        <v>8.1689491460920003</v>
      </c>
      <c r="D226" s="68">
        <v>3.2812542272542302</v>
      </c>
    </row>
    <row r="227" spans="1:4" x14ac:dyDescent="0.25">
      <c r="A227" s="70" t="s">
        <v>373</v>
      </c>
      <c r="B227" s="68">
        <v>84.964200477326997</v>
      </c>
      <c r="C227" s="68">
        <v>7.7821428571428601</v>
      </c>
      <c r="D227" s="68">
        <v>2.9478571428571398</v>
      </c>
    </row>
    <row r="228" spans="1:4" x14ac:dyDescent="0.25">
      <c r="A228" s="70" t="s">
        <v>551</v>
      </c>
      <c r="B228" s="68">
        <v>84.964200477326997</v>
      </c>
      <c r="C228" s="68">
        <v>7.7821428571428601</v>
      </c>
      <c r="D228" s="68">
        <v>2.9478571428571398</v>
      </c>
    </row>
    <row r="229" spans="1:4" x14ac:dyDescent="0.25">
      <c r="A229" s="70" t="s">
        <v>162</v>
      </c>
      <c r="B229" s="68">
        <v>94.547438899130299</v>
      </c>
      <c r="C229" s="68">
        <v>7.1094832031184199</v>
      </c>
      <c r="D229" s="68">
        <v>3.3210164205595398</v>
      </c>
    </row>
    <row r="230" spans="1:4" x14ac:dyDescent="0.25">
      <c r="A230" s="70" t="s">
        <v>163</v>
      </c>
      <c r="B230" s="68">
        <v>96.044403065342195</v>
      </c>
      <c r="C230" s="68">
        <v>6.2928615921230699</v>
      </c>
      <c r="D230" s="68">
        <v>3.3795142075612601</v>
      </c>
    </row>
    <row r="231" spans="1:4" x14ac:dyDescent="0.25">
      <c r="A231" s="70" t="s">
        <v>164</v>
      </c>
      <c r="B231" s="68">
        <v>93.050474732918303</v>
      </c>
      <c r="C231" s="68">
        <v>7.92610481411376</v>
      </c>
      <c r="D231" s="68">
        <v>3.26251863355782</v>
      </c>
    </row>
    <row r="232" spans="1:4" x14ac:dyDescent="0.25">
      <c r="A232" s="70" t="s">
        <v>165</v>
      </c>
      <c r="B232" s="68">
        <v>95.768077307564099</v>
      </c>
      <c r="C232" s="68">
        <v>6.3278947368421097</v>
      </c>
      <c r="D232" s="68">
        <v>3.55368421052632</v>
      </c>
    </row>
    <row r="233" spans="1:4" x14ac:dyDescent="0.25">
      <c r="A233" s="70" t="s">
        <v>552</v>
      </c>
      <c r="B233" s="68">
        <v>95.768077307564099</v>
      </c>
      <c r="C233" s="68">
        <v>6.3278947368421097</v>
      </c>
      <c r="D233" s="68">
        <v>3.55368421052632</v>
      </c>
    </row>
    <row r="234" spans="1:4" x14ac:dyDescent="0.25">
      <c r="A234" s="70" t="s">
        <v>166</v>
      </c>
      <c r="B234" s="68">
        <v>98.456297583717401</v>
      </c>
      <c r="C234" s="68">
        <v>5.9338768744483001</v>
      </c>
      <c r="D234" s="68">
        <v>3.5984973122116002</v>
      </c>
    </row>
    <row r="235" spans="1:4" x14ac:dyDescent="0.25">
      <c r="A235" s="70" t="s">
        <v>167</v>
      </c>
      <c r="B235" s="68">
        <v>97.681077301992005</v>
      </c>
      <c r="C235" s="68">
        <v>5.8063151663151702</v>
      </c>
      <c r="D235" s="68">
        <v>3.6197477971763701</v>
      </c>
    </row>
    <row r="236" spans="1:4" x14ac:dyDescent="0.25">
      <c r="A236" s="70" t="s">
        <v>168</v>
      </c>
      <c r="B236" s="68">
        <v>99.231517865442797</v>
      </c>
      <c r="C236" s="68">
        <v>6.0614385825814399</v>
      </c>
      <c r="D236" s="68">
        <v>3.5772468272468299</v>
      </c>
    </row>
    <row r="237" spans="1:4" x14ac:dyDescent="0.25">
      <c r="A237" s="70" t="s">
        <v>374</v>
      </c>
      <c r="B237" s="68">
        <v>98.059551689528305</v>
      </c>
      <c r="C237" s="68">
        <v>6.3171428571428603</v>
      </c>
      <c r="D237" s="68">
        <v>3.5721428571428602</v>
      </c>
    </row>
    <row r="238" spans="1:4" x14ac:dyDescent="0.25">
      <c r="A238" s="70" t="s">
        <v>553</v>
      </c>
      <c r="B238" s="68">
        <v>98.059551689528305</v>
      </c>
      <c r="C238" s="68">
        <v>6.3171428571428603</v>
      </c>
      <c r="D238" s="68">
        <v>3.5721428571428602</v>
      </c>
    </row>
    <row r="239" spans="1:4" x14ac:dyDescent="0.25">
      <c r="A239" s="70" t="s">
        <v>169</v>
      </c>
      <c r="B239" s="68">
        <v>97.362398734530302</v>
      </c>
      <c r="C239" s="68">
        <v>5.8484553805626902</v>
      </c>
      <c r="D239" s="68">
        <v>3.58166480377895</v>
      </c>
    </row>
    <row r="240" spans="1:4" x14ac:dyDescent="0.25">
      <c r="A240" s="70" t="s">
        <v>170</v>
      </c>
      <c r="B240" s="68">
        <v>96.243083373195304</v>
      </c>
      <c r="C240" s="68">
        <v>5.6648490780109997</v>
      </c>
      <c r="D240" s="68">
        <v>3.5904833491538399</v>
      </c>
    </row>
    <row r="241" spans="1:4" x14ac:dyDescent="0.25">
      <c r="A241" s="70" t="s">
        <v>171</v>
      </c>
      <c r="B241" s="68">
        <v>98.4817140958653</v>
      </c>
      <c r="C241" s="68">
        <v>6.0320616831143701</v>
      </c>
      <c r="D241" s="68">
        <v>3.5728462584040601</v>
      </c>
    </row>
    <row r="242" spans="1:4" x14ac:dyDescent="0.25">
      <c r="A242" s="70" t="s">
        <v>172</v>
      </c>
      <c r="B242" s="68">
        <v>92.194275802255007</v>
      </c>
      <c r="C242" s="68">
        <v>6.03302135452551</v>
      </c>
      <c r="D242" s="68">
        <v>2.6953232457747802</v>
      </c>
    </row>
    <row r="243" spans="1:4" x14ac:dyDescent="0.25">
      <c r="A243" s="70" t="s">
        <v>554</v>
      </c>
      <c r="B243" s="68">
        <v>92.194275802255007</v>
      </c>
      <c r="C243" s="68">
        <v>6.03302135452551</v>
      </c>
      <c r="D243" s="68">
        <v>2.6953232457747802</v>
      </c>
    </row>
    <row r="244" spans="1:4" x14ac:dyDescent="0.25">
      <c r="A244" s="70" t="s">
        <v>173</v>
      </c>
      <c r="B244" s="68">
        <v>94.544928947151405</v>
      </c>
      <c r="C244" s="68">
        <v>6.0992915309606897</v>
      </c>
      <c r="D244" s="68">
        <v>2.7283678649654202</v>
      </c>
    </row>
    <row r="245" spans="1:4" x14ac:dyDescent="0.25">
      <c r="A245" s="70" t="s">
        <v>174</v>
      </c>
      <c r="B245" s="68">
        <v>94.351093873140499</v>
      </c>
      <c r="C245" s="68">
        <v>5.1096239605303202</v>
      </c>
      <c r="D245" s="68">
        <v>2.7368572440370702</v>
      </c>
    </row>
    <row r="246" spans="1:4" x14ac:dyDescent="0.25">
      <c r="A246" s="70" t="s">
        <v>175</v>
      </c>
      <c r="B246" s="68">
        <v>94.738764021162297</v>
      </c>
      <c r="C246" s="68">
        <v>7.08895910139106</v>
      </c>
      <c r="D246" s="68">
        <v>2.7198784858937799</v>
      </c>
    </row>
    <row r="247" spans="1:4" x14ac:dyDescent="0.25">
      <c r="A247" s="70" t="s">
        <v>375</v>
      </c>
      <c r="B247" s="68">
        <v>92.194275802255007</v>
      </c>
      <c r="C247" s="68">
        <v>6.03302135452551</v>
      </c>
      <c r="D247" s="68">
        <v>2.6953232457747802</v>
      </c>
    </row>
    <row r="248" spans="1:4" x14ac:dyDescent="0.25">
      <c r="A248" s="70" t="s">
        <v>555</v>
      </c>
      <c r="B248" s="68">
        <v>92.194275802255007</v>
      </c>
      <c r="C248" s="68">
        <v>6.03302135452551</v>
      </c>
      <c r="D248" s="68">
        <v>2.6953232457747802</v>
      </c>
    </row>
    <row r="249" spans="1:4" x14ac:dyDescent="0.25">
      <c r="A249" s="70" t="s">
        <v>176</v>
      </c>
      <c r="B249" s="68">
        <v>95.354454045280207</v>
      </c>
      <c r="C249" s="68">
        <v>5.5549768304619098</v>
      </c>
      <c r="D249" s="68">
        <v>2.73119491387255</v>
      </c>
    </row>
    <row r="250" spans="1:4" x14ac:dyDescent="0.25">
      <c r="A250" s="70" t="s">
        <v>177</v>
      </c>
      <c r="B250" s="68">
        <v>94.977139756807802</v>
      </c>
      <c r="C250" s="68">
        <v>5.0108616320775301</v>
      </c>
      <c r="D250" s="68">
        <v>2.7373748118298198</v>
      </c>
    </row>
    <row r="251" spans="1:4" x14ac:dyDescent="0.25">
      <c r="A251" s="70" t="s">
        <v>178</v>
      </c>
      <c r="B251" s="68">
        <v>95.731768333752498</v>
      </c>
      <c r="C251" s="68">
        <v>6.0990920288462798</v>
      </c>
      <c r="D251" s="68">
        <v>2.7250150159152899</v>
      </c>
    </row>
    <row r="252" spans="1:4" x14ac:dyDescent="0.25">
      <c r="A252" s="70" t="s">
        <v>179</v>
      </c>
      <c r="B252" s="68">
        <v>88.181421718273</v>
      </c>
      <c r="C252" s="68">
        <v>9.3319697148446199</v>
      </c>
      <c r="D252" s="68">
        <v>3.12962694449718</v>
      </c>
    </row>
    <row r="253" spans="1:4" x14ac:dyDescent="0.25">
      <c r="A253" s="70" t="s">
        <v>556</v>
      </c>
      <c r="B253" s="68">
        <v>88.181421718273</v>
      </c>
      <c r="C253" s="68">
        <v>9.3319697148446199</v>
      </c>
      <c r="D253" s="68">
        <v>3.12962694449718</v>
      </c>
    </row>
    <row r="254" spans="1:4" x14ac:dyDescent="0.25">
      <c r="A254" s="70" t="s">
        <v>180</v>
      </c>
      <c r="B254" s="68">
        <v>94.880441671695394</v>
      </c>
      <c r="C254" s="68">
        <v>7.7452219405877001</v>
      </c>
      <c r="D254" s="68">
        <v>3.4387314625361398</v>
      </c>
    </row>
    <row r="255" spans="1:4" x14ac:dyDescent="0.25">
      <c r="A255" s="70" t="s">
        <v>181</v>
      </c>
      <c r="B255" s="68">
        <v>94.242334046553694</v>
      </c>
      <c r="C255" s="68">
        <v>7.2575138793890401</v>
      </c>
      <c r="D255" s="68">
        <v>3.4638019182843598</v>
      </c>
    </row>
    <row r="256" spans="1:4" x14ac:dyDescent="0.25">
      <c r="A256" s="70" t="s">
        <v>182</v>
      </c>
      <c r="B256" s="68">
        <v>95.518549296836994</v>
      </c>
      <c r="C256" s="68">
        <v>8.2329300017863503</v>
      </c>
      <c r="D256" s="68">
        <v>3.4136610067879198</v>
      </c>
    </row>
    <row r="257" spans="1:4" x14ac:dyDescent="0.25">
      <c r="A257" s="70" t="s">
        <v>376</v>
      </c>
      <c r="B257" s="68">
        <v>88.181421718273</v>
      </c>
      <c r="C257" s="68">
        <v>9.3319697148446199</v>
      </c>
      <c r="D257" s="68">
        <v>3.12962694449718</v>
      </c>
    </row>
    <row r="258" spans="1:4" x14ac:dyDescent="0.25">
      <c r="A258" s="70" t="s">
        <v>557</v>
      </c>
      <c r="B258" s="68">
        <v>88.181421718273</v>
      </c>
      <c r="C258" s="68">
        <v>9.3319697148446199</v>
      </c>
      <c r="D258" s="68">
        <v>3.12962694449718</v>
      </c>
    </row>
    <row r="259" spans="1:4" x14ac:dyDescent="0.25">
      <c r="A259" s="70" t="s">
        <v>183</v>
      </c>
      <c r="B259" s="68">
        <v>95.9801692565552</v>
      </c>
      <c r="C259" s="68">
        <v>7.9533887174335502</v>
      </c>
      <c r="D259" s="68">
        <v>3.4772732857826298</v>
      </c>
    </row>
    <row r="260" spans="1:4" x14ac:dyDescent="0.25">
      <c r="A260" s="70" t="s">
        <v>184</v>
      </c>
      <c r="B260" s="68">
        <v>95.575781352985999</v>
      </c>
      <c r="C260" s="68">
        <v>7.5941210113618904</v>
      </c>
      <c r="D260" s="68">
        <v>3.50431108132531</v>
      </c>
    </row>
    <row r="261" spans="1:4" x14ac:dyDescent="0.25">
      <c r="A261" s="70" t="s">
        <v>185</v>
      </c>
      <c r="B261" s="68">
        <v>96.384557160124302</v>
      </c>
      <c r="C261" s="68">
        <v>8.3126564235052101</v>
      </c>
      <c r="D261" s="68">
        <v>3.4502354902399399</v>
      </c>
    </row>
    <row r="262" spans="1:4" x14ac:dyDescent="0.25">
      <c r="A262" s="70" t="s">
        <v>186</v>
      </c>
      <c r="B262" s="68">
        <v>94.680851063829806</v>
      </c>
      <c r="C262" s="68">
        <v>7.8403736057061204</v>
      </c>
      <c r="D262" s="68">
        <v>3.1645974799691898</v>
      </c>
    </row>
    <row r="263" spans="1:4" x14ac:dyDescent="0.25">
      <c r="A263" s="70" t="s">
        <v>558</v>
      </c>
      <c r="B263" s="68">
        <v>94.680851063829806</v>
      </c>
      <c r="C263" s="68">
        <v>7.8403736057061204</v>
      </c>
      <c r="D263" s="68">
        <v>3.1645974799691898</v>
      </c>
    </row>
    <row r="264" spans="1:4" x14ac:dyDescent="0.25">
      <c r="A264" s="70" t="s">
        <v>187</v>
      </c>
      <c r="B264" s="68">
        <v>97.259702986267698</v>
      </c>
      <c r="C264" s="68">
        <v>6.6079338686815801</v>
      </c>
      <c r="D264" s="68">
        <v>3.3892127947722899</v>
      </c>
    </row>
    <row r="265" spans="1:4" x14ac:dyDescent="0.25">
      <c r="A265" s="70" t="s">
        <v>188</v>
      </c>
      <c r="B265" s="68">
        <v>97.025803280560694</v>
      </c>
      <c r="C265" s="68">
        <v>5.7977953639336901</v>
      </c>
      <c r="D265" s="68">
        <v>3.4082080175957499</v>
      </c>
    </row>
    <row r="266" spans="1:4" x14ac:dyDescent="0.25">
      <c r="A266" s="70" t="s">
        <v>189</v>
      </c>
      <c r="B266" s="68">
        <v>97.493602691974701</v>
      </c>
      <c r="C266" s="68">
        <v>7.4180723734294602</v>
      </c>
      <c r="D266" s="68">
        <v>3.3702175719488401</v>
      </c>
    </row>
    <row r="267" spans="1:4" x14ac:dyDescent="0.25">
      <c r="A267" s="70" t="s">
        <v>686</v>
      </c>
      <c r="B267" s="68">
        <v>97.764592914115696</v>
      </c>
      <c r="C267" s="68">
        <v>4.3370943542979896</v>
      </c>
      <c r="D267" s="68">
        <v>3.8984966698061401</v>
      </c>
    </row>
    <row r="268" spans="1:4" x14ac:dyDescent="0.25">
      <c r="A268" s="70" t="s">
        <v>377</v>
      </c>
      <c r="B268" s="68">
        <v>94.680851063829806</v>
      </c>
      <c r="C268" s="68">
        <v>7.8403736057061204</v>
      </c>
      <c r="D268" s="68">
        <v>3.1645974799691898</v>
      </c>
    </row>
    <row r="269" spans="1:4" x14ac:dyDescent="0.25">
      <c r="A269" s="70" t="s">
        <v>559</v>
      </c>
      <c r="B269" s="68">
        <v>94.680851063829806</v>
      </c>
      <c r="C269" s="68">
        <v>7.8403736057061204</v>
      </c>
      <c r="D269" s="68">
        <v>3.1645974799691898</v>
      </c>
    </row>
    <row r="270" spans="1:4" x14ac:dyDescent="0.25">
      <c r="A270" s="70" t="s">
        <v>190</v>
      </c>
      <c r="B270" s="68">
        <v>97.606656848372197</v>
      </c>
      <c r="C270" s="68">
        <v>6.8771609275098502</v>
      </c>
      <c r="D270" s="68">
        <v>3.3799377463223301</v>
      </c>
    </row>
    <row r="271" spans="1:4" x14ac:dyDescent="0.25">
      <c r="A271" s="70" t="s">
        <v>191</v>
      </c>
      <c r="B271" s="68">
        <v>97.538362595078397</v>
      </c>
      <c r="C271" s="68">
        <v>6.0667552876106496</v>
      </c>
      <c r="D271" s="68">
        <v>3.3899493966085901</v>
      </c>
    </row>
    <row r="272" spans="1:4" x14ac:dyDescent="0.25">
      <c r="A272" s="70" t="s">
        <v>192</v>
      </c>
      <c r="B272" s="68">
        <v>97.674951101665897</v>
      </c>
      <c r="C272" s="68">
        <v>7.6875665674090401</v>
      </c>
      <c r="D272" s="68">
        <v>3.36992609603608</v>
      </c>
    </row>
    <row r="273" spans="1:4" x14ac:dyDescent="0.25">
      <c r="A273" s="70" t="s">
        <v>687</v>
      </c>
      <c r="B273" s="68">
        <v>98.210513643001903</v>
      </c>
      <c r="C273" s="68">
        <v>4.3404486399887396</v>
      </c>
      <c r="D273" s="68">
        <v>3.89484869977478</v>
      </c>
    </row>
    <row r="274" spans="1:4" x14ac:dyDescent="0.25">
      <c r="A274" s="70" t="s">
        <v>193</v>
      </c>
      <c r="B274" s="68">
        <v>89.221556886227503</v>
      </c>
      <c r="C274" s="68">
        <v>8.7993025758807697</v>
      </c>
      <c r="D274" s="68">
        <v>2.73072515681794</v>
      </c>
    </row>
    <row r="275" spans="1:4" x14ac:dyDescent="0.25">
      <c r="A275" s="70" t="s">
        <v>560</v>
      </c>
      <c r="B275" s="68">
        <v>89.221556886227503</v>
      </c>
      <c r="C275" s="68">
        <v>8.7993025758807697</v>
      </c>
      <c r="D275" s="68">
        <v>2.73072515681794</v>
      </c>
    </row>
    <row r="276" spans="1:4" x14ac:dyDescent="0.25">
      <c r="A276" s="70" t="s">
        <v>194</v>
      </c>
      <c r="B276" s="68">
        <v>90.277768622892296</v>
      </c>
      <c r="C276" s="68">
        <v>8.8978500071050295</v>
      </c>
      <c r="D276" s="68">
        <v>2.8106377424748401</v>
      </c>
    </row>
    <row r="277" spans="1:4" x14ac:dyDescent="0.25">
      <c r="A277" s="70" t="s">
        <v>195</v>
      </c>
      <c r="B277" s="68">
        <v>90.882636118094794</v>
      </c>
      <c r="C277" s="68">
        <v>8.0012671357486198</v>
      </c>
      <c r="D277" s="68">
        <v>2.8254027018832399</v>
      </c>
    </row>
    <row r="278" spans="1:4" x14ac:dyDescent="0.25">
      <c r="A278" s="70" t="s">
        <v>196</v>
      </c>
      <c r="B278" s="68">
        <v>89.672901127689897</v>
      </c>
      <c r="C278" s="68">
        <v>9.7944328784614303</v>
      </c>
      <c r="D278" s="68">
        <v>2.7958727830664398</v>
      </c>
    </row>
    <row r="279" spans="1:4" x14ac:dyDescent="0.25">
      <c r="A279" s="70" t="s">
        <v>378</v>
      </c>
      <c r="B279" s="68">
        <v>89.221556886227503</v>
      </c>
      <c r="C279" s="68">
        <v>8.7993025758807697</v>
      </c>
      <c r="D279" s="68">
        <v>2.73072515681794</v>
      </c>
    </row>
    <row r="280" spans="1:4" x14ac:dyDescent="0.25">
      <c r="A280" s="70" t="s">
        <v>561</v>
      </c>
      <c r="B280" s="68">
        <v>89.221556886227503</v>
      </c>
      <c r="C280" s="68">
        <v>8.7993025758807697</v>
      </c>
      <c r="D280" s="68">
        <v>2.73072515681794</v>
      </c>
    </row>
    <row r="281" spans="1:4" x14ac:dyDescent="0.25">
      <c r="A281" s="70" t="s">
        <v>197</v>
      </c>
      <c r="B281" s="68">
        <v>92.772488468005903</v>
      </c>
      <c r="C281" s="68">
        <v>8.4357205177553993</v>
      </c>
      <c r="D281" s="68">
        <v>2.9003286171538698</v>
      </c>
    </row>
    <row r="282" spans="1:4" x14ac:dyDescent="0.25">
      <c r="A282" s="70" t="s">
        <v>198</v>
      </c>
      <c r="B282" s="68">
        <v>92.693972289702302</v>
      </c>
      <c r="C282" s="68">
        <v>7.6985891939868498</v>
      </c>
      <c r="D282" s="68">
        <v>2.9100206019863899</v>
      </c>
    </row>
    <row r="283" spans="1:4" x14ac:dyDescent="0.25">
      <c r="A283" s="70" t="s">
        <v>199</v>
      </c>
      <c r="B283" s="68">
        <v>92.851004646309406</v>
      </c>
      <c r="C283" s="68">
        <v>9.17285184152394</v>
      </c>
      <c r="D283" s="68">
        <v>2.8906366323213599</v>
      </c>
    </row>
    <row r="284" spans="1:4" x14ac:dyDescent="0.25">
      <c r="A284" s="70" t="s">
        <v>200</v>
      </c>
      <c r="B284" s="68">
        <v>90</v>
      </c>
      <c r="C284" s="68">
        <v>7.3330000000000002</v>
      </c>
      <c r="D284" s="68">
        <v>2.57</v>
      </c>
    </row>
    <row r="285" spans="1:4" x14ac:dyDescent="0.25">
      <c r="A285" s="70" t="s">
        <v>562</v>
      </c>
      <c r="B285" s="68">
        <v>90</v>
      </c>
      <c r="C285" s="68">
        <v>7.3330000000000002</v>
      </c>
      <c r="D285" s="68">
        <v>2.57</v>
      </c>
    </row>
    <row r="286" spans="1:4" x14ac:dyDescent="0.25">
      <c r="A286" s="70" t="s">
        <v>201</v>
      </c>
      <c r="B286" s="68">
        <v>93.816417210986202</v>
      </c>
      <c r="C286" s="68">
        <v>7.4702181011265196</v>
      </c>
      <c r="D286" s="68">
        <v>2.6478083702566799</v>
      </c>
    </row>
    <row r="287" spans="1:4" x14ac:dyDescent="0.25">
      <c r="A287" s="70" t="s">
        <v>202</v>
      </c>
      <c r="B287" s="68">
        <v>93.525934767263706</v>
      </c>
      <c r="C287" s="68">
        <v>7.4453661251242798</v>
      </c>
      <c r="D287" s="68">
        <v>2.6444039413859999</v>
      </c>
    </row>
    <row r="288" spans="1:4" x14ac:dyDescent="0.25">
      <c r="A288" s="70" t="s">
        <v>203</v>
      </c>
      <c r="B288" s="68">
        <v>94.106899654708698</v>
      </c>
      <c r="C288" s="68">
        <v>7.4950700771287604</v>
      </c>
      <c r="D288" s="68">
        <v>2.6512127991273502</v>
      </c>
    </row>
    <row r="289" spans="1:4" x14ac:dyDescent="0.25">
      <c r="A289" s="70" t="s">
        <v>379</v>
      </c>
      <c r="B289" s="68">
        <v>90</v>
      </c>
      <c r="C289" s="68">
        <v>7.3330000000000002</v>
      </c>
      <c r="D289" s="68">
        <v>2.57</v>
      </c>
    </row>
    <row r="290" spans="1:4" x14ac:dyDescent="0.25">
      <c r="A290" s="70" t="s">
        <v>563</v>
      </c>
      <c r="B290" s="68">
        <v>90</v>
      </c>
      <c r="C290" s="68">
        <v>7.3330000000000002</v>
      </c>
      <c r="D290" s="68">
        <v>2.57</v>
      </c>
    </row>
    <row r="291" spans="1:4" x14ac:dyDescent="0.25">
      <c r="A291" s="70" t="s">
        <v>204</v>
      </c>
      <c r="B291" s="68">
        <v>96.739130434782595</v>
      </c>
      <c r="C291" s="68">
        <v>4.87</v>
      </c>
      <c r="D291" s="68">
        <v>2.69</v>
      </c>
    </row>
    <row r="292" spans="1:4" x14ac:dyDescent="0.25">
      <c r="A292" s="70" t="s">
        <v>205</v>
      </c>
      <c r="B292" s="68">
        <v>96.739130434782595</v>
      </c>
      <c r="C292" s="68">
        <v>4.87</v>
      </c>
      <c r="D292" s="68">
        <v>2.69</v>
      </c>
    </row>
    <row r="293" spans="1:4" x14ac:dyDescent="0.25">
      <c r="A293" s="70" t="s">
        <v>206</v>
      </c>
      <c r="B293" s="68">
        <v>96.9072164948454</v>
      </c>
      <c r="C293" s="68">
        <v>8.2219999999999995</v>
      </c>
      <c r="D293" s="68">
        <v>3.25</v>
      </c>
    </row>
    <row r="294" spans="1:4" x14ac:dyDescent="0.25">
      <c r="A294" s="70" t="s">
        <v>564</v>
      </c>
      <c r="B294" s="68">
        <v>96.9072164948454</v>
      </c>
      <c r="C294" s="68">
        <v>8.2219999999999995</v>
      </c>
      <c r="D294" s="68">
        <v>3.25</v>
      </c>
    </row>
    <row r="295" spans="1:4" x14ac:dyDescent="0.25">
      <c r="A295" s="70" t="s">
        <v>207</v>
      </c>
      <c r="B295" s="68">
        <v>96.812531273784202</v>
      </c>
      <c r="C295" s="68">
        <v>7.0580912115200798</v>
      </c>
      <c r="D295" s="68">
        <v>3.4244182280655999</v>
      </c>
    </row>
    <row r="296" spans="1:4" x14ac:dyDescent="0.25">
      <c r="A296" s="70" t="s">
        <v>208</v>
      </c>
      <c r="B296" s="68">
        <v>96.928186721790496</v>
      </c>
      <c r="C296" s="68">
        <v>6.7225536112478599</v>
      </c>
      <c r="D296" s="68">
        <v>3.4359003262768701</v>
      </c>
    </row>
    <row r="297" spans="1:4" x14ac:dyDescent="0.25">
      <c r="A297" s="70" t="s">
        <v>209</v>
      </c>
      <c r="B297" s="68">
        <v>96.696875825777894</v>
      </c>
      <c r="C297" s="68">
        <v>7.3936288117922997</v>
      </c>
      <c r="D297" s="68">
        <v>3.4129361298543301</v>
      </c>
    </row>
    <row r="298" spans="1:4" x14ac:dyDescent="0.25">
      <c r="A298" s="70" t="s">
        <v>380</v>
      </c>
      <c r="B298" s="68">
        <v>96.9072164948454</v>
      </c>
      <c r="C298" s="68">
        <v>8.2219999999999995</v>
      </c>
      <c r="D298" s="68">
        <v>3.25</v>
      </c>
    </row>
    <row r="299" spans="1:4" x14ac:dyDescent="0.25">
      <c r="A299" s="70" t="s">
        <v>565</v>
      </c>
      <c r="B299" s="68">
        <v>96.9072164948454</v>
      </c>
      <c r="C299" s="68">
        <v>8.2219999999999995</v>
      </c>
      <c r="D299" s="68">
        <v>3.25</v>
      </c>
    </row>
    <row r="300" spans="1:4" x14ac:dyDescent="0.25">
      <c r="A300" s="70" t="s">
        <v>210</v>
      </c>
      <c r="B300" s="68">
        <v>99.263351749539595</v>
      </c>
      <c r="C300" s="68">
        <v>5.55795833333333</v>
      </c>
      <c r="D300" s="68">
        <v>3.6426501736111101</v>
      </c>
    </row>
    <row r="301" spans="1:4" x14ac:dyDescent="0.25">
      <c r="A301" s="70" t="s">
        <v>566</v>
      </c>
      <c r="B301" s="68">
        <v>99.263351749539595</v>
      </c>
      <c r="C301" s="68">
        <v>5.55795833333333</v>
      </c>
      <c r="D301" s="68">
        <v>3.6426501736111101</v>
      </c>
    </row>
    <row r="302" spans="1:4" x14ac:dyDescent="0.25">
      <c r="A302" s="70" t="s">
        <v>211</v>
      </c>
      <c r="B302" s="68">
        <v>99.080666441425194</v>
      </c>
      <c r="C302" s="68">
        <v>5.5773810564081003</v>
      </c>
      <c r="D302" s="68">
        <v>3.6137653589859502</v>
      </c>
    </row>
    <row r="303" spans="1:4" x14ac:dyDescent="0.25">
      <c r="A303" s="70" t="s">
        <v>212</v>
      </c>
      <c r="B303" s="68">
        <v>99.129050827750007</v>
      </c>
      <c r="C303" s="68">
        <v>5.5942102338180097</v>
      </c>
      <c r="D303" s="68">
        <v>3.6296412211443498</v>
      </c>
    </row>
    <row r="304" spans="1:4" x14ac:dyDescent="0.25">
      <c r="A304" s="70" t="s">
        <v>213</v>
      </c>
      <c r="B304" s="68">
        <v>99.032282055100396</v>
      </c>
      <c r="C304" s="68">
        <v>5.5605518789981803</v>
      </c>
      <c r="D304" s="68">
        <v>3.5978894968275501</v>
      </c>
    </row>
    <row r="305" spans="1:4" x14ac:dyDescent="0.25">
      <c r="A305" s="70" t="s">
        <v>381</v>
      </c>
      <c r="B305" s="68">
        <v>99.263351749539595</v>
      </c>
      <c r="C305" s="68">
        <v>5.55795833333333</v>
      </c>
      <c r="D305" s="68">
        <v>3.6426501736111101</v>
      </c>
    </row>
    <row r="306" spans="1:4" x14ac:dyDescent="0.25">
      <c r="A306" s="70" t="s">
        <v>567</v>
      </c>
      <c r="B306" s="68">
        <v>99.263351749539595</v>
      </c>
      <c r="C306" s="68">
        <v>5.55795833333333</v>
      </c>
      <c r="D306" s="68">
        <v>3.6426501736111101</v>
      </c>
    </row>
    <row r="307" spans="1:4" x14ac:dyDescent="0.25">
      <c r="A307" s="70" t="s">
        <v>214</v>
      </c>
      <c r="B307" s="68">
        <v>99.274365929039504</v>
      </c>
      <c r="C307" s="68">
        <v>5.5372365210643597</v>
      </c>
      <c r="D307" s="68">
        <v>3.6181592281222699</v>
      </c>
    </row>
    <row r="308" spans="1:4" x14ac:dyDescent="0.25">
      <c r="A308" s="70" t="s">
        <v>215</v>
      </c>
      <c r="B308" s="68">
        <v>99.036497017028097</v>
      </c>
      <c r="C308" s="68">
        <v>5.58409371793093</v>
      </c>
      <c r="D308" s="68">
        <v>3.6209784307632198</v>
      </c>
    </row>
    <row r="309" spans="1:4" x14ac:dyDescent="0.25">
      <c r="A309" s="70" t="s">
        <v>216</v>
      </c>
      <c r="B309" s="68">
        <v>99.512234841050997</v>
      </c>
      <c r="C309" s="68">
        <v>5.4903793241977903</v>
      </c>
      <c r="D309" s="68">
        <v>3.6153400254813199</v>
      </c>
    </row>
    <row r="310" spans="1:4" x14ac:dyDescent="0.25">
      <c r="A310" s="70" t="s">
        <v>217</v>
      </c>
      <c r="B310" s="68">
        <v>97.632058287795999</v>
      </c>
      <c r="C310" s="68">
        <v>3.97086805555556</v>
      </c>
      <c r="D310" s="68">
        <v>3.6613897569444398</v>
      </c>
    </row>
    <row r="311" spans="1:4" x14ac:dyDescent="0.25">
      <c r="A311" s="70" t="s">
        <v>568</v>
      </c>
      <c r="B311" s="68">
        <v>97.632058287795999</v>
      </c>
      <c r="C311" s="68">
        <v>3.97086805555556</v>
      </c>
      <c r="D311" s="68">
        <v>3.6613897569444398</v>
      </c>
    </row>
    <row r="312" spans="1:4" x14ac:dyDescent="0.25">
      <c r="A312" s="70" t="s">
        <v>218</v>
      </c>
      <c r="B312" s="68">
        <v>98.970720336678497</v>
      </c>
      <c r="C312" s="68">
        <v>3.73555969209727</v>
      </c>
      <c r="D312" s="68">
        <v>3.7290868111459199</v>
      </c>
    </row>
    <row r="313" spans="1:4" x14ac:dyDescent="0.25">
      <c r="A313" s="70" t="s">
        <v>219</v>
      </c>
      <c r="B313" s="68">
        <v>98.603841465218494</v>
      </c>
      <c r="C313" s="68">
        <v>3.5194412550342</v>
      </c>
      <c r="D313" s="68">
        <v>3.7330227086724102</v>
      </c>
    </row>
    <row r="314" spans="1:4" x14ac:dyDescent="0.25">
      <c r="A314" s="70" t="s">
        <v>220</v>
      </c>
      <c r="B314" s="68">
        <v>99.337599208138599</v>
      </c>
      <c r="C314" s="68">
        <v>3.95167812916034</v>
      </c>
      <c r="D314" s="68">
        <v>3.7251509136194199</v>
      </c>
    </row>
    <row r="315" spans="1:4" x14ac:dyDescent="0.25">
      <c r="A315" s="70" t="s">
        <v>382</v>
      </c>
      <c r="B315" s="68">
        <v>97.632058287795999</v>
      </c>
      <c r="C315" s="68">
        <v>3.97086805555556</v>
      </c>
      <c r="D315" s="68">
        <v>3.6613897569444398</v>
      </c>
    </row>
    <row r="316" spans="1:4" x14ac:dyDescent="0.25">
      <c r="A316" s="70" t="s">
        <v>569</v>
      </c>
      <c r="B316" s="68">
        <v>97.632058287795999</v>
      </c>
      <c r="C316" s="68">
        <v>3.97086805555556</v>
      </c>
      <c r="D316" s="68">
        <v>3.6613897569444398</v>
      </c>
    </row>
    <row r="317" spans="1:4" x14ac:dyDescent="0.25">
      <c r="A317" s="70" t="s">
        <v>221</v>
      </c>
      <c r="B317" s="68">
        <v>99.514623222877404</v>
      </c>
      <c r="C317" s="68">
        <v>3.82739957865456</v>
      </c>
      <c r="D317" s="68">
        <v>3.70985842769828</v>
      </c>
    </row>
    <row r="318" spans="1:4" x14ac:dyDescent="0.25">
      <c r="A318" s="70" t="s">
        <v>222</v>
      </c>
      <c r="B318" s="68">
        <v>99.299046472250396</v>
      </c>
      <c r="C318" s="68">
        <v>3.7327581664326299</v>
      </c>
      <c r="D318" s="68">
        <v>3.6903271024641402</v>
      </c>
    </row>
    <row r="319" spans="1:4" x14ac:dyDescent="0.25">
      <c r="A319" s="70" t="s">
        <v>223</v>
      </c>
      <c r="B319" s="68">
        <v>99.730199973504398</v>
      </c>
      <c r="C319" s="68">
        <v>3.9220409908764799</v>
      </c>
      <c r="D319" s="68">
        <v>3.7293897529324198</v>
      </c>
    </row>
    <row r="320" spans="1:4" x14ac:dyDescent="0.25">
      <c r="A320" s="70" t="s">
        <v>725</v>
      </c>
      <c r="B320" s="68">
        <v>96.367112810707496</v>
      </c>
      <c r="C320" s="68">
        <v>5.3179999999999996</v>
      </c>
      <c r="D320" s="68">
        <v>3.1739999999999999</v>
      </c>
    </row>
    <row r="321" spans="1:4" x14ac:dyDescent="0.25">
      <c r="A321" s="70" t="s">
        <v>726</v>
      </c>
      <c r="B321" s="68">
        <v>96.367112810707496</v>
      </c>
      <c r="C321" s="68">
        <v>5.3179999999999996</v>
      </c>
      <c r="D321" s="68">
        <v>3.1739999999999999</v>
      </c>
    </row>
    <row r="322" spans="1:4" x14ac:dyDescent="0.25">
      <c r="A322" s="70" t="s">
        <v>727</v>
      </c>
      <c r="B322" s="68">
        <v>98.906875568172794</v>
      </c>
      <c r="C322" s="68">
        <v>5.0196833185458702</v>
      </c>
      <c r="D322" s="68">
        <v>3.2145305842646601</v>
      </c>
    </row>
    <row r="323" spans="1:4" x14ac:dyDescent="0.25">
      <c r="A323" s="70" t="s">
        <v>728</v>
      </c>
      <c r="B323" s="68">
        <v>98.465292273744694</v>
      </c>
      <c r="C323" s="68">
        <v>4.7798653725029103</v>
      </c>
      <c r="D323" s="68">
        <v>3.2128790987545202</v>
      </c>
    </row>
    <row r="324" spans="1:4" x14ac:dyDescent="0.25">
      <c r="A324" s="70" t="s">
        <v>729</v>
      </c>
      <c r="B324" s="68">
        <v>99.348458862600907</v>
      </c>
      <c r="C324" s="68">
        <v>5.2595012645888399</v>
      </c>
      <c r="D324" s="68">
        <v>3.2161820697748</v>
      </c>
    </row>
    <row r="325" spans="1:4" x14ac:dyDescent="0.25">
      <c r="A325" s="70" t="s">
        <v>730</v>
      </c>
      <c r="B325" s="68">
        <v>96.367112810707496</v>
      </c>
      <c r="C325" s="68">
        <v>5.3179999999999996</v>
      </c>
      <c r="D325" s="68">
        <v>3.1739999999999999</v>
      </c>
    </row>
    <row r="326" spans="1:4" x14ac:dyDescent="0.25">
      <c r="A326" s="70" t="s">
        <v>731</v>
      </c>
      <c r="B326" s="68">
        <v>96.367112810707496</v>
      </c>
      <c r="C326" s="68">
        <v>5.3179999999999996</v>
      </c>
      <c r="D326" s="68">
        <v>3.1739999999999999</v>
      </c>
    </row>
    <row r="327" spans="1:4" x14ac:dyDescent="0.25">
      <c r="A327" s="70" t="s">
        <v>732</v>
      </c>
      <c r="B327" s="68">
        <v>99.031234145993196</v>
      </c>
      <c r="C327" s="68">
        <v>4.9047745407550698</v>
      </c>
      <c r="D327" s="68">
        <v>3.2215932799965001</v>
      </c>
    </row>
    <row r="328" spans="1:4" x14ac:dyDescent="0.25">
      <c r="A328" s="70" t="s">
        <v>733</v>
      </c>
      <c r="B328" s="68">
        <v>98.848727783307993</v>
      </c>
      <c r="C328" s="68">
        <v>4.68346833626478</v>
      </c>
      <c r="D328" s="68">
        <v>3.21505267712261</v>
      </c>
    </row>
    <row r="329" spans="1:4" x14ac:dyDescent="0.25">
      <c r="A329" s="70" t="s">
        <v>734</v>
      </c>
      <c r="B329" s="68">
        <v>99.213740508678498</v>
      </c>
      <c r="C329" s="68">
        <v>5.1260807452453596</v>
      </c>
      <c r="D329" s="68">
        <v>3.2281338828703801</v>
      </c>
    </row>
    <row r="330" spans="1:4" x14ac:dyDescent="0.25">
      <c r="A330" s="70" t="s">
        <v>224</v>
      </c>
      <c r="B330" s="68">
        <v>98.3576642335766</v>
      </c>
      <c r="C330" s="68">
        <v>6.7675144927536204</v>
      </c>
      <c r="D330" s="68">
        <v>3.47277173913043</v>
      </c>
    </row>
    <row r="331" spans="1:4" x14ac:dyDescent="0.25">
      <c r="A331" s="70" t="s">
        <v>570</v>
      </c>
      <c r="B331" s="68">
        <v>98.3576642335766</v>
      </c>
      <c r="C331" s="68">
        <v>6.7675144927536204</v>
      </c>
      <c r="D331" s="68">
        <v>3.47277173913043</v>
      </c>
    </row>
    <row r="332" spans="1:4" x14ac:dyDescent="0.25">
      <c r="A332" s="70" t="s">
        <v>225</v>
      </c>
      <c r="B332" s="68">
        <v>98.105873934111301</v>
      </c>
      <c r="C332" s="68">
        <v>6.0653754197966698</v>
      </c>
      <c r="D332" s="68">
        <v>3.6727427032114699</v>
      </c>
    </row>
    <row r="333" spans="1:4" x14ac:dyDescent="0.25">
      <c r="A333" s="70" t="s">
        <v>226</v>
      </c>
      <c r="B333" s="68">
        <v>98.705863892200895</v>
      </c>
      <c r="C333" s="68">
        <v>5.6394049746141599</v>
      </c>
      <c r="D333" s="68">
        <v>3.6750947494722199</v>
      </c>
    </row>
    <row r="334" spans="1:4" x14ac:dyDescent="0.25">
      <c r="A334" s="70" t="s">
        <v>227</v>
      </c>
      <c r="B334" s="68">
        <v>97.505883976021707</v>
      </c>
      <c r="C334" s="68">
        <v>6.49134586497917</v>
      </c>
      <c r="D334" s="68">
        <v>3.6703906569507199</v>
      </c>
    </row>
    <row r="335" spans="1:4" x14ac:dyDescent="0.25">
      <c r="A335" s="70" t="s">
        <v>383</v>
      </c>
      <c r="B335" s="68">
        <v>98.3576642335766</v>
      </c>
      <c r="C335" s="68">
        <v>6.7675144927536204</v>
      </c>
      <c r="D335" s="68">
        <v>3.47277173913043</v>
      </c>
    </row>
    <row r="336" spans="1:4" x14ac:dyDescent="0.25">
      <c r="A336" s="70" t="s">
        <v>571</v>
      </c>
      <c r="B336" s="68">
        <v>98.3576642335766</v>
      </c>
      <c r="C336" s="68">
        <v>6.7675144927536204</v>
      </c>
      <c r="D336" s="68">
        <v>3.47277173913043</v>
      </c>
    </row>
    <row r="337" spans="1:4" x14ac:dyDescent="0.25">
      <c r="A337" s="70" t="s">
        <v>228</v>
      </c>
      <c r="B337" s="68">
        <v>99.361522178357902</v>
      </c>
      <c r="C337" s="68">
        <v>5.9779516314489403</v>
      </c>
      <c r="D337" s="68">
        <v>3.6479445093776</v>
      </c>
    </row>
    <row r="338" spans="1:4" x14ac:dyDescent="0.25">
      <c r="A338" s="70" t="s">
        <v>229</v>
      </c>
      <c r="B338" s="68">
        <v>99.129075531547002</v>
      </c>
      <c r="C338" s="68">
        <v>5.6293814541948102</v>
      </c>
      <c r="D338" s="68">
        <v>3.6326354046963099</v>
      </c>
    </row>
    <row r="339" spans="1:4" x14ac:dyDescent="0.25">
      <c r="A339" s="70" t="s">
        <v>230</v>
      </c>
      <c r="B339" s="68">
        <v>99.593968825168702</v>
      </c>
      <c r="C339" s="68">
        <v>6.3265218087030703</v>
      </c>
      <c r="D339" s="68">
        <v>3.6632536140588798</v>
      </c>
    </row>
    <row r="340" spans="1:4" x14ac:dyDescent="0.25">
      <c r="A340" s="70" t="s">
        <v>661</v>
      </c>
      <c r="B340" s="68">
        <v>89.868345735546697</v>
      </c>
      <c r="C340" s="68">
        <v>5.4657778178944296</v>
      </c>
      <c r="D340" s="68">
        <v>3.1863477089825798</v>
      </c>
    </row>
    <row r="341" spans="1:4" x14ac:dyDescent="0.25">
      <c r="A341" s="70" t="s">
        <v>662</v>
      </c>
      <c r="B341" s="68">
        <v>89.868345735546697</v>
      </c>
      <c r="C341" s="68">
        <v>5.4657778178944296</v>
      </c>
      <c r="D341" s="68">
        <v>3.1863477089825798</v>
      </c>
    </row>
    <row r="342" spans="1:4" x14ac:dyDescent="0.25">
      <c r="A342" s="70" t="s">
        <v>663</v>
      </c>
      <c r="B342" s="68">
        <v>97.795212483377298</v>
      </c>
      <c r="C342" s="68">
        <v>6.0123593705443703</v>
      </c>
      <c r="D342" s="68">
        <v>3.1064594911738199</v>
      </c>
    </row>
    <row r="343" spans="1:4" x14ac:dyDescent="0.25">
      <c r="A343" s="70" t="s">
        <v>664</v>
      </c>
      <c r="B343" s="68">
        <v>98.543576372716004</v>
      </c>
      <c r="C343" s="68">
        <v>5.8375422846269798</v>
      </c>
      <c r="D343" s="68">
        <v>3.1317122350439002</v>
      </c>
    </row>
    <row r="344" spans="1:4" x14ac:dyDescent="0.25">
      <c r="A344" s="70" t="s">
        <v>665</v>
      </c>
      <c r="B344" s="68">
        <v>97.046848594038593</v>
      </c>
      <c r="C344" s="68">
        <v>6.18717645646176</v>
      </c>
      <c r="D344" s="68">
        <v>3.0812067473037401</v>
      </c>
    </row>
    <row r="345" spans="1:4" x14ac:dyDescent="0.25">
      <c r="A345" s="70" t="s">
        <v>666</v>
      </c>
      <c r="B345" s="68">
        <v>89.868345735546697</v>
      </c>
      <c r="C345" s="68">
        <v>5.4657778178944296</v>
      </c>
      <c r="D345" s="68">
        <v>3.1863477089825798</v>
      </c>
    </row>
    <row r="346" spans="1:4" x14ac:dyDescent="0.25">
      <c r="A346" s="70" t="s">
        <v>667</v>
      </c>
      <c r="B346" s="68">
        <v>89.868345735546697</v>
      </c>
      <c r="C346" s="68">
        <v>5.4657778178944296</v>
      </c>
      <c r="D346" s="68">
        <v>3.1863477089825798</v>
      </c>
    </row>
    <row r="347" spans="1:4" x14ac:dyDescent="0.25">
      <c r="A347" s="70" t="s">
        <v>668</v>
      </c>
      <c r="B347" s="68">
        <v>98.165223469697096</v>
      </c>
      <c r="C347" s="68">
        <v>5.3260317071792</v>
      </c>
      <c r="D347" s="68">
        <v>3.2908241569633501</v>
      </c>
    </row>
    <row r="348" spans="1:4" x14ac:dyDescent="0.25">
      <c r="A348" s="70" t="s">
        <v>669</v>
      </c>
      <c r="B348" s="68">
        <v>98.785781713207697</v>
      </c>
      <c r="C348" s="68">
        <v>4.7509230249828303</v>
      </c>
      <c r="D348" s="68">
        <v>3.3313760624157398</v>
      </c>
    </row>
    <row r="349" spans="1:4" x14ac:dyDescent="0.25">
      <c r="A349" s="70" t="s">
        <v>670</v>
      </c>
      <c r="B349" s="68">
        <v>97.544665226186396</v>
      </c>
      <c r="C349" s="68">
        <v>5.9011403893755698</v>
      </c>
      <c r="D349" s="68">
        <v>3.2502722515109501</v>
      </c>
    </row>
    <row r="350" spans="1:4" x14ac:dyDescent="0.25">
      <c r="A350" s="70" t="s">
        <v>671</v>
      </c>
      <c r="B350" s="68">
        <v>81.838565022421506</v>
      </c>
      <c r="C350" s="68">
        <v>6.7079493298250101</v>
      </c>
      <c r="D350" s="68">
        <v>2.5163069051854801</v>
      </c>
    </row>
    <row r="351" spans="1:4" x14ac:dyDescent="0.25">
      <c r="A351" s="70" t="s">
        <v>672</v>
      </c>
      <c r="B351" s="68">
        <v>81.838565022421506</v>
      </c>
      <c r="C351" s="68">
        <v>6.7079493298250101</v>
      </c>
      <c r="D351" s="68">
        <v>2.5163069051854801</v>
      </c>
    </row>
    <row r="352" spans="1:4" x14ac:dyDescent="0.25">
      <c r="A352" s="70" t="s">
        <v>673</v>
      </c>
      <c r="B352" s="68">
        <v>90.962196746499203</v>
      </c>
      <c r="C352" s="68">
        <v>6.9875765746105802</v>
      </c>
      <c r="D352" s="68">
        <v>2.6861332373362599</v>
      </c>
    </row>
    <row r="353" spans="1:4" x14ac:dyDescent="0.25">
      <c r="A353" s="70" t="s">
        <v>674</v>
      </c>
      <c r="B353" s="68">
        <v>92.609946552628699</v>
      </c>
      <c r="C353" s="68">
        <v>7.1301620205368401</v>
      </c>
      <c r="D353" s="68">
        <v>2.75032395009683</v>
      </c>
    </row>
    <row r="354" spans="1:4" x14ac:dyDescent="0.25">
      <c r="A354" s="70" t="s">
        <v>675</v>
      </c>
      <c r="B354" s="68">
        <v>89.314446940369706</v>
      </c>
      <c r="C354" s="68">
        <v>6.8449911286843204</v>
      </c>
      <c r="D354" s="68">
        <v>2.6219425245757</v>
      </c>
    </row>
    <row r="355" spans="1:4" x14ac:dyDescent="0.25">
      <c r="A355" s="70" t="s">
        <v>676</v>
      </c>
      <c r="B355" s="68">
        <v>81.838565022421506</v>
      </c>
      <c r="C355" s="68">
        <v>6.7079493298250101</v>
      </c>
      <c r="D355" s="68">
        <v>2.5163069051854801</v>
      </c>
    </row>
    <row r="356" spans="1:4" x14ac:dyDescent="0.25">
      <c r="A356" s="70" t="s">
        <v>677</v>
      </c>
      <c r="B356" s="68">
        <v>81.838565022421506</v>
      </c>
      <c r="C356" s="68">
        <v>6.7079493298250101</v>
      </c>
      <c r="D356" s="68">
        <v>2.5163069051854801</v>
      </c>
    </row>
    <row r="357" spans="1:4" x14ac:dyDescent="0.25">
      <c r="A357" s="70" t="s">
        <v>678</v>
      </c>
      <c r="B357" s="68">
        <v>94.784862970574594</v>
      </c>
      <c r="C357" s="68">
        <v>5.8286573230835996</v>
      </c>
      <c r="D357" s="68">
        <v>2.81505949590299</v>
      </c>
    </row>
    <row r="358" spans="1:4" x14ac:dyDescent="0.25">
      <c r="A358" s="70" t="s">
        <v>679</v>
      </c>
      <c r="B358" s="68">
        <v>95.981463435202997</v>
      </c>
      <c r="C358" s="68">
        <v>5.3312052545781698</v>
      </c>
      <c r="D358" s="68">
        <v>2.8489581031791702</v>
      </c>
    </row>
    <row r="359" spans="1:4" x14ac:dyDescent="0.25">
      <c r="A359" s="70" t="s">
        <v>680</v>
      </c>
      <c r="B359" s="68">
        <v>93.588262505946204</v>
      </c>
      <c r="C359" s="68">
        <v>6.3261093915890303</v>
      </c>
      <c r="D359" s="68">
        <v>2.7811608886268102</v>
      </c>
    </row>
    <row r="360" spans="1:4" x14ac:dyDescent="0.25">
      <c r="A360" s="70" t="s">
        <v>231</v>
      </c>
      <c r="B360" s="68">
        <v>96.4586846543002</v>
      </c>
      <c r="C360" s="68">
        <v>5.0044545285842004</v>
      </c>
      <c r="D360" s="68">
        <v>3.5190350588630199</v>
      </c>
    </row>
    <row r="361" spans="1:4" x14ac:dyDescent="0.25">
      <c r="A361" s="70" t="s">
        <v>572</v>
      </c>
      <c r="B361" s="68">
        <v>96.4586846543002</v>
      </c>
      <c r="C361" s="68">
        <v>5.0044545285842004</v>
      </c>
      <c r="D361" s="68">
        <v>3.5190350588630199</v>
      </c>
    </row>
    <row r="362" spans="1:4" x14ac:dyDescent="0.25">
      <c r="A362" s="70" t="s">
        <v>735</v>
      </c>
      <c r="B362" s="68">
        <v>96.259703599153099</v>
      </c>
      <c r="C362" s="68">
        <v>3</v>
      </c>
      <c r="D362" s="68">
        <v>3.4843955516815202</v>
      </c>
    </row>
    <row r="363" spans="1:4" x14ac:dyDescent="0.25">
      <c r="A363" s="70" t="s">
        <v>232</v>
      </c>
      <c r="B363" s="68">
        <v>99.338153757060695</v>
      </c>
      <c r="C363" s="68">
        <v>4.4079759250848403</v>
      </c>
      <c r="D363" s="68">
        <v>3.5580408245208299</v>
      </c>
    </row>
    <row r="364" spans="1:4" x14ac:dyDescent="0.25">
      <c r="A364" s="70" t="s">
        <v>233</v>
      </c>
      <c r="B364" s="68">
        <v>98.7727627568744</v>
      </c>
      <c r="C364" s="68">
        <v>3.3771927046086301</v>
      </c>
      <c r="D364" s="68">
        <v>3.5513404716863999</v>
      </c>
    </row>
    <row r="365" spans="1:4" x14ac:dyDescent="0.25">
      <c r="A365" s="70" t="s">
        <v>234</v>
      </c>
      <c r="B365" s="68">
        <v>99.903544757247005</v>
      </c>
      <c r="C365" s="68">
        <v>5.4387591455610602</v>
      </c>
      <c r="D365" s="68">
        <v>3.5647411773552702</v>
      </c>
    </row>
    <row r="366" spans="1:4" x14ac:dyDescent="0.25">
      <c r="A366" s="70" t="s">
        <v>736</v>
      </c>
      <c r="B366" s="68">
        <v>99.742599477756698</v>
      </c>
      <c r="C366" s="68">
        <v>2.9477167779279601</v>
      </c>
      <c r="D366" s="68">
        <v>3.9105435975227998</v>
      </c>
    </row>
    <row r="367" spans="1:4" x14ac:dyDescent="0.25">
      <c r="A367" s="70" t="s">
        <v>384</v>
      </c>
      <c r="B367" s="68">
        <v>96.4586846543002</v>
      </c>
      <c r="C367" s="68">
        <v>5.0044545285842004</v>
      </c>
      <c r="D367" s="68">
        <v>3.5190350588630199</v>
      </c>
    </row>
    <row r="368" spans="1:4" x14ac:dyDescent="0.25">
      <c r="A368" s="70" t="s">
        <v>573</v>
      </c>
      <c r="B368" s="68">
        <v>96.4586846543002</v>
      </c>
      <c r="C368" s="68">
        <v>5.0044545285842004</v>
      </c>
      <c r="D368" s="68">
        <v>3.5190350588630199</v>
      </c>
    </row>
    <row r="369" spans="1:4" x14ac:dyDescent="0.25">
      <c r="A369" s="70" t="s">
        <v>737</v>
      </c>
      <c r="B369" s="68">
        <v>96.259703599153099</v>
      </c>
      <c r="C369" s="68">
        <v>3</v>
      </c>
      <c r="D369" s="68">
        <v>3.4843955516815202</v>
      </c>
    </row>
    <row r="370" spans="1:4" x14ac:dyDescent="0.25">
      <c r="A370" s="70" t="s">
        <v>235</v>
      </c>
      <c r="B370" s="68">
        <v>99.267127367018205</v>
      </c>
      <c r="C370" s="68">
        <v>4.3636559005579798</v>
      </c>
      <c r="D370" s="68">
        <v>3.5963545245297901</v>
      </c>
    </row>
    <row r="371" spans="1:4" x14ac:dyDescent="0.25">
      <c r="A371" s="70" t="s">
        <v>236</v>
      </c>
      <c r="B371" s="68">
        <v>99.032059564814702</v>
      </c>
      <c r="C371" s="68">
        <v>3.4892014835662999</v>
      </c>
      <c r="D371" s="68">
        <v>3.60665447414712</v>
      </c>
    </row>
    <row r="372" spans="1:4" x14ac:dyDescent="0.25">
      <c r="A372" s="70" t="s">
        <v>237</v>
      </c>
      <c r="B372" s="68">
        <v>99.502195169221693</v>
      </c>
      <c r="C372" s="68">
        <v>5.2381103175496504</v>
      </c>
      <c r="D372" s="68">
        <v>3.5860545749124602</v>
      </c>
    </row>
    <row r="373" spans="1:4" x14ac:dyDescent="0.25">
      <c r="A373" s="70" t="s">
        <v>738</v>
      </c>
      <c r="B373" s="68">
        <v>98.706621855808095</v>
      </c>
      <c r="C373" s="68">
        <v>3.16176642890365</v>
      </c>
      <c r="D373" s="68">
        <v>3.6899722408321498</v>
      </c>
    </row>
    <row r="374" spans="1:4" x14ac:dyDescent="0.25">
      <c r="A374" s="70" t="s">
        <v>705</v>
      </c>
      <c r="B374" s="68">
        <v>85.017421602787493</v>
      </c>
      <c r="C374" s="68">
        <v>6.3849999999999998</v>
      </c>
      <c r="D374" s="68">
        <v>2.7250000000000001</v>
      </c>
    </row>
    <row r="375" spans="1:4" x14ac:dyDescent="0.25">
      <c r="A375" s="70" t="s">
        <v>706</v>
      </c>
      <c r="B375" s="68">
        <v>85.017421602787493</v>
      </c>
      <c r="C375" s="68">
        <v>6.3849999999999998</v>
      </c>
      <c r="D375" s="68">
        <v>2.7250000000000001</v>
      </c>
    </row>
    <row r="376" spans="1:4" x14ac:dyDescent="0.25">
      <c r="A376" s="70" t="s">
        <v>707</v>
      </c>
      <c r="B376" s="68">
        <v>92.009896008695094</v>
      </c>
      <c r="C376" s="68">
        <v>6.4918040061558999</v>
      </c>
      <c r="D376" s="68">
        <v>2.6149122940560798</v>
      </c>
    </row>
    <row r="377" spans="1:4" x14ac:dyDescent="0.25">
      <c r="A377" s="70" t="s">
        <v>708</v>
      </c>
      <c r="B377" s="68">
        <v>91.397626936282904</v>
      </c>
      <c r="C377" s="68">
        <v>6.5180385743362601</v>
      </c>
      <c r="D377" s="68">
        <v>2.57071885612477</v>
      </c>
    </row>
    <row r="378" spans="1:4" x14ac:dyDescent="0.25">
      <c r="A378" s="70" t="s">
        <v>709</v>
      </c>
      <c r="B378" s="68">
        <v>92.622165081107298</v>
      </c>
      <c r="C378" s="68">
        <v>6.46556943797553</v>
      </c>
      <c r="D378" s="68">
        <v>2.6591057319873999</v>
      </c>
    </row>
    <row r="379" spans="1:4" x14ac:dyDescent="0.25">
      <c r="A379" s="70" t="s">
        <v>710</v>
      </c>
      <c r="B379" s="68">
        <v>85.017421602787493</v>
      </c>
      <c r="C379" s="68">
        <v>6.3849999999999998</v>
      </c>
      <c r="D379" s="68">
        <v>2.7250000000000001</v>
      </c>
    </row>
    <row r="380" spans="1:4" x14ac:dyDescent="0.25">
      <c r="A380" s="70" t="s">
        <v>711</v>
      </c>
      <c r="B380" s="68">
        <v>85.017421602787493</v>
      </c>
      <c r="C380" s="68">
        <v>6.3849999999999998</v>
      </c>
      <c r="D380" s="68">
        <v>2.7250000000000001</v>
      </c>
    </row>
    <row r="381" spans="1:4" x14ac:dyDescent="0.25">
      <c r="A381" s="70" t="s">
        <v>712</v>
      </c>
      <c r="B381" s="68">
        <v>94.029965932988901</v>
      </c>
      <c r="C381" s="68">
        <v>6.9374984331219602</v>
      </c>
      <c r="D381" s="68">
        <v>2.7345948901342001</v>
      </c>
    </row>
    <row r="382" spans="1:4" x14ac:dyDescent="0.25">
      <c r="A382" s="70" t="s">
        <v>713</v>
      </c>
      <c r="B382" s="68">
        <v>93.978723770300604</v>
      </c>
      <c r="C382" s="68">
        <v>6.9009966966524097</v>
      </c>
      <c r="D382" s="68">
        <v>2.73267865359092</v>
      </c>
    </row>
    <row r="383" spans="1:4" x14ac:dyDescent="0.25">
      <c r="A383" s="70" t="s">
        <v>714</v>
      </c>
      <c r="B383" s="68">
        <v>94.081208095677098</v>
      </c>
      <c r="C383" s="68">
        <v>6.9740001695915099</v>
      </c>
      <c r="D383" s="68">
        <v>2.7365111266774802</v>
      </c>
    </row>
    <row r="384" spans="1:4" x14ac:dyDescent="0.25">
      <c r="A384" s="70" t="s">
        <v>238</v>
      </c>
      <c r="B384" s="68">
        <v>93.899782135076293</v>
      </c>
      <c r="C384" s="68">
        <v>5.8660420000000002</v>
      </c>
      <c r="D384" s="68">
        <v>3.6467666666666698</v>
      </c>
    </row>
    <row r="385" spans="1:4" x14ac:dyDescent="0.25">
      <c r="A385" s="70" t="s">
        <v>574</v>
      </c>
      <c r="B385" s="68">
        <v>93.899782135076293</v>
      </c>
      <c r="C385" s="68">
        <v>5.8660420000000002</v>
      </c>
      <c r="D385" s="68">
        <v>3.6467666666666698</v>
      </c>
    </row>
    <row r="386" spans="1:4" x14ac:dyDescent="0.25">
      <c r="A386" s="70" t="s">
        <v>239</v>
      </c>
      <c r="B386" s="68">
        <v>96.602994085656903</v>
      </c>
      <c r="C386" s="68">
        <v>7.9445711025321497</v>
      </c>
      <c r="D386" s="68">
        <v>3.4858016826130598</v>
      </c>
    </row>
    <row r="387" spans="1:4" x14ac:dyDescent="0.25">
      <c r="A387" s="70" t="s">
        <v>240</v>
      </c>
      <c r="B387" s="68">
        <v>94.984873397621797</v>
      </c>
      <c r="C387" s="68">
        <v>8.2859188472572498</v>
      </c>
      <c r="D387" s="68">
        <v>3.47025676656131</v>
      </c>
    </row>
    <row r="388" spans="1:4" x14ac:dyDescent="0.25">
      <c r="A388" s="70" t="s">
        <v>241</v>
      </c>
      <c r="B388" s="68">
        <v>98.221114773691994</v>
      </c>
      <c r="C388" s="68">
        <v>7.6032233578070398</v>
      </c>
      <c r="D388" s="68">
        <v>3.50134659866481</v>
      </c>
    </row>
    <row r="389" spans="1:4" x14ac:dyDescent="0.25">
      <c r="A389" s="70" t="s">
        <v>385</v>
      </c>
      <c r="B389" s="68">
        <v>93.187347931873504</v>
      </c>
      <c r="C389" s="68">
        <v>6.0657226666666704</v>
      </c>
      <c r="D389" s="68">
        <v>3.6467666666666698</v>
      </c>
    </row>
    <row r="390" spans="1:4" x14ac:dyDescent="0.25">
      <c r="A390" s="70" t="s">
        <v>575</v>
      </c>
      <c r="B390" s="68">
        <v>93.187347931873504</v>
      </c>
      <c r="C390" s="68">
        <v>6.0657226666666704</v>
      </c>
      <c r="D390" s="68">
        <v>3.6467666666666698</v>
      </c>
    </row>
    <row r="391" spans="1:4" x14ac:dyDescent="0.25">
      <c r="A391" s="70" t="s">
        <v>242</v>
      </c>
      <c r="B391" s="68">
        <v>94.843888585073898</v>
      </c>
      <c r="C391" s="68">
        <v>7.1360088176853402</v>
      </c>
      <c r="D391" s="68">
        <v>3.42666727813732</v>
      </c>
    </row>
    <row r="392" spans="1:4" x14ac:dyDescent="0.25">
      <c r="A392" s="70" t="s">
        <v>243</v>
      </c>
      <c r="B392" s="68">
        <v>92.436735894967995</v>
      </c>
      <c r="C392" s="68">
        <v>7.5339528490869796</v>
      </c>
      <c r="D392" s="68">
        <v>3.4226235612692402</v>
      </c>
    </row>
    <row r="393" spans="1:4" x14ac:dyDescent="0.25">
      <c r="A393" s="70" t="s">
        <v>244</v>
      </c>
      <c r="B393" s="68">
        <v>97.251041275179702</v>
      </c>
      <c r="C393" s="68">
        <v>6.7380647862837</v>
      </c>
      <c r="D393" s="68">
        <v>3.4307109950054002</v>
      </c>
    </row>
    <row r="394" spans="1:4" x14ac:dyDescent="0.25">
      <c r="A394" s="140" t="s">
        <v>715</v>
      </c>
      <c r="B394">
        <v>86.433260393873098</v>
      </c>
      <c r="C394">
        <v>7.5125038759689904</v>
      </c>
      <c r="D394">
        <v>3.28406666666667</v>
      </c>
    </row>
    <row r="395" spans="1:4" x14ac:dyDescent="0.25">
      <c r="A395" s="140" t="s">
        <v>716</v>
      </c>
      <c r="B395">
        <v>86.433260393873098</v>
      </c>
      <c r="C395">
        <v>7.5125038759689904</v>
      </c>
      <c r="D395">
        <v>3.28406666666667</v>
      </c>
    </row>
    <row r="396" spans="1:4" x14ac:dyDescent="0.25">
      <c r="A396" s="140" t="s">
        <v>717</v>
      </c>
      <c r="B396">
        <v>96.774881958541698</v>
      </c>
      <c r="C396">
        <v>8.27295651257967</v>
      </c>
      <c r="D396">
        <v>3.5716747183766802</v>
      </c>
    </row>
    <row r="397" spans="1:4" x14ac:dyDescent="0.25">
      <c r="A397" s="140" t="s">
        <v>718</v>
      </c>
      <c r="B397">
        <v>95.931106457784907</v>
      </c>
      <c r="C397">
        <v>8.3145886299201592</v>
      </c>
      <c r="D397">
        <v>3.58097156841117</v>
      </c>
    </row>
    <row r="398" spans="1:4" x14ac:dyDescent="0.25">
      <c r="A398" s="140" t="s">
        <v>719</v>
      </c>
      <c r="B398">
        <v>97.618657459298404</v>
      </c>
      <c r="C398">
        <v>8.2313243952391808</v>
      </c>
      <c r="D398">
        <v>3.5623778683421898</v>
      </c>
    </row>
    <row r="399" spans="1:4" x14ac:dyDescent="0.25">
      <c r="A399" s="140" t="s">
        <v>720</v>
      </c>
      <c r="B399">
        <v>85.158150851581496</v>
      </c>
      <c r="C399">
        <v>7.7176718346253201</v>
      </c>
      <c r="D399">
        <v>3.28406666666667</v>
      </c>
    </row>
    <row r="400" spans="1:4" x14ac:dyDescent="0.25">
      <c r="A400" s="140" t="s">
        <v>721</v>
      </c>
      <c r="B400">
        <v>85.158150851581496</v>
      </c>
      <c r="C400">
        <v>7.7176718346253201</v>
      </c>
      <c r="D400">
        <v>3.28406666666667</v>
      </c>
    </row>
    <row r="401" spans="1:4" x14ac:dyDescent="0.25">
      <c r="A401" s="140" t="s">
        <v>722</v>
      </c>
      <c r="B401">
        <v>96.778320231896899</v>
      </c>
      <c r="C401">
        <v>8.6356617132338602</v>
      </c>
      <c r="D401">
        <v>3.5169513739975899</v>
      </c>
    </row>
    <row r="402" spans="1:4" x14ac:dyDescent="0.25">
      <c r="A402" s="140" t="s">
        <v>723</v>
      </c>
      <c r="B402">
        <v>96.984265405451893</v>
      </c>
      <c r="C402">
        <v>8.5811351321805098</v>
      </c>
      <c r="D402">
        <v>3.53144057939183</v>
      </c>
    </row>
    <row r="403" spans="1:4" x14ac:dyDescent="0.25">
      <c r="A403" s="140" t="s">
        <v>724</v>
      </c>
      <c r="B403">
        <v>96.572375058342004</v>
      </c>
      <c r="C403">
        <v>8.6901882942872195</v>
      </c>
      <c r="D403">
        <v>3.5024621686033499</v>
      </c>
    </row>
    <row r="404" spans="1:4" x14ac:dyDescent="0.25">
      <c r="A404" s="140" t="s">
        <v>245</v>
      </c>
      <c r="B404">
        <v>94.104803493449793</v>
      </c>
      <c r="C404">
        <v>6.3069439999999997</v>
      </c>
      <c r="D404">
        <v>3.4033000000000002</v>
      </c>
    </row>
    <row r="405" spans="1:4" x14ac:dyDescent="0.25">
      <c r="A405" s="140" t="s">
        <v>576</v>
      </c>
      <c r="B405">
        <v>94.104803493449793</v>
      </c>
      <c r="C405">
        <v>6.3069439999999997</v>
      </c>
      <c r="D405">
        <v>3.4033000000000002</v>
      </c>
    </row>
    <row r="406" spans="1:4" x14ac:dyDescent="0.25">
      <c r="A406" s="140" t="s">
        <v>246</v>
      </c>
      <c r="B406">
        <v>98.2176340021405</v>
      </c>
      <c r="C406">
        <v>7.3904665856682898</v>
      </c>
      <c r="D406">
        <v>3.5467401596743802</v>
      </c>
    </row>
    <row r="407" spans="1:4" x14ac:dyDescent="0.25">
      <c r="A407" s="140" t="s">
        <v>247</v>
      </c>
      <c r="B407">
        <v>97.796036234888007</v>
      </c>
      <c r="C407">
        <v>7.06900800695737</v>
      </c>
      <c r="D407">
        <v>3.5419053000638798</v>
      </c>
    </row>
    <row r="408" spans="1:4" x14ac:dyDescent="0.25">
      <c r="A408" s="140" t="s">
        <v>248</v>
      </c>
      <c r="B408">
        <v>98.639231769393007</v>
      </c>
      <c r="C408">
        <v>7.7119251643792204</v>
      </c>
      <c r="D408">
        <v>3.5515750192848801</v>
      </c>
    </row>
    <row r="409" spans="1:4" x14ac:dyDescent="0.25">
      <c r="A409" s="140" t="s">
        <v>386</v>
      </c>
      <c r="B409">
        <v>93.446601941747602</v>
      </c>
      <c r="C409">
        <v>6.1849253333333296</v>
      </c>
      <c r="D409">
        <v>3.4033000000000002</v>
      </c>
    </row>
    <row r="410" spans="1:4" x14ac:dyDescent="0.25">
      <c r="A410" s="140" t="s">
        <v>577</v>
      </c>
      <c r="B410">
        <v>93.446601941747602</v>
      </c>
      <c r="C410">
        <v>6.1849253333333296</v>
      </c>
      <c r="D410">
        <v>3.4033000000000002</v>
      </c>
    </row>
    <row r="411" spans="1:4" x14ac:dyDescent="0.25">
      <c r="A411" s="140" t="s">
        <v>249</v>
      </c>
      <c r="B411">
        <v>98.018901997706294</v>
      </c>
      <c r="C411">
        <v>6.2535718892914698</v>
      </c>
      <c r="D411">
        <v>3.55773000510615</v>
      </c>
    </row>
    <row r="412" spans="1:4" x14ac:dyDescent="0.25">
      <c r="A412" s="140" t="s">
        <v>250</v>
      </c>
      <c r="B412">
        <v>98.376193690576301</v>
      </c>
      <c r="C412">
        <v>6.0879871575588496</v>
      </c>
      <c r="D412">
        <v>3.5732336967337099</v>
      </c>
    </row>
    <row r="413" spans="1:4" x14ac:dyDescent="0.25">
      <c r="A413" s="140" t="s">
        <v>251</v>
      </c>
      <c r="B413">
        <v>97.661610304836401</v>
      </c>
      <c r="C413">
        <v>6.41915662102409</v>
      </c>
      <c r="D413">
        <v>3.5422263134785901</v>
      </c>
    </row>
    <row r="414" spans="1:4" x14ac:dyDescent="0.25">
      <c r="A414" s="140" t="s">
        <v>252</v>
      </c>
      <c r="B414">
        <v>92.870967741935502</v>
      </c>
      <c r="C414">
        <v>8.9003100570747193</v>
      </c>
      <c r="D414">
        <v>3.6964324659555698</v>
      </c>
    </row>
    <row r="415" spans="1:4" x14ac:dyDescent="0.25">
      <c r="A415" s="140" t="s">
        <v>578</v>
      </c>
      <c r="B415">
        <v>92.870967741935502</v>
      </c>
      <c r="C415">
        <v>8.9003100570747193</v>
      </c>
      <c r="D415">
        <v>3.6964324659555698</v>
      </c>
    </row>
    <row r="416" spans="1:4" x14ac:dyDescent="0.25">
      <c r="A416" s="140" t="s">
        <v>253</v>
      </c>
      <c r="B416">
        <v>96.408781416581604</v>
      </c>
      <c r="C416">
        <v>7.9378115411203698</v>
      </c>
      <c r="D416">
        <v>3.6818952575578798</v>
      </c>
    </row>
    <row r="417" spans="1:4" x14ac:dyDescent="0.25">
      <c r="A417" s="140" t="s">
        <v>254</v>
      </c>
      <c r="B417">
        <v>96.102394492301499</v>
      </c>
      <c r="C417">
        <v>7.1004359985612497</v>
      </c>
      <c r="D417">
        <v>3.6814722858645501</v>
      </c>
    </row>
    <row r="418" spans="1:4" x14ac:dyDescent="0.25">
      <c r="A418" s="140" t="s">
        <v>255</v>
      </c>
      <c r="B418">
        <v>96.715168340861695</v>
      </c>
      <c r="C418">
        <v>8.7751870836794996</v>
      </c>
      <c r="D418">
        <v>3.6823182292511998</v>
      </c>
    </row>
    <row r="419" spans="1:4" x14ac:dyDescent="0.25">
      <c r="A419" s="140" t="s">
        <v>387</v>
      </c>
      <c r="B419">
        <v>92.870967741935502</v>
      </c>
      <c r="C419">
        <v>8.9003100570747193</v>
      </c>
      <c r="D419">
        <v>3.6964324659555698</v>
      </c>
    </row>
    <row r="420" spans="1:4" x14ac:dyDescent="0.25">
      <c r="A420" s="140" t="s">
        <v>579</v>
      </c>
      <c r="B420">
        <v>92.870967741935502</v>
      </c>
      <c r="C420">
        <v>8.9003100570747193</v>
      </c>
      <c r="D420">
        <v>3.6964324659555698</v>
      </c>
    </row>
    <row r="421" spans="1:4" x14ac:dyDescent="0.25">
      <c r="A421" s="140" t="s">
        <v>256</v>
      </c>
      <c r="B421">
        <v>97.924566948984605</v>
      </c>
      <c r="C421">
        <v>7.9683660797101998</v>
      </c>
      <c r="D421">
        <v>3.74129407216767</v>
      </c>
    </row>
    <row r="422" spans="1:4" x14ac:dyDescent="0.25">
      <c r="A422" s="140" t="s">
        <v>257</v>
      </c>
      <c r="B422">
        <v>98.009625858116195</v>
      </c>
      <c r="C422">
        <v>7.1441740291825804</v>
      </c>
      <c r="D422">
        <v>3.7310035585135202</v>
      </c>
    </row>
    <row r="423" spans="1:4" x14ac:dyDescent="0.25">
      <c r="A423" s="140" t="s">
        <v>335</v>
      </c>
      <c r="B423">
        <v>97.839508039853001</v>
      </c>
      <c r="C423">
        <v>8.7925581302378202</v>
      </c>
      <c r="D423">
        <v>3.7515845858218202</v>
      </c>
    </row>
    <row r="424" spans="1:4" x14ac:dyDescent="0.25">
      <c r="A424" s="140" t="s">
        <v>258</v>
      </c>
      <c r="B424">
        <v>96.079380445304906</v>
      </c>
      <c r="C424">
        <v>5.8057737073157503</v>
      </c>
      <c r="D424">
        <v>3.74798698234116</v>
      </c>
    </row>
    <row r="425" spans="1:4" x14ac:dyDescent="0.25">
      <c r="A425" s="140" t="s">
        <v>580</v>
      </c>
      <c r="B425">
        <v>96.079380445304906</v>
      </c>
      <c r="C425">
        <v>5.8057737073157503</v>
      </c>
      <c r="D425">
        <v>3.74798698234116</v>
      </c>
    </row>
    <row r="426" spans="1:4" x14ac:dyDescent="0.25">
      <c r="A426" s="140" t="s">
        <v>259</v>
      </c>
      <c r="B426">
        <v>96.960344465655893</v>
      </c>
      <c r="C426">
        <v>5.4381406512207704</v>
      </c>
      <c r="D426">
        <v>3.76841689460145</v>
      </c>
    </row>
    <row r="427" spans="1:4" x14ac:dyDescent="0.25">
      <c r="A427" s="140" t="s">
        <v>260</v>
      </c>
      <c r="B427">
        <v>96.783487100814497</v>
      </c>
      <c r="C427">
        <v>4.3421321045234498</v>
      </c>
      <c r="D427">
        <v>3.77955949377289</v>
      </c>
    </row>
    <row r="428" spans="1:4" x14ac:dyDescent="0.25">
      <c r="A428" s="140" t="s">
        <v>261</v>
      </c>
      <c r="B428">
        <v>97.137201830497304</v>
      </c>
      <c r="C428">
        <v>6.5341491979180999</v>
      </c>
      <c r="D428">
        <v>3.7572742954300198</v>
      </c>
    </row>
    <row r="429" spans="1:4" x14ac:dyDescent="0.25">
      <c r="A429" s="140" t="s">
        <v>388</v>
      </c>
      <c r="B429">
        <v>96.079380445304906</v>
      </c>
      <c r="C429">
        <v>5.8057737073157503</v>
      </c>
      <c r="D429">
        <v>3.74798698234116</v>
      </c>
    </row>
    <row r="430" spans="1:4" x14ac:dyDescent="0.25">
      <c r="A430" s="140" t="s">
        <v>581</v>
      </c>
      <c r="B430">
        <v>96.079380445304906</v>
      </c>
      <c r="C430">
        <v>5.8057737073157503</v>
      </c>
      <c r="D430">
        <v>3.74798698234116</v>
      </c>
    </row>
    <row r="431" spans="1:4" x14ac:dyDescent="0.25">
      <c r="A431" s="140" t="s">
        <v>262</v>
      </c>
      <c r="B431">
        <v>99.101825062668595</v>
      </c>
      <c r="C431">
        <v>5.1868878404116101</v>
      </c>
      <c r="D431">
        <v>3.77855860696235</v>
      </c>
    </row>
    <row r="432" spans="1:4" x14ac:dyDescent="0.25">
      <c r="A432" s="140" t="s">
        <v>263</v>
      </c>
      <c r="B432">
        <v>99.344213320718097</v>
      </c>
      <c r="C432">
        <v>4.2285508987407399</v>
      </c>
      <c r="D432">
        <v>3.7893775979713702</v>
      </c>
    </row>
    <row r="433" spans="1:4" x14ac:dyDescent="0.25">
      <c r="A433" s="140" t="s">
        <v>336</v>
      </c>
      <c r="B433">
        <v>98.859436804619094</v>
      </c>
      <c r="C433">
        <v>6.1452247820824804</v>
      </c>
      <c r="D433">
        <v>3.7677396159533201</v>
      </c>
    </row>
    <row r="434" spans="1:4" x14ac:dyDescent="0.25">
      <c r="A434" s="140" t="s">
        <v>264</v>
      </c>
      <c r="B434">
        <v>93.843892880470307</v>
      </c>
      <c r="C434">
        <v>6.1432368050891704</v>
      </c>
      <c r="D434">
        <v>3.4152755949177198</v>
      </c>
    </row>
    <row r="435" spans="1:4" x14ac:dyDescent="0.25">
      <c r="A435" s="140" t="s">
        <v>582</v>
      </c>
      <c r="B435">
        <v>93.843892880470307</v>
      </c>
      <c r="C435">
        <v>6.1432368050891704</v>
      </c>
      <c r="D435">
        <v>3.4152755949177198</v>
      </c>
    </row>
    <row r="436" spans="1:4" x14ac:dyDescent="0.25">
      <c r="A436" s="140" t="s">
        <v>265</v>
      </c>
      <c r="B436">
        <v>97.911213903207795</v>
      </c>
      <c r="C436">
        <v>5.2049990036464999</v>
      </c>
      <c r="D436">
        <v>3.5995809408621602</v>
      </c>
    </row>
    <row r="437" spans="1:4" x14ac:dyDescent="0.25">
      <c r="A437" s="140" t="s">
        <v>266</v>
      </c>
      <c r="B437">
        <v>97.6002449096124</v>
      </c>
      <c r="C437">
        <v>4.5531653979889004</v>
      </c>
      <c r="D437">
        <v>3.62058501682636</v>
      </c>
    </row>
    <row r="438" spans="1:4" x14ac:dyDescent="0.25">
      <c r="A438" s="140" t="s">
        <v>267</v>
      </c>
      <c r="B438">
        <v>98.222182896803105</v>
      </c>
      <c r="C438">
        <v>5.8568326093040897</v>
      </c>
      <c r="D438">
        <v>3.5785768648979599</v>
      </c>
    </row>
    <row r="439" spans="1:4" x14ac:dyDescent="0.25">
      <c r="A439" s="140" t="s">
        <v>389</v>
      </c>
      <c r="B439">
        <v>93.843892880470307</v>
      </c>
      <c r="C439">
        <v>6.1432368050891704</v>
      </c>
      <c r="D439">
        <v>3.4152755949177198</v>
      </c>
    </row>
    <row r="440" spans="1:4" x14ac:dyDescent="0.25">
      <c r="A440" s="140" t="s">
        <v>583</v>
      </c>
      <c r="B440">
        <v>93.843892880470307</v>
      </c>
      <c r="C440">
        <v>6.1432368050891704</v>
      </c>
      <c r="D440">
        <v>3.4152755949177198</v>
      </c>
    </row>
    <row r="441" spans="1:4" x14ac:dyDescent="0.25">
      <c r="A441" s="140" t="s">
        <v>268</v>
      </c>
      <c r="B441">
        <v>97.521259654105094</v>
      </c>
      <c r="C441">
        <v>5.7908107397811097</v>
      </c>
      <c r="D441">
        <v>3.6083043018627201</v>
      </c>
    </row>
    <row r="442" spans="1:4" x14ac:dyDescent="0.25">
      <c r="A442" s="140" t="s">
        <v>269</v>
      </c>
      <c r="B442">
        <v>97.184331406516307</v>
      </c>
      <c r="C442">
        <v>5.3835803967859803</v>
      </c>
      <c r="D442">
        <v>3.6331194373039799</v>
      </c>
    </row>
    <row r="443" spans="1:4" x14ac:dyDescent="0.25">
      <c r="A443" s="140" t="s">
        <v>337</v>
      </c>
      <c r="B443">
        <v>97.858187901693995</v>
      </c>
      <c r="C443">
        <v>6.19804108277624</v>
      </c>
      <c r="D443">
        <v>3.5834891664214599</v>
      </c>
    </row>
    <row r="444" spans="1:4" x14ac:dyDescent="0.25">
      <c r="A444" s="140" t="s">
        <v>270</v>
      </c>
      <c r="B444">
        <v>95.0795712893797</v>
      </c>
      <c r="C444">
        <v>6.2527292565231303</v>
      </c>
      <c r="D444">
        <v>3.5474690043449599</v>
      </c>
    </row>
    <row r="445" spans="1:4" x14ac:dyDescent="0.25">
      <c r="A445" s="140" t="s">
        <v>584</v>
      </c>
      <c r="B445">
        <v>95.0795712893797</v>
      </c>
      <c r="C445">
        <v>6.2527292565231303</v>
      </c>
      <c r="D445">
        <v>3.5474690043449599</v>
      </c>
    </row>
    <row r="446" spans="1:4" x14ac:dyDescent="0.25">
      <c r="A446" s="140" t="s">
        <v>271</v>
      </c>
      <c r="B446">
        <v>97.539513810764902</v>
      </c>
      <c r="C446">
        <v>5.7105840728554798</v>
      </c>
      <c r="D446">
        <v>3.6252686276302502</v>
      </c>
    </row>
    <row r="447" spans="1:4" x14ac:dyDescent="0.25">
      <c r="A447" s="140" t="s">
        <v>272</v>
      </c>
      <c r="B447">
        <v>97.274469879530898</v>
      </c>
      <c r="C447">
        <v>5.0418304499445599</v>
      </c>
      <c r="D447">
        <v>3.6335020611162001</v>
      </c>
    </row>
    <row r="448" spans="1:4" x14ac:dyDescent="0.25">
      <c r="A448" s="140" t="s">
        <v>273</v>
      </c>
      <c r="B448">
        <v>97.804557741998806</v>
      </c>
      <c r="C448">
        <v>6.3793376957663899</v>
      </c>
      <c r="D448">
        <v>3.61703519414429</v>
      </c>
    </row>
    <row r="449" spans="1:4" x14ac:dyDescent="0.25">
      <c r="A449" s="140" t="s">
        <v>390</v>
      </c>
      <c r="B449">
        <v>95.0795712893797</v>
      </c>
      <c r="C449">
        <v>6.2527292565231303</v>
      </c>
      <c r="D449">
        <v>3.5474690043449599</v>
      </c>
    </row>
    <row r="450" spans="1:4" x14ac:dyDescent="0.25">
      <c r="A450" s="140" t="s">
        <v>585</v>
      </c>
      <c r="B450">
        <v>95.0795712893797</v>
      </c>
      <c r="C450">
        <v>6.2527292565231303</v>
      </c>
      <c r="D450">
        <v>3.5474690043449599</v>
      </c>
    </row>
    <row r="451" spans="1:4" x14ac:dyDescent="0.25">
      <c r="A451" s="140" t="s">
        <v>274</v>
      </c>
      <c r="B451">
        <v>97.602099059070397</v>
      </c>
      <c r="C451">
        <v>5.9346404176211198</v>
      </c>
      <c r="D451">
        <v>3.5961014884251599</v>
      </c>
    </row>
    <row r="452" spans="1:4" x14ac:dyDescent="0.25">
      <c r="A452" s="140" t="s">
        <v>275</v>
      </c>
      <c r="B452">
        <v>96.542753913536501</v>
      </c>
      <c r="C452">
        <v>5.89073278366227</v>
      </c>
      <c r="D452">
        <v>3.5924436995047699</v>
      </c>
    </row>
    <row r="453" spans="1:4" x14ac:dyDescent="0.25">
      <c r="A453" s="140" t="s">
        <v>338</v>
      </c>
      <c r="B453">
        <v>98.661444204604294</v>
      </c>
      <c r="C453">
        <v>5.9785480515799696</v>
      </c>
      <c r="D453">
        <v>3.5997592773455498</v>
      </c>
    </row>
  </sheetData>
  <pageMargins left="0.7" right="0.7" top="0.75" bottom="0.75" header="0.3" footer="0.3"/>
  <customProperties>
    <customPr name="_SVTable__34484243_f22b_4446_acd0_9b47eb257567_" r:id="rId1"/>
    <customPr name="_SVTableSet_" r:id="rId2"/>
    <customPr name="SheetOptions" r:id="rId3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tabColor theme="0" tint="-0.499984740745262"/>
  </sheetPr>
  <dimension ref="A1:AC436"/>
  <sheetViews>
    <sheetView topLeftCell="A87" workbookViewId="0">
      <selection activeCell="AB140" sqref="AB140"/>
    </sheetView>
  </sheetViews>
  <sheetFormatPr baseColWidth="10" defaultColWidth="9.140625" defaultRowHeight="15" x14ac:dyDescent="0.25"/>
  <cols>
    <col min="1" max="1" width="47.140625" bestFit="1" customWidth="1"/>
    <col min="2" max="2" width="20.85546875" customWidth="1"/>
    <col min="17" max="17" width="15.85546875" customWidth="1"/>
    <col min="21" max="21" width="20.7109375" customWidth="1"/>
    <col min="22" max="22" width="27.28515625" customWidth="1"/>
    <col min="23" max="23" width="43" bestFit="1" customWidth="1"/>
    <col min="24" max="24" width="28.5703125" bestFit="1" customWidth="1"/>
    <col min="25" max="25" width="20" bestFit="1" customWidth="1"/>
    <col min="26" max="26" width="46" bestFit="1" customWidth="1"/>
    <col min="27" max="27" width="31.7109375" bestFit="1" customWidth="1"/>
    <col min="28" max="28" width="73.85546875" bestFit="1" customWidth="1"/>
    <col min="29" max="29" width="55" bestFit="1" customWidth="1"/>
  </cols>
  <sheetData>
    <row r="1" spans="1:29" x14ac:dyDescent="0.25">
      <c r="A1" s="67" t="s">
        <v>58</v>
      </c>
      <c r="B1" s="67" t="s">
        <v>391</v>
      </c>
      <c r="C1" s="67" t="s">
        <v>392</v>
      </c>
      <c r="D1" s="67" t="s">
        <v>393</v>
      </c>
      <c r="E1" s="67" t="s">
        <v>394</v>
      </c>
      <c r="F1" s="67" t="s">
        <v>395</v>
      </c>
      <c r="G1" s="67" t="s">
        <v>396</v>
      </c>
      <c r="H1" s="69" t="s">
        <v>397</v>
      </c>
      <c r="I1" s="69" t="s">
        <v>398</v>
      </c>
      <c r="J1" s="67" t="s">
        <v>399</v>
      </c>
      <c r="K1" s="67" t="s">
        <v>400</v>
      </c>
      <c r="L1" s="69" t="s">
        <v>401</v>
      </c>
      <c r="M1" s="69" t="s">
        <v>402</v>
      </c>
      <c r="N1" s="67" t="s">
        <v>403</v>
      </c>
      <c r="O1" s="67" t="s">
        <v>404</v>
      </c>
      <c r="P1" s="69" t="s">
        <v>405</v>
      </c>
      <c r="Q1" s="69" t="s">
        <v>406</v>
      </c>
      <c r="R1" s="67" t="s">
        <v>407</v>
      </c>
      <c r="S1" s="67" t="s">
        <v>408</v>
      </c>
      <c r="T1" s="69" t="s">
        <v>409</v>
      </c>
      <c r="U1" s="69" t="s">
        <v>410</v>
      </c>
      <c r="V1" s="67" t="s">
        <v>411</v>
      </c>
      <c r="W1" s="67" t="s">
        <v>412</v>
      </c>
      <c r="X1" s="67" t="s">
        <v>413</v>
      </c>
      <c r="Y1" s="67" t="s">
        <v>414</v>
      </c>
      <c r="Z1" s="67" t="s">
        <v>415</v>
      </c>
      <c r="AA1" s="67" t="s">
        <v>416</v>
      </c>
      <c r="AB1" s="69" t="s">
        <v>659</v>
      </c>
      <c r="AC1" s="69" t="s">
        <v>660</v>
      </c>
    </row>
    <row r="2" spans="1:29" x14ac:dyDescent="0.25">
      <c r="A2" s="70" t="s">
        <v>59</v>
      </c>
      <c r="B2" s="68">
        <v>81.292517006802697</v>
      </c>
      <c r="C2" s="68">
        <v>3.7890000000000001</v>
      </c>
      <c r="D2" s="68">
        <v>81.292517006802697</v>
      </c>
      <c r="E2" s="68">
        <v>3.7890000000000001</v>
      </c>
      <c r="F2" s="68">
        <v>95.593220338983102</v>
      </c>
      <c r="G2" s="68">
        <v>6.2097394062239903</v>
      </c>
      <c r="H2" s="68">
        <v>1182.008</v>
      </c>
      <c r="I2" s="68">
        <v>4760.5140000000001</v>
      </c>
      <c r="J2" s="68">
        <v>99.659863945578195</v>
      </c>
      <c r="K2" s="68">
        <v>8.0919511163968707</v>
      </c>
      <c r="L2" s="68">
        <v>497.96800000000002</v>
      </c>
      <c r="M2" s="68">
        <v>1665.454</v>
      </c>
      <c r="N2" s="68">
        <v>91.216216216216196</v>
      </c>
      <c r="O2" s="68">
        <v>4440</v>
      </c>
      <c r="P2" s="68">
        <v>1452.414</v>
      </c>
      <c r="Q2" s="68">
        <v>8043.44</v>
      </c>
      <c r="R2" s="68">
        <v>97.297297297297305</v>
      </c>
      <c r="S2" s="68">
        <v>870.35799999999995</v>
      </c>
      <c r="T2" s="68">
        <v>786.86</v>
      </c>
      <c r="U2" s="68">
        <v>5841.6360000000004</v>
      </c>
      <c r="V2" s="68">
        <v>91.156462585034006</v>
      </c>
      <c r="W2" s="68">
        <v>101.90258111153599</v>
      </c>
      <c r="X2" s="68">
        <v>2.95</v>
      </c>
      <c r="Y2" s="68">
        <v>92.3611111111111</v>
      </c>
      <c r="Z2" s="68">
        <v>104.535728120301</v>
      </c>
      <c r="AA2" s="68">
        <v>2.5299999999999998</v>
      </c>
      <c r="AB2" s="68"/>
      <c r="AC2" s="68"/>
    </row>
    <row r="3" spans="1:29" x14ac:dyDescent="0.25">
      <c r="A3" s="70" t="s">
        <v>507</v>
      </c>
      <c r="B3" s="68">
        <v>81.292517006802697</v>
      </c>
      <c r="C3" s="68">
        <v>3.7890000000000001</v>
      </c>
      <c r="D3" s="68">
        <v>81.292517006802697</v>
      </c>
      <c r="E3" s="68">
        <v>3.7890000000000001</v>
      </c>
      <c r="F3" s="68">
        <v>95.593220338983102</v>
      </c>
      <c r="G3" s="68">
        <v>6.2097394062239903</v>
      </c>
      <c r="H3" s="68">
        <v>1182.008</v>
      </c>
      <c r="I3" s="68">
        <v>4760.5140000000001</v>
      </c>
      <c r="J3" s="68">
        <v>99.659863945578195</v>
      </c>
      <c r="K3" s="68">
        <v>8.0919511163968707</v>
      </c>
      <c r="L3" s="68">
        <v>497.96800000000002</v>
      </c>
      <c r="M3" s="68">
        <v>1665.454</v>
      </c>
      <c r="N3" s="68">
        <v>91.216216216216196</v>
      </c>
      <c r="O3" s="68">
        <v>4440</v>
      </c>
      <c r="P3" s="68">
        <v>1452.414</v>
      </c>
      <c r="Q3" s="68">
        <v>8043.44</v>
      </c>
      <c r="R3" s="68">
        <v>97.297297297297305</v>
      </c>
      <c r="S3" s="68">
        <v>870.35799999999995</v>
      </c>
      <c r="T3" s="68">
        <v>786.86</v>
      </c>
      <c r="U3" s="68">
        <v>5841.6360000000004</v>
      </c>
      <c r="V3" s="68">
        <v>91.156462585034006</v>
      </c>
      <c r="W3" s="68">
        <v>101.90258111153599</v>
      </c>
      <c r="X3" s="68">
        <v>2.95</v>
      </c>
      <c r="Y3" s="68">
        <v>92.3611111111111</v>
      </c>
      <c r="Z3" s="68">
        <v>104.535728120301</v>
      </c>
      <c r="AA3" s="68">
        <v>2.5299999999999998</v>
      </c>
      <c r="AB3" s="68"/>
      <c r="AC3" s="68"/>
    </row>
    <row r="4" spans="1:29" x14ac:dyDescent="0.25">
      <c r="A4" s="70" t="s">
        <v>417</v>
      </c>
      <c r="B4" s="68">
        <v>80.001171360355499</v>
      </c>
      <c r="C4" s="68">
        <v>2.5504032258064502</v>
      </c>
      <c r="D4" s="68">
        <v>80.001171360355499</v>
      </c>
      <c r="E4" s="68">
        <v>2.5504032258064502</v>
      </c>
      <c r="F4" s="68">
        <v>96.977098060993896</v>
      </c>
      <c r="G4" s="68">
        <v>2.5697230805934401</v>
      </c>
      <c r="H4" s="68">
        <v>5707.95</v>
      </c>
      <c r="I4" s="68">
        <v>27234.577499999999</v>
      </c>
      <c r="J4" s="68">
        <v>78.709564845735599</v>
      </c>
      <c r="K4" s="68">
        <v>3.39735990929305</v>
      </c>
      <c r="L4" s="68">
        <v>944.67750000000001</v>
      </c>
      <c r="M4" s="68">
        <v>6180.3149999999996</v>
      </c>
      <c r="N4" s="68">
        <v>98.486571850404701</v>
      </c>
      <c r="O4" s="68">
        <v>18837.823529411799</v>
      </c>
      <c r="P4" s="68">
        <v>6222.3249999999998</v>
      </c>
      <c r="Q4" s="68">
        <v>38149.084999999999</v>
      </c>
      <c r="R4" s="68">
        <v>94.855691246733997</v>
      </c>
      <c r="S4" s="68">
        <v>5552.8823529411802</v>
      </c>
      <c r="T4" s="68">
        <v>695.255</v>
      </c>
      <c r="U4" s="68">
        <v>13011.2225</v>
      </c>
      <c r="V4" s="68"/>
      <c r="W4" s="68"/>
      <c r="X4" s="68"/>
      <c r="Y4" s="68">
        <v>95.862957534563094</v>
      </c>
      <c r="Z4" s="68">
        <v>102.307312100997</v>
      </c>
      <c r="AA4" s="68">
        <v>2.6215065146579799</v>
      </c>
      <c r="AB4" s="68">
        <v>0</v>
      </c>
      <c r="AC4" s="68">
        <v>488.04152249134899</v>
      </c>
    </row>
    <row r="5" spans="1:29" x14ac:dyDescent="0.25">
      <c r="A5" s="70" t="s">
        <v>418</v>
      </c>
      <c r="B5" s="68">
        <v>75.364363824317707</v>
      </c>
      <c r="C5" s="68">
        <v>2.8811488372093002</v>
      </c>
      <c r="D5" s="68">
        <v>75.364363824317707</v>
      </c>
      <c r="E5" s="68">
        <v>2.8811488372093002</v>
      </c>
      <c r="F5" s="68">
        <v>96.164429539716906</v>
      </c>
      <c r="G5" s="68">
        <v>3.86643810808184</v>
      </c>
      <c r="H5" s="68">
        <v>2971</v>
      </c>
      <c r="I5" s="68">
        <v>13439</v>
      </c>
      <c r="J5" s="68">
        <v>74.1248869217156</v>
      </c>
      <c r="K5" s="68">
        <v>5.6273675837223296</v>
      </c>
      <c r="L5" s="68">
        <v>572</v>
      </c>
      <c r="M5" s="68">
        <v>2744</v>
      </c>
      <c r="N5" s="68">
        <v>97.856874064963804</v>
      </c>
      <c r="O5" s="68">
        <v>9999.9204152249094</v>
      </c>
      <c r="P5" s="68">
        <v>4147</v>
      </c>
      <c r="Q5" s="68">
        <v>16877</v>
      </c>
      <c r="R5" s="68">
        <v>92.814980663545697</v>
      </c>
      <c r="S5" s="68">
        <v>1517.3356401384101</v>
      </c>
      <c r="T5" s="68">
        <v>530</v>
      </c>
      <c r="U5" s="68">
        <v>2655</v>
      </c>
      <c r="V5" s="68"/>
      <c r="W5" s="68"/>
      <c r="X5" s="68"/>
      <c r="Y5" s="68">
        <v>94.758578916340298</v>
      </c>
      <c r="Z5" s="68">
        <v>103.282996369258</v>
      </c>
      <c r="AA5" s="68">
        <v>2.8576357827476002</v>
      </c>
      <c r="AB5" s="68">
        <v>0</v>
      </c>
      <c r="AC5" s="68">
        <v>430.346020761246</v>
      </c>
    </row>
    <row r="6" spans="1:29" x14ac:dyDescent="0.25">
      <c r="A6" s="70" t="s">
        <v>652</v>
      </c>
      <c r="B6" s="68">
        <v>97.248811849077399</v>
      </c>
      <c r="C6" s="68">
        <v>1.3201211072664401</v>
      </c>
      <c r="D6" s="68">
        <v>97.248811849077399</v>
      </c>
      <c r="E6" s="68">
        <v>1.3201211072664401</v>
      </c>
      <c r="F6" s="68">
        <v>100</v>
      </c>
      <c r="G6" s="68">
        <v>1.1433643721509299</v>
      </c>
      <c r="H6" s="68">
        <v>8444.9</v>
      </c>
      <c r="I6" s="68">
        <v>41030.154999999999</v>
      </c>
      <c r="J6" s="68">
        <v>95.763297608093694</v>
      </c>
      <c r="K6" s="68">
        <v>1.3731987369407701</v>
      </c>
      <c r="L6" s="68">
        <v>1317.355</v>
      </c>
      <c r="M6" s="68">
        <v>9616.6299999999992</v>
      </c>
      <c r="N6" s="68">
        <v>99.116269635845697</v>
      </c>
      <c r="O6" s="68">
        <v>27675.726643598598</v>
      </c>
      <c r="P6" s="68">
        <v>8297.65</v>
      </c>
      <c r="Q6" s="68">
        <v>59421.17</v>
      </c>
      <c r="R6" s="68">
        <v>96.896401829922297</v>
      </c>
      <c r="S6" s="68">
        <v>9588.4290657439396</v>
      </c>
      <c r="T6" s="68">
        <v>860.51</v>
      </c>
      <c r="U6" s="68">
        <v>23367.445</v>
      </c>
      <c r="V6" s="68"/>
      <c r="W6" s="68"/>
      <c r="X6" s="68"/>
      <c r="Y6" s="68">
        <v>99.451232698961903</v>
      </c>
      <c r="Z6" s="68">
        <v>99.137182246682798</v>
      </c>
      <c r="AA6" s="68">
        <v>1.85429065743945</v>
      </c>
      <c r="AB6" s="68">
        <v>0</v>
      </c>
      <c r="AC6" s="68">
        <v>545.737024221453</v>
      </c>
    </row>
    <row r="7" spans="1:29" x14ac:dyDescent="0.25">
      <c r="A7" s="70" t="s">
        <v>352</v>
      </c>
      <c r="B7" s="68">
        <v>81.292517006802697</v>
      </c>
      <c r="C7" s="68">
        <v>3.7890000000000001</v>
      </c>
      <c r="D7" s="68">
        <v>81.292517006802697</v>
      </c>
      <c r="E7" s="68">
        <v>3.7890000000000001</v>
      </c>
      <c r="F7" s="68">
        <v>95.593220338983102</v>
      </c>
      <c r="G7" s="68">
        <v>6.2097394062239903</v>
      </c>
      <c r="H7" s="68">
        <v>1182.008</v>
      </c>
      <c r="I7" s="68">
        <v>4760.5140000000001</v>
      </c>
      <c r="J7" s="68">
        <v>99.659863945578195</v>
      </c>
      <c r="K7" s="68">
        <v>8.0919511163968707</v>
      </c>
      <c r="L7" s="68">
        <v>497.96800000000002</v>
      </c>
      <c r="M7" s="68">
        <v>1665.454</v>
      </c>
      <c r="N7" s="68">
        <v>91.216216216216196</v>
      </c>
      <c r="O7" s="68">
        <v>4440</v>
      </c>
      <c r="P7" s="68">
        <v>1452.414</v>
      </c>
      <c r="Q7" s="68">
        <v>8043.44</v>
      </c>
      <c r="R7" s="68">
        <v>97.297297297297305</v>
      </c>
      <c r="S7" s="68">
        <v>870.35799999999995</v>
      </c>
      <c r="T7" s="68">
        <v>786.86</v>
      </c>
      <c r="U7" s="68">
        <v>5841.6360000000004</v>
      </c>
      <c r="V7" s="68">
        <v>91.156462585034006</v>
      </c>
      <c r="W7" s="68">
        <v>101.90258111153599</v>
      </c>
      <c r="X7" s="68">
        <v>2.95</v>
      </c>
      <c r="Y7" s="68">
        <v>92.3611111111111</v>
      </c>
      <c r="Z7" s="68">
        <v>104.535728120301</v>
      </c>
      <c r="AA7" s="68">
        <v>2.5299999999999998</v>
      </c>
      <c r="AB7" s="68"/>
      <c r="AC7" s="68"/>
    </row>
    <row r="8" spans="1:29" x14ac:dyDescent="0.25">
      <c r="A8" s="70" t="s">
        <v>508</v>
      </c>
      <c r="B8" s="68">
        <v>81.292517006802697</v>
      </c>
      <c r="C8" s="68">
        <v>3.7890000000000001</v>
      </c>
      <c r="D8" s="68">
        <v>81.292517006802697</v>
      </c>
      <c r="E8" s="68">
        <v>3.7890000000000001</v>
      </c>
      <c r="F8" s="68">
        <v>95.593220338983102</v>
      </c>
      <c r="G8" s="68">
        <v>6.2097394062239903</v>
      </c>
      <c r="H8" s="68">
        <v>1182.008</v>
      </c>
      <c r="I8" s="68">
        <v>4760.5140000000001</v>
      </c>
      <c r="J8" s="68">
        <v>99.659863945578195</v>
      </c>
      <c r="K8" s="68">
        <v>8.0919511163968707</v>
      </c>
      <c r="L8" s="68">
        <v>497.96800000000002</v>
      </c>
      <c r="M8" s="68">
        <v>1665.454</v>
      </c>
      <c r="N8" s="68">
        <v>91.216216216216196</v>
      </c>
      <c r="O8" s="68">
        <v>4440</v>
      </c>
      <c r="P8" s="68">
        <v>1452.414</v>
      </c>
      <c r="Q8" s="68">
        <v>8043.44</v>
      </c>
      <c r="R8" s="68">
        <v>97.297297297297305</v>
      </c>
      <c r="S8" s="68">
        <v>870.35799999999995</v>
      </c>
      <c r="T8" s="68">
        <v>786.86</v>
      </c>
      <c r="U8" s="68">
        <v>5841.6360000000004</v>
      </c>
      <c r="V8" s="68">
        <v>91.156462585034006</v>
      </c>
      <c r="W8" s="68">
        <v>101.90258111153599</v>
      </c>
      <c r="X8" s="68">
        <v>2.95</v>
      </c>
      <c r="Y8" s="68">
        <v>92.3611111111111</v>
      </c>
      <c r="Z8" s="68">
        <v>104.535728120301</v>
      </c>
      <c r="AA8" s="68">
        <v>2.5299999999999998</v>
      </c>
      <c r="AB8" s="68"/>
      <c r="AC8" s="68"/>
    </row>
    <row r="9" spans="1:29" x14ac:dyDescent="0.25">
      <c r="A9" s="70" t="s">
        <v>419</v>
      </c>
      <c r="B9" s="68">
        <v>95.979765038318902</v>
      </c>
      <c r="C9" s="68">
        <v>2.6694787715851298</v>
      </c>
      <c r="D9" s="68">
        <v>95.979765038318902</v>
      </c>
      <c r="E9" s="68">
        <v>2.6694787715851298</v>
      </c>
      <c r="F9" s="68">
        <v>97.989110592198799</v>
      </c>
      <c r="G9" s="68">
        <v>1.93979488758167</v>
      </c>
      <c r="H9" s="68">
        <v>4933.625</v>
      </c>
      <c r="I9" s="68">
        <v>31488.826666500001</v>
      </c>
      <c r="J9" s="68">
        <v>94.261480525685499</v>
      </c>
      <c r="K9" s="68">
        <v>2.6401020983341801</v>
      </c>
      <c r="L9" s="68">
        <v>1037.9466665</v>
      </c>
      <c r="M9" s="68">
        <v>6536.3816665000004</v>
      </c>
      <c r="N9" s="68">
        <v>96.615651460743194</v>
      </c>
      <c r="O9" s="68">
        <v>21345.166912287699</v>
      </c>
      <c r="P9" s="68">
        <v>6058.8683334999996</v>
      </c>
      <c r="Q9" s="68">
        <v>43709.361666500001</v>
      </c>
      <c r="R9" s="68">
        <v>95.239424734212406</v>
      </c>
      <c r="S9" s="68">
        <v>6503.7478702440003</v>
      </c>
      <c r="T9" s="68">
        <v>886.66</v>
      </c>
      <c r="U9" s="68">
        <v>13857.621666499999</v>
      </c>
      <c r="V9" s="68"/>
      <c r="W9" s="68"/>
      <c r="X9" s="68"/>
      <c r="Y9" s="68">
        <v>97.980233900624995</v>
      </c>
      <c r="Z9" s="68">
        <v>99.719785639633798</v>
      </c>
      <c r="AA9" s="68">
        <v>2.2956689458941599</v>
      </c>
      <c r="AB9" s="68">
        <v>0.45945416349210999</v>
      </c>
      <c r="AC9" s="68">
        <v>484.45968354021102</v>
      </c>
    </row>
    <row r="10" spans="1:29" x14ac:dyDescent="0.25">
      <c r="A10" s="70" t="s">
        <v>420</v>
      </c>
      <c r="B10" s="68">
        <v>94.996415106258496</v>
      </c>
      <c r="C10" s="68">
        <v>3.3223137688621298</v>
      </c>
      <c r="D10" s="68">
        <v>94.996415106258496</v>
      </c>
      <c r="E10" s="68">
        <v>3.3223137688621298</v>
      </c>
      <c r="F10" s="68">
        <v>97.413763695714593</v>
      </c>
      <c r="G10" s="68">
        <v>3.4588735482692101</v>
      </c>
      <c r="H10" s="68">
        <v>2996</v>
      </c>
      <c r="I10" s="68">
        <v>14099</v>
      </c>
      <c r="J10" s="68">
        <v>93.710325292569294</v>
      </c>
      <c r="K10" s="68">
        <v>5.3913848548189804</v>
      </c>
      <c r="L10" s="68">
        <v>632</v>
      </c>
      <c r="M10" s="68">
        <v>2852</v>
      </c>
      <c r="N10" s="68">
        <v>96.430039976271203</v>
      </c>
      <c r="O10" s="68">
        <v>10377.6800652115</v>
      </c>
      <c r="P10" s="68">
        <v>4111</v>
      </c>
      <c r="Q10" s="68">
        <v>17530</v>
      </c>
      <c r="R10" s="68">
        <v>90.478849468424897</v>
      </c>
      <c r="S10" s="68">
        <v>1696.4110403556001</v>
      </c>
      <c r="T10" s="68">
        <v>517</v>
      </c>
      <c r="U10" s="68">
        <v>2993</v>
      </c>
      <c r="V10" s="68"/>
      <c r="W10" s="68"/>
      <c r="X10" s="68"/>
      <c r="Y10" s="68">
        <v>96.417930888827897</v>
      </c>
      <c r="Z10" s="68">
        <v>99.407200793396598</v>
      </c>
      <c r="AA10" s="68">
        <v>2.7272962734800701</v>
      </c>
      <c r="AB10" s="68">
        <v>0</v>
      </c>
      <c r="AC10" s="68">
        <v>429.06721281903799</v>
      </c>
    </row>
    <row r="11" spans="1:29" x14ac:dyDescent="0.25">
      <c r="A11" s="70" t="s">
        <v>653</v>
      </c>
      <c r="B11" s="68">
        <v>97.933134373227603</v>
      </c>
      <c r="C11" s="68">
        <v>1.37265876594977</v>
      </c>
      <c r="D11" s="68">
        <v>97.933134373227603</v>
      </c>
      <c r="E11" s="68">
        <v>1.37265876594977</v>
      </c>
      <c r="F11" s="68">
        <v>99.132004843660496</v>
      </c>
      <c r="G11" s="68">
        <v>1.03598696659148</v>
      </c>
      <c r="H11" s="68">
        <v>6871.25</v>
      </c>
      <c r="I11" s="68">
        <v>48878.653333000002</v>
      </c>
      <c r="J11" s="68">
        <v>95.356319398443404</v>
      </c>
      <c r="K11" s="68">
        <v>1.3110676058501201</v>
      </c>
      <c r="L11" s="68">
        <v>1443.893333</v>
      </c>
      <c r="M11" s="68">
        <v>10220.763333000001</v>
      </c>
      <c r="N11" s="68">
        <v>96.8012629452152</v>
      </c>
      <c r="O11" s="68">
        <v>32312.6537593639</v>
      </c>
      <c r="P11" s="68">
        <v>8006.7366670000001</v>
      </c>
      <c r="Q11" s="68">
        <v>69888.723333000002</v>
      </c>
      <c r="R11" s="68">
        <v>100</v>
      </c>
      <c r="S11" s="68">
        <v>11311.0847001324</v>
      </c>
      <c r="T11" s="68">
        <v>1256.32</v>
      </c>
      <c r="U11" s="68">
        <v>24722.243332999999</v>
      </c>
      <c r="V11" s="68"/>
      <c r="W11" s="68"/>
      <c r="X11" s="68"/>
      <c r="Y11" s="68">
        <v>99.542536912422094</v>
      </c>
      <c r="Z11" s="68">
        <v>100.032370485871</v>
      </c>
      <c r="AA11" s="68">
        <v>1.86404161830824</v>
      </c>
      <c r="AB11" s="68">
        <v>0.91890832698422098</v>
      </c>
      <c r="AC11" s="68">
        <v>539.85215426138404</v>
      </c>
    </row>
    <row r="12" spans="1:29" x14ac:dyDescent="0.25">
      <c r="A12" s="70" t="s">
        <v>60</v>
      </c>
      <c r="B12" s="68">
        <v>97.718631178707199</v>
      </c>
      <c r="C12" s="68">
        <v>4.9720000000000004</v>
      </c>
      <c r="D12" s="68">
        <v>97.718631178707199</v>
      </c>
      <c r="E12" s="68">
        <v>4.9720000000000004</v>
      </c>
      <c r="F12" s="68">
        <v>98.490566037735803</v>
      </c>
      <c r="G12" s="68">
        <v>5.5294313523437504</v>
      </c>
      <c r="H12" s="68">
        <v>1615.4739999999999</v>
      </c>
      <c r="I12" s="68">
        <v>5372.116</v>
      </c>
      <c r="J12" s="68">
        <v>99.619771863117904</v>
      </c>
      <c r="K12" s="68">
        <v>5.8196863393661404</v>
      </c>
      <c r="L12" s="68">
        <v>717.38800000000003</v>
      </c>
      <c r="M12" s="68">
        <v>2127.8719999999998</v>
      </c>
      <c r="N12" s="68">
        <v>96.183206106870202</v>
      </c>
      <c r="O12" s="68">
        <v>4510.0219999999999</v>
      </c>
      <c r="P12" s="68">
        <v>2034.2339999999999</v>
      </c>
      <c r="Q12" s="68">
        <v>7456.84</v>
      </c>
      <c r="R12" s="68">
        <v>97.674418604651194</v>
      </c>
      <c r="S12" s="68">
        <v>1410.376</v>
      </c>
      <c r="T12" s="68">
        <v>561.30200000000002</v>
      </c>
      <c r="U12" s="68">
        <v>2378.4140000000002</v>
      </c>
      <c r="V12" s="68">
        <v>84.790874524714795</v>
      </c>
      <c r="W12" s="68">
        <v>94.057961002039093</v>
      </c>
      <c r="X12" s="68">
        <v>1.978</v>
      </c>
      <c r="Y12" s="68">
        <v>83.846153846153797</v>
      </c>
      <c r="Z12" s="68">
        <v>96.899638532110103</v>
      </c>
      <c r="AA12" s="68">
        <v>1.978</v>
      </c>
      <c r="AB12" s="68"/>
      <c r="AC12" s="68"/>
    </row>
    <row r="13" spans="1:29" x14ac:dyDescent="0.25">
      <c r="A13" s="70" t="s">
        <v>509</v>
      </c>
      <c r="B13" s="68">
        <v>97.718631178707199</v>
      </c>
      <c r="C13" s="68">
        <v>4.9720000000000004</v>
      </c>
      <c r="D13" s="68">
        <v>97.718631178707199</v>
      </c>
      <c r="E13" s="68">
        <v>4.9720000000000004</v>
      </c>
      <c r="F13" s="68">
        <v>98.490566037735803</v>
      </c>
      <c r="G13" s="68">
        <v>5.5294313523437504</v>
      </c>
      <c r="H13" s="68">
        <v>1615.4739999999999</v>
      </c>
      <c r="I13" s="68">
        <v>5372.116</v>
      </c>
      <c r="J13" s="68">
        <v>99.619771863117904</v>
      </c>
      <c r="K13" s="68">
        <v>5.8196863393661404</v>
      </c>
      <c r="L13" s="68">
        <v>717.38800000000003</v>
      </c>
      <c r="M13" s="68">
        <v>2127.8719999999998</v>
      </c>
      <c r="N13" s="68">
        <v>96.183206106870202</v>
      </c>
      <c r="O13" s="68">
        <v>4510.0219999999999</v>
      </c>
      <c r="P13" s="68">
        <v>2034.2339999999999</v>
      </c>
      <c r="Q13" s="68">
        <v>7456.84</v>
      </c>
      <c r="R13" s="68">
        <v>97.674418604651194</v>
      </c>
      <c r="S13" s="68">
        <v>1410.376</v>
      </c>
      <c r="T13" s="68">
        <v>561.30200000000002</v>
      </c>
      <c r="U13" s="68">
        <v>2378.4140000000002</v>
      </c>
      <c r="V13" s="68">
        <v>84.790874524714795</v>
      </c>
      <c r="W13" s="68">
        <v>94.057961002039093</v>
      </c>
      <c r="X13" s="68">
        <v>1.978</v>
      </c>
      <c r="Y13" s="68">
        <v>83.846153846153797</v>
      </c>
      <c r="Z13" s="68">
        <v>96.899638532110103</v>
      </c>
      <c r="AA13" s="68">
        <v>1.978</v>
      </c>
      <c r="AB13" s="68"/>
      <c r="AC13" s="68"/>
    </row>
    <row r="14" spans="1:29" x14ac:dyDescent="0.25">
      <c r="A14" s="70" t="s">
        <v>421</v>
      </c>
      <c r="B14" s="68">
        <v>80.376511608160399</v>
      </c>
      <c r="C14" s="68">
        <v>2.7727199413489698</v>
      </c>
      <c r="D14" s="68">
        <v>80.376511608160399</v>
      </c>
      <c r="E14" s="68">
        <v>2.7727199413489698</v>
      </c>
      <c r="F14" s="68">
        <v>89.240515699442398</v>
      </c>
      <c r="G14" s="68">
        <v>2.9551890778756</v>
      </c>
      <c r="H14" s="68">
        <v>2009.1524999999999</v>
      </c>
      <c r="I14" s="68">
        <v>24870.78</v>
      </c>
      <c r="J14" s="68">
        <v>84.052496407318898</v>
      </c>
      <c r="K14" s="68">
        <v>3.2941349358999501</v>
      </c>
      <c r="L14" s="68">
        <v>1189.0225</v>
      </c>
      <c r="M14" s="68">
        <v>6551.915</v>
      </c>
      <c r="N14" s="68">
        <v>97.059338026078805</v>
      </c>
      <c r="O14" s="68">
        <v>16159.314878892699</v>
      </c>
      <c r="P14" s="68">
        <v>2647.8024999999998</v>
      </c>
      <c r="Q14" s="68">
        <v>31334.0625</v>
      </c>
      <c r="R14" s="68">
        <v>94.179169790134907</v>
      </c>
      <c r="S14" s="68">
        <v>7726.3581314878902</v>
      </c>
      <c r="T14" s="68">
        <v>925.495</v>
      </c>
      <c r="U14" s="68">
        <v>19795.7</v>
      </c>
      <c r="V14" s="68"/>
      <c r="W14" s="68"/>
      <c r="X14" s="68"/>
      <c r="Y14" s="68">
        <v>95.625971765528007</v>
      </c>
      <c r="Z14" s="68">
        <v>101.45343215438299</v>
      </c>
      <c r="AA14" s="68">
        <v>3.1944218241042299</v>
      </c>
      <c r="AB14" s="68">
        <v>0.31080625899500902</v>
      </c>
      <c r="AC14" s="68">
        <v>414.03633217993098</v>
      </c>
    </row>
    <row r="15" spans="1:29" x14ac:dyDescent="0.25">
      <c r="A15" s="70" t="s">
        <v>422</v>
      </c>
      <c r="B15" s="68">
        <v>77.583627268951204</v>
      </c>
      <c r="C15" s="68">
        <v>3.0039441860465099</v>
      </c>
      <c r="D15" s="68">
        <v>77.583627268951204</v>
      </c>
      <c r="E15" s="68">
        <v>3.0039441860465099</v>
      </c>
      <c r="F15" s="68">
        <v>87.061633857205194</v>
      </c>
      <c r="G15" s="68">
        <v>4.9551370959150001</v>
      </c>
      <c r="H15" s="68">
        <v>1867</v>
      </c>
      <c r="I15" s="68">
        <v>7722</v>
      </c>
      <c r="J15" s="68">
        <v>81.669938161036697</v>
      </c>
      <c r="K15" s="68">
        <v>5.4266520961780902</v>
      </c>
      <c r="L15" s="68">
        <v>1126</v>
      </c>
      <c r="M15" s="68">
        <v>2845</v>
      </c>
      <c r="N15" s="68">
        <v>98.164401264113494</v>
      </c>
      <c r="O15" s="68">
        <v>5104.5882352941198</v>
      </c>
      <c r="P15" s="68">
        <v>2382</v>
      </c>
      <c r="Q15" s="68">
        <v>8548</v>
      </c>
      <c r="R15" s="68">
        <v>97.052065947486298</v>
      </c>
      <c r="S15" s="68">
        <v>1854.7820069204199</v>
      </c>
      <c r="T15" s="68">
        <v>811</v>
      </c>
      <c r="U15" s="68">
        <v>2854</v>
      </c>
      <c r="V15" s="68"/>
      <c r="W15" s="68"/>
      <c r="X15" s="68"/>
      <c r="Y15" s="68">
        <v>96.011031492987698</v>
      </c>
      <c r="Z15" s="68">
        <v>102.151997429849</v>
      </c>
      <c r="AA15" s="68">
        <v>3.3893503727369501</v>
      </c>
      <c r="AB15" s="68">
        <v>0</v>
      </c>
      <c r="AC15" s="68">
        <v>360.64359861591703</v>
      </c>
    </row>
    <row r="16" spans="1:29" x14ac:dyDescent="0.25">
      <c r="A16" s="70" t="s">
        <v>654</v>
      </c>
      <c r="B16" s="68">
        <v>90.765268233246402</v>
      </c>
      <c r="C16" s="68">
        <v>1.9126297577854701</v>
      </c>
      <c r="D16" s="68">
        <v>90.765268233246402</v>
      </c>
      <c r="E16" s="68">
        <v>1.9126297577854701</v>
      </c>
      <c r="F16" s="68">
        <v>97.345353001881904</v>
      </c>
      <c r="G16" s="68">
        <v>1.1814511970435999</v>
      </c>
      <c r="H16" s="68">
        <v>2151.3049999999998</v>
      </c>
      <c r="I16" s="68">
        <v>42019.56</v>
      </c>
      <c r="J16" s="68">
        <v>92.914953551794099</v>
      </c>
      <c r="K16" s="68">
        <v>1.3381308464038399</v>
      </c>
      <c r="L16" s="68">
        <v>1252.0450000000001</v>
      </c>
      <c r="M16" s="68">
        <v>10258.83</v>
      </c>
      <c r="N16" s="68">
        <v>95.954274788044103</v>
      </c>
      <c r="O16" s="68">
        <v>27214.041522491301</v>
      </c>
      <c r="P16" s="68">
        <v>2913.605</v>
      </c>
      <c r="Q16" s="68">
        <v>54120.125</v>
      </c>
      <c r="R16" s="68">
        <v>91.306273632783501</v>
      </c>
      <c r="S16" s="68">
        <v>13597.9342560554</v>
      </c>
      <c r="T16" s="68">
        <v>1039.99</v>
      </c>
      <c r="U16" s="68">
        <v>36737.4</v>
      </c>
      <c r="V16" s="68"/>
      <c r="W16" s="68"/>
      <c r="X16" s="68"/>
      <c r="Y16" s="68">
        <v>94.374860747933994</v>
      </c>
      <c r="Z16" s="68">
        <v>99.183699304339598</v>
      </c>
      <c r="AA16" s="68">
        <v>2.5610726643598598</v>
      </c>
      <c r="AB16" s="68">
        <v>0.62161251799001704</v>
      </c>
      <c r="AC16" s="68">
        <v>467.42906574394499</v>
      </c>
    </row>
    <row r="17" spans="1:29" x14ac:dyDescent="0.25">
      <c r="A17" s="70" t="s">
        <v>353</v>
      </c>
      <c r="B17" s="68">
        <v>97.718631178707199</v>
      </c>
      <c r="C17" s="68">
        <v>4.9720000000000004</v>
      </c>
      <c r="D17" s="68">
        <v>97.718631178707199</v>
      </c>
      <c r="E17" s="68">
        <v>4.9720000000000004</v>
      </c>
      <c r="F17" s="68">
        <v>98.490566037735803</v>
      </c>
      <c r="G17" s="68">
        <v>5.5294313523437504</v>
      </c>
      <c r="H17" s="68">
        <v>1615.4739999999999</v>
      </c>
      <c r="I17" s="68">
        <v>5372.116</v>
      </c>
      <c r="J17" s="68">
        <v>99.619771863117904</v>
      </c>
      <c r="K17" s="68">
        <v>5.8196863393661404</v>
      </c>
      <c r="L17" s="68">
        <v>717.38800000000003</v>
      </c>
      <c r="M17" s="68">
        <v>2127.8719999999998</v>
      </c>
      <c r="N17" s="68">
        <v>96.183206106870202</v>
      </c>
      <c r="O17" s="68">
        <v>4510.0219999999999</v>
      </c>
      <c r="P17" s="68">
        <v>2034.2339999999999</v>
      </c>
      <c r="Q17" s="68">
        <v>7456.84</v>
      </c>
      <c r="R17" s="68">
        <v>97.674418604651194</v>
      </c>
      <c r="S17" s="68">
        <v>1410.376</v>
      </c>
      <c r="T17" s="68">
        <v>561.30200000000002</v>
      </c>
      <c r="U17" s="68">
        <v>2378.4140000000002</v>
      </c>
      <c r="V17" s="68">
        <v>84.790874524714795</v>
      </c>
      <c r="W17" s="68">
        <v>94.057961002039093</v>
      </c>
      <c r="X17" s="68">
        <v>1.978</v>
      </c>
      <c r="Y17" s="68">
        <v>83.846153846153797</v>
      </c>
      <c r="Z17" s="68">
        <v>96.899638532110103</v>
      </c>
      <c r="AA17" s="68">
        <v>1.978</v>
      </c>
      <c r="AB17" s="68"/>
      <c r="AC17" s="68"/>
    </row>
    <row r="18" spans="1:29" x14ac:dyDescent="0.25">
      <c r="A18" s="70" t="s">
        <v>510</v>
      </c>
      <c r="B18" s="68">
        <v>97.718631178707199</v>
      </c>
      <c r="C18" s="68">
        <v>4.9720000000000004</v>
      </c>
      <c r="D18" s="68">
        <v>97.718631178707199</v>
      </c>
      <c r="E18" s="68">
        <v>4.9720000000000004</v>
      </c>
      <c r="F18" s="68">
        <v>98.490566037735803</v>
      </c>
      <c r="G18" s="68">
        <v>5.5294313523437504</v>
      </c>
      <c r="H18" s="68">
        <v>1615.4739999999999</v>
      </c>
      <c r="I18" s="68">
        <v>5372.116</v>
      </c>
      <c r="J18" s="68">
        <v>99.619771863117904</v>
      </c>
      <c r="K18" s="68">
        <v>5.8196863393661404</v>
      </c>
      <c r="L18" s="68">
        <v>717.38800000000003</v>
      </c>
      <c r="M18" s="68">
        <v>2127.8719999999998</v>
      </c>
      <c r="N18" s="68">
        <v>96.183206106870202</v>
      </c>
      <c r="O18" s="68">
        <v>4510.0219999999999</v>
      </c>
      <c r="P18" s="68">
        <v>2034.2339999999999</v>
      </c>
      <c r="Q18" s="68">
        <v>7456.84</v>
      </c>
      <c r="R18" s="68">
        <v>97.674418604651194</v>
      </c>
      <c r="S18" s="68">
        <v>1410.376</v>
      </c>
      <c r="T18" s="68">
        <v>561.30200000000002</v>
      </c>
      <c r="U18" s="68">
        <v>2378.4140000000002</v>
      </c>
      <c r="V18" s="68">
        <v>84.790874524714795</v>
      </c>
      <c r="W18" s="68">
        <v>94.057961002039093</v>
      </c>
      <c r="X18" s="68">
        <v>1.978</v>
      </c>
      <c r="Y18" s="68">
        <v>83.846153846153797</v>
      </c>
      <c r="Z18" s="68">
        <v>96.899638532110103</v>
      </c>
      <c r="AA18" s="68">
        <v>1.978</v>
      </c>
      <c r="AB18" s="68"/>
      <c r="AC18" s="68"/>
    </row>
    <row r="19" spans="1:29" x14ac:dyDescent="0.25">
      <c r="A19" s="70" t="s">
        <v>423</v>
      </c>
      <c r="B19" s="68">
        <v>96.105699393564095</v>
      </c>
      <c r="C19" s="68">
        <v>3.12192341838223</v>
      </c>
      <c r="D19" s="68">
        <v>96.105699393564095</v>
      </c>
      <c r="E19" s="68">
        <v>3.12192341838223</v>
      </c>
      <c r="F19" s="68">
        <v>98.124594354219099</v>
      </c>
      <c r="G19" s="68">
        <v>2.3883167888001799</v>
      </c>
      <c r="H19" s="68">
        <v>4077.2150000000001</v>
      </c>
      <c r="I19" s="68">
        <v>23617.026666500002</v>
      </c>
      <c r="J19" s="68">
        <v>97.697844089011795</v>
      </c>
      <c r="K19" s="68">
        <v>2.2715606730622202</v>
      </c>
      <c r="L19" s="68">
        <v>1994.2449999999999</v>
      </c>
      <c r="M19" s="68">
        <v>6385.6733334999999</v>
      </c>
      <c r="N19" s="68">
        <v>99.792713959786198</v>
      </c>
      <c r="O19" s="68">
        <v>17232.776110995801</v>
      </c>
      <c r="P19" s="68">
        <v>5531.9716664999996</v>
      </c>
      <c r="Q19" s="68">
        <v>32148.296666499999</v>
      </c>
      <c r="R19" s="68">
        <v>98.473942002214002</v>
      </c>
      <c r="S19" s="68">
        <v>8787.6291076296802</v>
      </c>
      <c r="T19" s="68">
        <v>1997.0283334999999</v>
      </c>
      <c r="U19" s="68">
        <v>16754.131666500001</v>
      </c>
      <c r="V19" s="68"/>
      <c r="W19" s="68"/>
      <c r="X19" s="68"/>
      <c r="Y19" s="68">
        <v>99.526783187500499</v>
      </c>
      <c r="Z19" s="68">
        <v>100.075193463438</v>
      </c>
      <c r="AA19" s="68">
        <v>2.5114956111540301</v>
      </c>
      <c r="AB19" s="68">
        <v>0.440911241318303</v>
      </c>
      <c r="AC19" s="68">
        <v>427.2185726976</v>
      </c>
    </row>
    <row r="20" spans="1:29" x14ac:dyDescent="0.25">
      <c r="A20" s="70" t="s">
        <v>424</v>
      </c>
      <c r="B20" s="68">
        <v>95.330624256192294</v>
      </c>
      <c r="C20" s="68">
        <v>3.9253851755268201</v>
      </c>
      <c r="D20" s="68">
        <v>95.330624256192294</v>
      </c>
      <c r="E20" s="68">
        <v>3.9253851755268201</v>
      </c>
      <c r="F20" s="68">
        <v>97.849621276164001</v>
      </c>
      <c r="G20" s="68">
        <v>5.9233759903078704</v>
      </c>
      <c r="H20" s="68">
        <v>2288</v>
      </c>
      <c r="I20" s="68">
        <v>8170</v>
      </c>
      <c r="J20" s="68">
        <v>97.212939566257205</v>
      </c>
      <c r="K20" s="68">
        <v>4.9227328069132703</v>
      </c>
      <c r="L20" s="68">
        <v>896</v>
      </c>
      <c r="M20" s="68">
        <v>2744</v>
      </c>
      <c r="N20" s="68">
        <v>100</v>
      </c>
      <c r="O20" s="68">
        <v>5607.9089080469603</v>
      </c>
      <c r="P20" s="68">
        <v>2145</v>
      </c>
      <c r="Q20" s="68">
        <v>10130</v>
      </c>
      <c r="R20" s="68">
        <v>98.639432531444996</v>
      </c>
      <c r="S20" s="68">
        <v>1810.9143570910701</v>
      </c>
      <c r="T20" s="68">
        <v>727</v>
      </c>
      <c r="U20" s="68">
        <v>2971</v>
      </c>
      <c r="V20" s="68"/>
      <c r="W20" s="68"/>
      <c r="X20" s="68"/>
      <c r="Y20" s="68">
        <v>99.487420877774099</v>
      </c>
      <c r="Z20" s="68">
        <v>100.08820111481199</v>
      </c>
      <c r="AA20" s="68">
        <v>2.8514145391796801</v>
      </c>
      <c r="AB20" s="68">
        <v>0</v>
      </c>
      <c r="AC20" s="68">
        <v>367.16209629934701</v>
      </c>
    </row>
    <row r="21" spans="1:29" x14ac:dyDescent="0.25">
      <c r="A21" s="70" t="s">
        <v>655</v>
      </c>
      <c r="B21" s="68">
        <v>97.645342562522103</v>
      </c>
      <c r="C21" s="68">
        <v>1.52589182575312</v>
      </c>
      <c r="D21" s="68">
        <v>97.645342562522103</v>
      </c>
      <c r="E21" s="68">
        <v>1.52589182575312</v>
      </c>
      <c r="F21" s="68">
        <v>98.670812908862104</v>
      </c>
      <c r="G21" s="68">
        <v>1.0927982186849801</v>
      </c>
      <c r="H21" s="68">
        <v>5866.43</v>
      </c>
      <c r="I21" s="68">
        <v>39064.053333000003</v>
      </c>
      <c r="J21" s="68">
        <v>98.6610796516796</v>
      </c>
      <c r="K21" s="68">
        <v>1.09747136477819</v>
      </c>
      <c r="L21" s="68">
        <v>3092.49</v>
      </c>
      <c r="M21" s="68">
        <v>10027.346667</v>
      </c>
      <c r="N21" s="68">
        <v>99.585427919572396</v>
      </c>
      <c r="O21" s="68">
        <v>28857.643313944602</v>
      </c>
      <c r="P21" s="68">
        <v>8918.9433329999993</v>
      </c>
      <c r="Q21" s="68">
        <v>54166.593332999997</v>
      </c>
      <c r="R21" s="68">
        <v>98.308451472983094</v>
      </c>
      <c r="S21" s="68">
        <v>15764.3438581683</v>
      </c>
      <c r="T21" s="68">
        <v>3267.0566669999998</v>
      </c>
      <c r="U21" s="68">
        <v>30537.263332999999</v>
      </c>
      <c r="V21" s="68"/>
      <c r="W21" s="68"/>
      <c r="X21" s="68"/>
      <c r="Y21" s="68">
        <v>99.566145497226998</v>
      </c>
      <c r="Z21" s="68">
        <v>100.062185812064</v>
      </c>
      <c r="AA21" s="68">
        <v>2.17157668312838</v>
      </c>
      <c r="AB21" s="68">
        <v>0.88182248263660601</v>
      </c>
      <c r="AC21" s="68">
        <v>487.27504909585298</v>
      </c>
    </row>
    <row r="22" spans="1:29" ht="30" x14ac:dyDescent="0.25">
      <c r="A22" s="70" t="s">
        <v>620</v>
      </c>
      <c r="B22" s="68">
        <v>57.391320125067097</v>
      </c>
      <c r="C22" s="68">
        <v>3.3210232558139499</v>
      </c>
      <c r="D22" s="68">
        <v>57.391320125067097</v>
      </c>
      <c r="E22" s="68">
        <v>3.3210232558139499</v>
      </c>
      <c r="F22" s="68">
        <v>82.292068754435306</v>
      </c>
      <c r="G22" s="68">
        <v>13.5095228912809</v>
      </c>
      <c r="H22" s="68">
        <v>1632</v>
      </c>
      <c r="I22" s="68">
        <v>1945</v>
      </c>
      <c r="J22" s="68">
        <v>0.24089687760585601</v>
      </c>
      <c r="K22" s="68">
        <v>73.220261419214594</v>
      </c>
      <c r="L22" s="68">
        <v>0</v>
      </c>
      <c r="M22" s="68">
        <v>0</v>
      </c>
      <c r="N22" s="68">
        <v>93.719804029363303</v>
      </c>
      <c r="O22" s="68">
        <v>1837.4567474048399</v>
      </c>
      <c r="P22" s="68">
        <v>1628</v>
      </c>
      <c r="Q22" s="68">
        <v>1975</v>
      </c>
      <c r="R22" s="68">
        <v>92.710713586211398</v>
      </c>
      <c r="S22" s="68">
        <v>297.30795847750898</v>
      </c>
      <c r="T22" s="68">
        <v>217</v>
      </c>
      <c r="U22" s="68">
        <v>365</v>
      </c>
      <c r="V22" s="68"/>
      <c r="W22" s="68"/>
      <c r="X22" s="68"/>
      <c r="Y22" s="68">
        <v>73.059929439222898</v>
      </c>
      <c r="Z22" s="68">
        <v>135.02962547652601</v>
      </c>
      <c r="AA22" s="68">
        <v>5.6084238551650696</v>
      </c>
      <c r="AB22" s="68">
        <v>0</v>
      </c>
      <c r="AC22" s="68">
        <v>229.48788927335599</v>
      </c>
    </row>
    <row r="23" spans="1:29" x14ac:dyDescent="0.25">
      <c r="A23" s="70" t="s">
        <v>621</v>
      </c>
      <c r="B23" s="68">
        <v>57.391320125067097</v>
      </c>
      <c r="C23" s="68">
        <v>3.3210232558139499</v>
      </c>
      <c r="D23" s="68">
        <v>57.391320125067097</v>
      </c>
      <c r="E23" s="68">
        <v>3.3210232558139499</v>
      </c>
      <c r="F23" s="68">
        <v>82.292068754435306</v>
      </c>
      <c r="G23" s="68">
        <v>13.5095228912809</v>
      </c>
      <c r="H23" s="68">
        <v>1632</v>
      </c>
      <c r="I23" s="68">
        <v>1945</v>
      </c>
      <c r="J23" s="68">
        <v>0.24089687760585601</v>
      </c>
      <c r="K23" s="68">
        <v>73.220261419214594</v>
      </c>
      <c r="L23" s="68">
        <v>0</v>
      </c>
      <c r="M23" s="68">
        <v>0</v>
      </c>
      <c r="N23" s="68">
        <v>93.719804029363303</v>
      </c>
      <c r="O23" s="68">
        <v>1837.4567474048399</v>
      </c>
      <c r="P23" s="68">
        <v>1628</v>
      </c>
      <c r="Q23" s="68">
        <v>1975</v>
      </c>
      <c r="R23" s="68">
        <v>92.710713586211398</v>
      </c>
      <c r="S23" s="68">
        <v>297.30795847750898</v>
      </c>
      <c r="T23" s="68">
        <v>217</v>
      </c>
      <c r="U23" s="68">
        <v>365</v>
      </c>
      <c r="V23" s="68"/>
      <c r="W23" s="68"/>
      <c r="X23" s="68"/>
      <c r="Y23" s="68">
        <v>73.059929439222898</v>
      </c>
      <c r="Z23" s="68">
        <v>135.02962547652601</v>
      </c>
      <c r="AA23" s="68">
        <v>5.6084238551650696</v>
      </c>
      <c r="AB23" s="68">
        <v>0</v>
      </c>
      <c r="AC23" s="68">
        <v>229.48788927335599</v>
      </c>
    </row>
    <row r="24" spans="1:29" ht="30" x14ac:dyDescent="0.25">
      <c r="A24" s="70" t="s">
        <v>622</v>
      </c>
      <c r="B24" s="68">
        <v>95.389320064068798</v>
      </c>
      <c r="C24" s="68">
        <v>4.7246336650877501</v>
      </c>
      <c r="D24" s="68">
        <v>95.389320064068798</v>
      </c>
      <c r="E24" s="68">
        <v>4.7246336650877501</v>
      </c>
      <c r="F24" s="68">
        <v>98.936556985300001</v>
      </c>
      <c r="G24" s="68">
        <v>13.188219271466</v>
      </c>
      <c r="H24" s="68">
        <v>1841</v>
      </c>
      <c r="I24" s="68">
        <v>1942</v>
      </c>
      <c r="J24" s="68">
        <v>30.297630572113398</v>
      </c>
      <c r="K24" s="68">
        <v>47.749164190493701</v>
      </c>
      <c r="L24" s="68">
        <v>0</v>
      </c>
      <c r="M24" s="68">
        <v>0</v>
      </c>
      <c r="N24" s="68">
        <v>99.432745771403404</v>
      </c>
      <c r="O24" s="68">
        <v>1949.2771524745301</v>
      </c>
      <c r="P24" s="68">
        <v>1930</v>
      </c>
      <c r="Q24" s="68">
        <v>1975</v>
      </c>
      <c r="R24" s="68">
        <v>97.206550153671699</v>
      </c>
      <c r="S24" s="68">
        <v>298.26060453417699</v>
      </c>
      <c r="T24" s="68">
        <v>220</v>
      </c>
      <c r="U24" s="68">
        <v>365</v>
      </c>
      <c r="V24" s="68"/>
      <c r="W24" s="68"/>
      <c r="X24" s="68"/>
      <c r="Y24" s="68">
        <v>98.283898137366407</v>
      </c>
      <c r="Z24" s="68">
        <v>100.128011548285</v>
      </c>
      <c r="AA24" s="68">
        <v>3.3000049691470399</v>
      </c>
      <c r="AB24" s="68">
        <v>0</v>
      </c>
      <c r="AC24" s="68">
        <v>231.67198864583901</v>
      </c>
    </row>
    <row r="25" spans="1:29" ht="30" x14ac:dyDescent="0.25">
      <c r="A25" s="70" t="s">
        <v>623</v>
      </c>
      <c r="B25" s="68">
        <v>95.389320064068798</v>
      </c>
      <c r="C25" s="68">
        <v>4.7246336650877501</v>
      </c>
      <c r="D25" s="68">
        <v>95.389320064068798</v>
      </c>
      <c r="E25" s="68">
        <v>4.7246336650877501</v>
      </c>
      <c r="F25" s="68">
        <v>98.936556985300001</v>
      </c>
      <c r="G25" s="68">
        <v>13.188219271466</v>
      </c>
      <c r="H25" s="68">
        <v>1841</v>
      </c>
      <c r="I25" s="68">
        <v>1942</v>
      </c>
      <c r="J25" s="68">
        <v>30.297630572113398</v>
      </c>
      <c r="K25" s="68">
        <v>47.749164190493701</v>
      </c>
      <c r="L25" s="68">
        <v>0</v>
      </c>
      <c r="M25" s="68">
        <v>0</v>
      </c>
      <c r="N25" s="68">
        <v>99.432745771403404</v>
      </c>
      <c r="O25" s="68">
        <v>1949.2771524745301</v>
      </c>
      <c r="P25" s="68">
        <v>1930</v>
      </c>
      <c r="Q25" s="68">
        <v>1975</v>
      </c>
      <c r="R25" s="68">
        <v>97.206550153671699</v>
      </c>
      <c r="S25" s="68">
        <v>298.26060453417699</v>
      </c>
      <c r="T25" s="68">
        <v>220</v>
      </c>
      <c r="U25" s="68">
        <v>365</v>
      </c>
      <c r="V25" s="68"/>
      <c r="W25" s="68"/>
      <c r="X25" s="68"/>
      <c r="Y25" s="68">
        <v>98.283898137366407</v>
      </c>
      <c r="Z25" s="68">
        <v>100.128011548285</v>
      </c>
      <c r="AA25" s="68">
        <v>3.3000049691470399</v>
      </c>
      <c r="AB25" s="68">
        <v>0</v>
      </c>
      <c r="AC25" s="68">
        <v>231.67198864583901</v>
      </c>
    </row>
    <row r="26" spans="1:29" x14ac:dyDescent="0.25">
      <c r="A26" s="70" t="s">
        <v>62</v>
      </c>
      <c r="B26" s="68">
        <v>73.231357552581301</v>
      </c>
      <c r="C26" s="68">
        <v>4.2450000000000001</v>
      </c>
      <c r="D26" s="68">
        <v>73.231357552581301</v>
      </c>
      <c r="E26" s="68">
        <v>4.2450000000000001</v>
      </c>
      <c r="F26" s="68">
        <v>94.007490636704105</v>
      </c>
      <c r="G26" s="68">
        <v>4.3775088383784402</v>
      </c>
      <c r="H26" s="68">
        <v>1611.404</v>
      </c>
      <c r="I26" s="68">
        <v>6889.34</v>
      </c>
      <c r="J26" s="68">
        <v>98.4962406015038</v>
      </c>
      <c r="K26" s="68">
        <v>5.6046862620875002</v>
      </c>
      <c r="L26" s="68">
        <v>618.52800000000002</v>
      </c>
      <c r="M26" s="68">
        <v>2753.2660000000001</v>
      </c>
      <c r="N26" s="68">
        <v>95.419847328244302</v>
      </c>
      <c r="O26" s="68">
        <v>6734.26</v>
      </c>
      <c r="P26" s="68">
        <v>2298.5219999999999</v>
      </c>
      <c r="Q26" s="68">
        <v>11336.103999999999</v>
      </c>
      <c r="R26" s="68">
        <v>98.461538461538495</v>
      </c>
      <c r="S26" s="68">
        <v>1531.45</v>
      </c>
      <c r="T26" s="68">
        <v>266.178</v>
      </c>
      <c r="U26" s="68">
        <v>3048.9140000000002</v>
      </c>
      <c r="V26" s="68">
        <v>95.366795366795401</v>
      </c>
      <c r="W26" s="68">
        <v>97.699667109130104</v>
      </c>
      <c r="X26" s="68">
        <v>2.0219999999999998</v>
      </c>
      <c r="Y26" s="68">
        <v>94.552529182879397</v>
      </c>
      <c r="Z26" s="68">
        <v>100.807583703704</v>
      </c>
      <c r="AA26" s="68">
        <v>2.008</v>
      </c>
      <c r="AB26" s="68"/>
      <c r="AC26" s="68"/>
    </row>
    <row r="27" spans="1:29" x14ac:dyDescent="0.25">
      <c r="A27" s="70" t="s">
        <v>511</v>
      </c>
      <c r="B27" s="68">
        <v>73.231357552581301</v>
      </c>
      <c r="C27" s="68">
        <v>4.2450000000000001</v>
      </c>
      <c r="D27" s="68">
        <v>73.231357552581301</v>
      </c>
      <c r="E27" s="68">
        <v>4.2450000000000001</v>
      </c>
      <c r="F27" s="68">
        <v>94.007490636704105</v>
      </c>
      <c r="G27" s="68">
        <v>4.3775088383784402</v>
      </c>
      <c r="H27" s="68">
        <v>1611.404</v>
      </c>
      <c r="I27" s="68">
        <v>6889.34</v>
      </c>
      <c r="J27" s="68">
        <v>98.4962406015038</v>
      </c>
      <c r="K27" s="68">
        <v>5.6046862620875002</v>
      </c>
      <c r="L27" s="68">
        <v>618.52800000000002</v>
      </c>
      <c r="M27" s="68">
        <v>2753.2660000000001</v>
      </c>
      <c r="N27" s="68">
        <v>95.419847328244302</v>
      </c>
      <c r="O27" s="68">
        <v>6734.26</v>
      </c>
      <c r="P27" s="68">
        <v>2298.5219999999999</v>
      </c>
      <c r="Q27" s="68">
        <v>11336.103999999999</v>
      </c>
      <c r="R27" s="68">
        <v>98.461538461538495</v>
      </c>
      <c r="S27" s="68">
        <v>1531.45</v>
      </c>
      <c r="T27" s="68">
        <v>266.178</v>
      </c>
      <c r="U27" s="68">
        <v>3048.9140000000002</v>
      </c>
      <c r="V27" s="68">
        <v>95.366795366795401</v>
      </c>
      <c r="W27" s="68">
        <v>97.699667109130104</v>
      </c>
      <c r="X27" s="68">
        <v>2.0219999999999998</v>
      </c>
      <c r="Y27" s="68">
        <v>94.552529182879397</v>
      </c>
      <c r="Z27" s="68">
        <v>100.807583703704</v>
      </c>
      <c r="AA27" s="68">
        <v>2.008</v>
      </c>
      <c r="AB27" s="68"/>
      <c r="AC27" s="68"/>
    </row>
    <row r="28" spans="1:29" x14ac:dyDescent="0.25">
      <c r="A28" s="70" t="s">
        <v>425</v>
      </c>
      <c r="B28" s="68">
        <v>86.736037512704499</v>
      </c>
      <c r="C28" s="68">
        <v>2.38376099706745</v>
      </c>
      <c r="D28" s="68">
        <v>86.736037512704499</v>
      </c>
      <c r="E28" s="68">
        <v>2.38376099706745</v>
      </c>
      <c r="F28" s="68">
        <v>96.448810436210195</v>
      </c>
      <c r="G28" s="68">
        <v>2.0464662930405999</v>
      </c>
      <c r="H28" s="68">
        <v>7194.0874999999996</v>
      </c>
      <c r="I28" s="68">
        <v>35206.322500000002</v>
      </c>
      <c r="J28" s="68">
        <v>93.885933991570298</v>
      </c>
      <c r="K28" s="68">
        <v>2.3382522095585299</v>
      </c>
      <c r="L28" s="68">
        <v>2309.17</v>
      </c>
      <c r="M28" s="68">
        <v>8449.4249999999993</v>
      </c>
      <c r="N28" s="68">
        <v>98.922257115486801</v>
      </c>
      <c r="O28" s="68">
        <v>23766.034602076099</v>
      </c>
      <c r="P28" s="68">
        <v>8505.1625000000004</v>
      </c>
      <c r="Q28" s="68">
        <v>46727.432500000003</v>
      </c>
      <c r="R28" s="68">
        <v>98.206300763868796</v>
      </c>
      <c r="S28" s="68">
        <v>9380.8391003460201</v>
      </c>
      <c r="T28" s="68">
        <v>3096.6875</v>
      </c>
      <c r="U28" s="68">
        <v>15909.672500000001</v>
      </c>
      <c r="V28" s="68"/>
      <c r="W28" s="68"/>
      <c r="X28" s="68"/>
      <c r="Y28" s="68">
        <v>94.956494973914403</v>
      </c>
      <c r="Z28" s="68">
        <v>104.29928730959</v>
      </c>
      <c r="AA28" s="68">
        <v>2.87567589576547</v>
      </c>
      <c r="AB28" s="68">
        <v>0.27438365051903102</v>
      </c>
      <c r="AC28" s="68">
        <v>486.43944636678202</v>
      </c>
    </row>
    <row r="29" spans="1:29" x14ac:dyDescent="0.25">
      <c r="A29" s="70" t="s">
        <v>426</v>
      </c>
      <c r="B29" s="68">
        <v>83.664481943776593</v>
      </c>
      <c r="C29" s="68">
        <v>2.69122790697674</v>
      </c>
      <c r="D29" s="68">
        <v>83.664481943776593</v>
      </c>
      <c r="E29" s="68">
        <v>2.69122790697674</v>
      </c>
      <c r="F29" s="68">
        <v>95.635041834701497</v>
      </c>
      <c r="G29" s="68">
        <v>3.2909709269341101</v>
      </c>
      <c r="H29" s="68">
        <v>3425</v>
      </c>
      <c r="I29" s="68">
        <v>14458</v>
      </c>
      <c r="J29" s="68">
        <v>93.0877852915186</v>
      </c>
      <c r="K29" s="68">
        <v>4.1430668971787101</v>
      </c>
      <c r="L29" s="68">
        <v>816</v>
      </c>
      <c r="M29" s="68">
        <v>3163</v>
      </c>
      <c r="N29" s="68">
        <v>99.428925085098598</v>
      </c>
      <c r="O29" s="68">
        <v>10632.107266436</v>
      </c>
      <c r="P29" s="68">
        <v>4366</v>
      </c>
      <c r="Q29" s="68">
        <v>17320</v>
      </c>
      <c r="R29" s="68">
        <v>99.093602082427296</v>
      </c>
      <c r="S29" s="68">
        <v>2476.8719723183399</v>
      </c>
      <c r="T29" s="68">
        <v>1042</v>
      </c>
      <c r="U29" s="68">
        <v>3679</v>
      </c>
      <c r="V29" s="68"/>
      <c r="W29" s="68"/>
      <c r="X29" s="68"/>
      <c r="Y29" s="68">
        <v>94.059347543257104</v>
      </c>
      <c r="Z29" s="68">
        <v>105.615741284533</v>
      </c>
      <c r="AA29" s="68">
        <v>3.1325452609158702</v>
      </c>
      <c r="AB29" s="68">
        <v>0</v>
      </c>
      <c r="AC29" s="68">
        <v>443.034602076125</v>
      </c>
    </row>
    <row r="30" spans="1:29" x14ac:dyDescent="0.25">
      <c r="A30" s="70" t="s">
        <v>656</v>
      </c>
      <c r="B30" s="68">
        <v>98.161373971519197</v>
      </c>
      <c r="C30" s="68">
        <v>1.2400692041522501</v>
      </c>
      <c r="D30" s="68">
        <v>98.161373971519197</v>
      </c>
      <c r="E30" s="68">
        <v>1.2400692041522501</v>
      </c>
      <c r="F30" s="68">
        <v>99.4758043691577</v>
      </c>
      <c r="G30" s="68">
        <v>0.85034152714330302</v>
      </c>
      <c r="H30" s="68">
        <v>10963.174999999999</v>
      </c>
      <c r="I30" s="68">
        <v>55954.644999999997</v>
      </c>
      <c r="J30" s="68">
        <v>96.854826214946002</v>
      </c>
      <c r="K30" s="68">
        <v>0.89232763949403704</v>
      </c>
      <c r="L30" s="68">
        <v>3802.34</v>
      </c>
      <c r="M30" s="68">
        <v>13735.85</v>
      </c>
      <c r="N30" s="68">
        <v>98.415589145875103</v>
      </c>
      <c r="O30" s="68">
        <v>36899.961937716304</v>
      </c>
      <c r="P30" s="68">
        <v>12644.325000000001</v>
      </c>
      <c r="Q30" s="68">
        <v>76134.865000000005</v>
      </c>
      <c r="R30" s="68">
        <v>97.318999445310197</v>
      </c>
      <c r="S30" s="68">
        <v>16284.8062283737</v>
      </c>
      <c r="T30" s="68">
        <v>5151.375</v>
      </c>
      <c r="U30" s="68">
        <v>28140.345000000001</v>
      </c>
      <c r="V30" s="68"/>
      <c r="W30" s="68"/>
      <c r="X30" s="68"/>
      <c r="Y30" s="68">
        <v>97.871448044458404</v>
      </c>
      <c r="Z30" s="68">
        <v>100.021950692042</v>
      </c>
      <c r="AA30" s="68">
        <v>2.0410726643598598</v>
      </c>
      <c r="AB30" s="68">
        <v>0.54876730103806204</v>
      </c>
      <c r="AC30" s="68">
        <v>529.84429065743905</v>
      </c>
    </row>
    <row r="31" spans="1:29" x14ac:dyDescent="0.25">
      <c r="A31" s="70" t="s">
        <v>355</v>
      </c>
      <c r="B31" s="68">
        <v>73.231357552581301</v>
      </c>
      <c r="C31" s="68">
        <v>4.2450000000000001</v>
      </c>
      <c r="D31" s="68">
        <v>73.231357552581301</v>
      </c>
      <c r="E31" s="68">
        <v>4.2450000000000001</v>
      </c>
      <c r="F31" s="68">
        <v>94.007490636704105</v>
      </c>
      <c r="G31" s="68">
        <v>4.3775088383784402</v>
      </c>
      <c r="H31" s="68">
        <v>1611.404</v>
      </c>
      <c r="I31" s="68">
        <v>6889.34</v>
      </c>
      <c r="J31" s="68">
        <v>98.4962406015038</v>
      </c>
      <c r="K31" s="68">
        <v>5.6046862620875002</v>
      </c>
      <c r="L31" s="68">
        <v>618.52800000000002</v>
      </c>
      <c r="M31" s="68">
        <v>2753.2660000000001</v>
      </c>
      <c r="N31" s="68">
        <v>95.419847328244302</v>
      </c>
      <c r="O31" s="68">
        <v>6734.26</v>
      </c>
      <c r="P31" s="68">
        <v>2298.5219999999999</v>
      </c>
      <c r="Q31" s="68">
        <v>11336.103999999999</v>
      </c>
      <c r="R31" s="68">
        <v>98.461538461538495</v>
      </c>
      <c r="S31" s="68">
        <v>1531.45</v>
      </c>
      <c r="T31" s="68">
        <v>266.178</v>
      </c>
      <c r="U31" s="68">
        <v>3048.9140000000002</v>
      </c>
      <c r="V31" s="68">
        <v>95.366795366795401</v>
      </c>
      <c r="W31" s="68">
        <v>97.699667109130104</v>
      </c>
      <c r="X31" s="68">
        <v>2.0219999999999998</v>
      </c>
      <c r="Y31" s="68">
        <v>94.552529182879397</v>
      </c>
      <c r="Z31" s="68">
        <v>100.807583703704</v>
      </c>
      <c r="AA31" s="68">
        <v>2.008</v>
      </c>
      <c r="AB31" s="68"/>
      <c r="AC31" s="68"/>
    </row>
    <row r="32" spans="1:29" x14ac:dyDescent="0.25">
      <c r="A32" s="70" t="s">
        <v>512</v>
      </c>
      <c r="B32" s="68">
        <v>73.231357552581301</v>
      </c>
      <c r="C32" s="68">
        <v>4.2450000000000001</v>
      </c>
      <c r="D32" s="68">
        <v>73.231357552581301</v>
      </c>
      <c r="E32" s="68">
        <v>4.2450000000000001</v>
      </c>
      <c r="F32" s="68">
        <v>94.007490636704105</v>
      </c>
      <c r="G32" s="68">
        <v>4.3775088383784402</v>
      </c>
      <c r="H32" s="68">
        <v>1611.404</v>
      </c>
      <c r="I32" s="68">
        <v>6889.34</v>
      </c>
      <c r="J32" s="68">
        <v>98.4962406015038</v>
      </c>
      <c r="K32" s="68">
        <v>5.6046862620875002</v>
      </c>
      <c r="L32" s="68">
        <v>618.52800000000002</v>
      </c>
      <c r="M32" s="68">
        <v>2753.2660000000001</v>
      </c>
      <c r="N32" s="68">
        <v>95.419847328244302</v>
      </c>
      <c r="O32" s="68">
        <v>6734.26</v>
      </c>
      <c r="P32" s="68">
        <v>2298.5219999999999</v>
      </c>
      <c r="Q32" s="68">
        <v>11336.103999999999</v>
      </c>
      <c r="R32" s="68">
        <v>98.461538461538495</v>
      </c>
      <c r="S32" s="68">
        <v>1531.45</v>
      </c>
      <c r="T32" s="68">
        <v>266.178</v>
      </c>
      <c r="U32" s="68">
        <v>3048.9140000000002</v>
      </c>
      <c r="V32" s="68">
        <v>95.366795366795401</v>
      </c>
      <c r="W32" s="68">
        <v>97.699667109130104</v>
      </c>
      <c r="X32" s="68">
        <v>2.0219999999999998</v>
      </c>
      <c r="Y32" s="68">
        <v>94.552529182879397</v>
      </c>
      <c r="Z32" s="68">
        <v>100.807583703704</v>
      </c>
      <c r="AA32" s="68">
        <v>2.008</v>
      </c>
      <c r="AB32" s="68"/>
      <c r="AC32" s="68"/>
    </row>
    <row r="33" spans="1:29" x14ac:dyDescent="0.25">
      <c r="A33" s="70" t="s">
        <v>427</v>
      </c>
      <c r="B33" s="68">
        <v>96.868886757524393</v>
      </c>
      <c r="C33" s="68">
        <v>2.7941279961616301</v>
      </c>
      <c r="D33" s="68">
        <v>96.868886757524393</v>
      </c>
      <c r="E33" s="68">
        <v>2.7941279961616301</v>
      </c>
      <c r="F33" s="68">
        <v>98.541690990566806</v>
      </c>
      <c r="G33" s="68">
        <v>1.7827582754231801</v>
      </c>
      <c r="H33" s="68">
        <v>6702.9466665</v>
      </c>
      <c r="I33" s="68">
        <v>32154.115000000002</v>
      </c>
      <c r="J33" s="68">
        <v>97.937080091543507</v>
      </c>
      <c r="K33" s="68">
        <v>2.0073621876889698</v>
      </c>
      <c r="L33" s="68">
        <v>2469.8633335</v>
      </c>
      <c r="M33" s="68">
        <v>7871.875</v>
      </c>
      <c r="N33" s="68">
        <v>99.046885104016297</v>
      </c>
      <c r="O33" s="68">
        <v>21635.48015064</v>
      </c>
      <c r="P33" s="68">
        <v>8863.5533335</v>
      </c>
      <c r="Q33" s="68">
        <v>41675.9</v>
      </c>
      <c r="R33" s="68">
        <v>98.513164766118393</v>
      </c>
      <c r="S33" s="68">
        <v>8596.6620044041592</v>
      </c>
      <c r="T33" s="68">
        <v>2548.5883334999999</v>
      </c>
      <c r="U33" s="68">
        <v>16609.933333500001</v>
      </c>
      <c r="V33" s="68"/>
      <c r="W33" s="68"/>
      <c r="X33" s="68"/>
      <c r="Y33" s="68">
        <v>98.507654409976695</v>
      </c>
      <c r="Z33" s="68">
        <v>99.841455813748297</v>
      </c>
      <c r="AA33" s="68">
        <v>2.4169824854584401</v>
      </c>
      <c r="AB33" s="68">
        <v>0.186557436192408</v>
      </c>
      <c r="AC33" s="68">
        <v>480.24615997249998</v>
      </c>
    </row>
    <row r="34" spans="1:29" x14ac:dyDescent="0.25">
      <c r="A34" s="70" t="s">
        <v>428</v>
      </c>
      <c r="B34" s="68">
        <v>95.534718010178295</v>
      </c>
      <c r="C34" s="68">
        <v>3.6027407593340399</v>
      </c>
      <c r="D34" s="68">
        <v>95.534718010178295</v>
      </c>
      <c r="E34" s="68">
        <v>3.6027407593340399</v>
      </c>
      <c r="F34" s="68">
        <v>98.0403561338629</v>
      </c>
      <c r="G34" s="68">
        <v>3.5505404148762998</v>
      </c>
      <c r="H34" s="68">
        <v>3315</v>
      </c>
      <c r="I34" s="68">
        <v>13881</v>
      </c>
      <c r="J34" s="68">
        <v>97.804068880400493</v>
      </c>
      <c r="K34" s="68">
        <v>4.47698387232579</v>
      </c>
      <c r="L34" s="68">
        <v>847</v>
      </c>
      <c r="M34" s="68">
        <v>3269</v>
      </c>
      <c r="N34" s="68">
        <v>98.998963126005904</v>
      </c>
      <c r="O34" s="68">
        <v>9588.2688478726304</v>
      </c>
      <c r="P34" s="68">
        <v>3587</v>
      </c>
      <c r="Q34" s="68">
        <v>17072</v>
      </c>
      <c r="R34" s="68">
        <v>97.026329532236801</v>
      </c>
      <c r="S34" s="68">
        <v>2067.99669177334</v>
      </c>
      <c r="T34" s="68">
        <v>716</v>
      </c>
      <c r="U34" s="68">
        <v>3644</v>
      </c>
      <c r="V34" s="68"/>
      <c r="W34" s="68"/>
      <c r="X34" s="68"/>
      <c r="Y34" s="68">
        <v>97.472771907531396</v>
      </c>
      <c r="Z34" s="68">
        <v>99.650541141625595</v>
      </c>
      <c r="AA34" s="68">
        <v>2.8555328048792901</v>
      </c>
      <c r="AB34" s="68">
        <v>0</v>
      </c>
      <c r="AC34" s="68">
        <v>431.39591508884899</v>
      </c>
    </row>
    <row r="35" spans="1:29" x14ac:dyDescent="0.25">
      <c r="A35" s="70" t="s">
        <v>657</v>
      </c>
      <c r="B35" s="68">
        <v>99.519137938402295</v>
      </c>
      <c r="C35" s="68">
        <v>1.1878642197588301</v>
      </c>
      <c r="D35" s="68">
        <v>99.519137938402295</v>
      </c>
      <c r="E35" s="68">
        <v>1.1878642197588301</v>
      </c>
      <c r="F35" s="68">
        <v>99.537564487557106</v>
      </c>
      <c r="G35" s="68">
        <v>0.89629419931578003</v>
      </c>
      <c r="H35" s="68">
        <v>10090.893333</v>
      </c>
      <c r="I35" s="68">
        <v>50427.23</v>
      </c>
      <c r="J35" s="68">
        <v>98.201299381721597</v>
      </c>
      <c r="K35" s="68">
        <v>0.95781403335549098</v>
      </c>
      <c r="L35" s="68">
        <v>4092.7266669999999</v>
      </c>
      <c r="M35" s="68">
        <v>12474.75</v>
      </c>
      <c r="N35" s="68">
        <v>99.094807082026605</v>
      </c>
      <c r="O35" s="68">
        <v>33682.691453407402</v>
      </c>
      <c r="P35" s="68">
        <v>14140.106667</v>
      </c>
      <c r="Q35" s="68">
        <v>66279.8</v>
      </c>
      <c r="R35" s="68">
        <v>100</v>
      </c>
      <c r="S35" s="68">
        <v>15125.327317035</v>
      </c>
      <c r="T35" s="68">
        <v>4381.1766669999997</v>
      </c>
      <c r="U35" s="68">
        <v>29575.866666999998</v>
      </c>
      <c r="V35" s="68"/>
      <c r="W35" s="68"/>
      <c r="X35" s="68"/>
      <c r="Y35" s="68">
        <v>99.542536912422094</v>
      </c>
      <c r="Z35" s="68">
        <v>100.032370485871</v>
      </c>
      <c r="AA35" s="68">
        <v>1.9784321660375801</v>
      </c>
      <c r="AB35" s="68">
        <v>0.373114872384816</v>
      </c>
      <c r="AC35" s="68">
        <v>529.09640485615</v>
      </c>
    </row>
    <row r="36" spans="1:29" x14ac:dyDescent="0.25">
      <c r="A36" s="70" t="s">
        <v>63</v>
      </c>
      <c r="B36" s="68">
        <v>98.101746393318095</v>
      </c>
      <c r="C36" s="68">
        <v>2.4376250040531202</v>
      </c>
      <c r="D36" s="68">
        <v>98.101746393318095</v>
      </c>
      <c r="E36" s="68">
        <v>2.4376250040531202</v>
      </c>
      <c r="F36" s="68">
        <v>98.916184971098303</v>
      </c>
      <c r="G36" s="68">
        <v>1.8838407439392599</v>
      </c>
      <c r="H36" s="68">
        <v>3131.5571428571402</v>
      </c>
      <c r="I36" s="68">
        <v>24907.757142857099</v>
      </c>
      <c r="J36" s="68">
        <v>98.546511627906995</v>
      </c>
      <c r="K36" s="68">
        <v>1.09289304344377</v>
      </c>
      <c r="L36" s="68">
        <v>3415.9571428571398</v>
      </c>
      <c r="M36" s="68">
        <v>10348.4714285714</v>
      </c>
      <c r="N36" s="68">
        <v>98.988326848249002</v>
      </c>
      <c r="O36" s="68">
        <v>15202.640185546899</v>
      </c>
      <c r="P36" s="68">
        <v>3719.3428571428599</v>
      </c>
      <c r="Q36" s="68">
        <v>28581.257142857099</v>
      </c>
      <c r="R36" s="68">
        <v>99.279423538831097</v>
      </c>
      <c r="S36" s="68">
        <v>14621.281054687501</v>
      </c>
      <c r="T36" s="68">
        <v>2775.9428571428598</v>
      </c>
      <c r="U36" s="68">
        <v>21476</v>
      </c>
      <c r="V36" s="68">
        <v>100</v>
      </c>
      <c r="W36" s="68">
        <v>100</v>
      </c>
      <c r="X36" s="68">
        <v>1.083</v>
      </c>
      <c r="Y36" s="68">
        <v>93.625498007968105</v>
      </c>
      <c r="Z36" s="68">
        <v>99.398016010638301</v>
      </c>
      <c r="AA36" s="68">
        <v>2.930625</v>
      </c>
      <c r="AB36" s="68">
        <v>99.731903485254705</v>
      </c>
      <c r="AC36" s="68">
        <v>719.09403773716497</v>
      </c>
    </row>
    <row r="37" spans="1:29" x14ac:dyDescent="0.25">
      <c r="A37" s="70" t="s">
        <v>513</v>
      </c>
      <c r="B37" s="68">
        <v>98.101746393318095</v>
      </c>
      <c r="C37" s="68">
        <v>2.4376250040531202</v>
      </c>
      <c r="D37" s="68">
        <v>98.101746393318095</v>
      </c>
      <c r="E37" s="68">
        <v>2.4376250040531202</v>
      </c>
      <c r="F37" s="68">
        <v>98.916184971098303</v>
      </c>
      <c r="G37" s="68">
        <v>1.8838407439392599</v>
      </c>
      <c r="H37" s="68">
        <v>3131.5571428571402</v>
      </c>
      <c r="I37" s="68">
        <v>24907.757142857099</v>
      </c>
      <c r="J37" s="68">
        <v>98.546511627906995</v>
      </c>
      <c r="K37" s="68">
        <v>1.09289304344377</v>
      </c>
      <c r="L37" s="68">
        <v>3415.9571428571398</v>
      </c>
      <c r="M37" s="68">
        <v>10348.4714285714</v>
      </c>
      <c r="N37" s="68">
        <v>98.988326848249002</v>
      </c>
      <c r="O37" s="68">
        <v>15202.640185546899</v>
      </c>
      <c r="P37" s="68">
        <v>3719.3428571428599</v>
      </c>
      <c r="Q37" s="68">
        <v>28581.257142857099</v>
      </c>
      <c r="R37" s="68">
        <v>99.279423538831097</v>
      </c>
      <c r="S37" s="68">
        <v>14621.281054687501</v>
      </c>
      <c r="T37" s="68">
        <v>2775.9428571428598</v>
      </c>
      <c r="U37" s="68">
        <v>21476</v>
      </c>
      <c r="V37" s="68">
        <v>100</v>
      </c>
      <c r="W37" s="68">
        <v>100</v>
      </c>
      <c r="X37" s="68">
        <v>1.083</v>
      </c>
      <c r="Y37" s="68">
        <v>93.625498007968105</v>
      </c>
      <c r="Z37" s="68">
        <v>99.398016010638301</v>
      </c>
      <c r="AA37" s="68">
        <v>2.930625</v>
      </c>
      <c r="AB37" s="68">
        <v>99.731903485254705</v>
      </c>
      <c r="AC37" s="68">
        <v>719.09403773716497</v>
      </c>
    </row>
    <row r="38" spans="1:29" x14ac:dyDescent="0.25">
      <c r="A38" s="70" t="s">
        <v>64</v>
      </c>
      <c r="B38" s="68">
        <v>94.838220819997801</v>
      </c>
      <c r="C38" s="68">
        <v>4.1057157041041501</v>
      </c>
      <c r="D38" s="68">
        <v>94.838220819997801</v>
      </c>
      <c r="E38" s="68">
        <v>4.1057157041041501</v>
      </c>
      <c r="F38" s="68">
        <v>97.492644124232299</v>
      </c>
      <c r="G38" s="68">
        <v>1.88375520343229</v>
      </c>
      <c r="H38" s="68">
        <v>3985.9</v>
      </c>
      <c r="I38" s="68">
        <v>23040.45</v>
      </c>
      <c r="J38" s="68">
        <v>94.717138077437795</v>
      </c>
      <c r="K38" s="68">
        <v>1.53946183385852</v>
      </c>
      <c r="L38" s="68">
        <v>2322.0500000000002</v>
      </c>
      <c r="M38" s="68">
        <v>7069.05</v>
      </c>
      <c r="N38" s="68">
        <v>97.300170802908596</v>
      </c>
      <c r="O38" s="68">
        <v>17119.692689659201</v>
      </c>
      <c r="P38" s="68">
        <v>4266.2</v>
      </c>
      <c r="Q38" s="68">
        <v>33018.550000000003</v>
      </c>
      <c r="R38" s="68">
        <v>96.597569293732604</v>
      </c>
      <c r="S38" s="68">
        <v>9977.2592969452908</v>
      </c>
      <c r="T38" s="68">
        <v>2734.15</v>
      </c>
      <c r="U38" s="68">
        <v>15886.35</v>
      </c>
      <c r="V38" s="68"/>
      <c r="W38" s="68"/>
      <c r="X38" s="68"/>
      <c r="Y38" s="68">
        <v>83.643327485440807</v>
      </c>
      <c r="Z38" s="68">
        <v>120.548607971579</v>
      </c>
      <c r="AA38" s="68">
        <v>4.1058807247875597</v>
      </c>
      <c r="AB38" s="68">
        <v>99.697616119627497</v>
      </c>
      <c r="AC38" s="68">
        <v>720</v>
      </c>
    </row>
    <row r="39" spans="1:29" x14ac:dyDescent="0.25">
      <c r="A39" s="70" t="s">
        <v>65</v>
      </c>
      <c r="B39" s="68">
        <v>90.629163971654194</v>
      </c>
      <c r="C39" s="68">
        <v>5.9634797125120302</v>
      </c>
      <c r="D39" s="68">
        <v>90.629163971654194</v>
      </c>
      <c r="E39" s="68">
        <v>5.9634797125120302</v>
      </c>
      <c r="F39" s="68">
        <v>95.749141213364595</v>
      </c>
      <c r="G39" s="68">
        <v>3.45957137427169</v>
      </c>
      <c r="H39" s="68">
        <v>1706.4</v>
      </c>
      <c r="I39" s="68">
        <v>12643.7</v>
      </c>
      <c r="J39" s="68">
        <v>91.292600176053995</v>
      </c>
      <c r="K39" s="68">
        <v>3.8872533338916102</v>
      </c>
      <c r="L39" s="68">
        <v>621.29999999999995</v>
      </c>
      <c r="M39" s="68">
        <v>3064.5</v>
      </c>
      <c r="N39" s="68">
        <v>95.4922698867896</v>
      </c>
      <c r="O39" s="68">
        <v>9409.6945453227199</v>
      </c>
      <c r="P39" s="68">
        <v>1738.3</v>
      </c>
      <c r="Q39" s="68">
        <v>17620.3</v>
      </c>
      <c r="R39" s="68">
        <v>93.627838224026306</v>
      </c>
      <c r="S39" s="68">
        <v>2473.1513667460699</v>
      </c>
      <c r="T39" s="68">
        <v>587.1</v>
      </c>
      <c r="U39" s="68">
        <v>3613.1</v>
      </c>
      <c r="V39" s="68"/>
      <c r="W39" s="68"/>
      <c r="X39" s="68"/>
      <c r="Y39" s="68">
        <v>69.014337958147394</v>
      </c>
      <c r="Z39" s="68">
        <v>140.463667125775</v>
      </c>
      <c r="AA39" s="68">
        <v>5.4878134662554201</v>
      </c>
      <c r="AB39" s="68">
        <v>99.786679726526302</v>
      </c>
      <c r="AC39" s="68">
        <v>720</v>
      </c>
    </row>
    <row r="40" spans="1:29" x14ac:dyDescent="0.25">
      <c r="A40" s="70" t="s">
        <v>66</v>
      </c>
      <c r="B40" s="68">
        <v>99.047277668341493</v>
      </c>
      <c r="C40" s="68">
        <v>2.24795169569627</v>
      </c>
      <c r="D40" s="68">
        <v>99.047277668341493</v>
      </c>
      <c r="E40" s="68">
        <v>2.24795169569627</v>
      </c>
      <c r="F40" s="68">
        <v>99.236147035100103</v>
      </c>
      <c r="G40" s="68">
        <v>1.29423714054683</v>
      </c>
      <c r="H40" s="68">
        <v>6265.4</v>
      </c>
      <c r="I40" s="68">
        <v>33437.199999999997</v>
      </c>
      <c r="J40" s="68">
        <v>98.141675978821596</v>
      </c>
      <c r="K40" s="68">
        <v>0.95978109307332304</v>
      </c>
      <c r="L40" s="68">
        <v>4022.8</v>
      </c>
      <c r="M40" s="68">
        <v>11073.6</v>
      </c>
      <c r="N40" s="68">
        <v>99.108071719027706</v>
      </c>
      <c r="O40" s="68">
        <v>24829.690833995599</v>
      </c>
      <c r="P40" s="68">
        <v>6794.1</v>
      </c>
      <c r="Q40" s="68">
        <v>48416.800000000003</v>
      </c>
      <c r="R40" s="68">
        <v>99.567300363438804</v>
      </c>
      <c r="S40" s="68">
        <v>17481.367227144499</v>
      </c>
      <c r="T40" s="68">
        <v>4881.2</v>
      </c>
      <c r="U40" s="68">
        <v>28159.599999999999</v>
      </c>
      <c r="V40" s="68"/>
      <c r="W40" s="68"/>
      <c r="X40" s="68"/>
      <c r="Y40" s="68">
        <v>98.272317012734305</v>
      </c>
      <c r="Z40" s="68">
        <v>100.633548817383</v>
      </c>
      <c r="AA40" s="68">
        <v>2.72394798331971</v>
      </c>
      <c r="AB40" s="68">
        <v>99.608552512728807</v>
      </c>
      <c r="AC40" s="68">
        <v>720</v>
      </c>
    </row>
    <row r="41" spans="1:29" x14ac:dyDescent="0.25">
      <c r="A41" s="70" t="s">
        <v>356</v>
      </c>
      <c r="B41" s="68">
        <v>97.951914514692803</v>
      </c>
      <c r="C41" s="68">
        <v>2.6431666666666702</v>
      </c>
      <c r="D41" s="68">
        <v>97.951914514692803</v>
      </c>
      <c r="E41" s="68">
        <v>2.6431666666666702</v>
      </c>
      <c r="F41" s="68">
        <v>98.737373737373701</v>
      </c>
      <c r="G41" s="68">
        <v>1.9751207862120901</v>
      </c>
      <c r="H41" s="68">
        <v>3009.6</v>
      </c>
      <c r="I41" s="68">
        <v>24863.5</v>
      </c>
      <c r="J41" s="68">
        <v>98.475867908552104</v>
      </c>
      <c r="K41" s="68">
        <v>1.0895548856180199</v>
      </c>
      <c r="L41" s="68">
        <v>3279.1</v>
      </c>
      <c r="M41" s="68">
        <v>10359.6</v>
      </c>
      <c r="N41" s="68">
        <v>99.041811846689896</v>
      </c>
      <c r="O41" s="68">
        <v>14632.016666666699</v>
      </c>
      <c r="P41" s="68">
        <v>3671.4</v>
      </c>
      <c r="Q41" s="68">
        <v>27925.4</v>
      </c>
      <c r="R41" s="68">
        <v>99.281221922731405</v>
      </c>
      <c r="S41" s="68">
        <v>13980.1166666667</v>
      </c>
      <c r="T41" s="68">
        <v>2712.7</v>
      </c>
      <c r="U41" s="68">
        <v>21373.599999999999</v>
      </c>
      <c r="V41" s="68"/>
      <c r="W41" s="68"/>
      <c r="X41" s="68"/>
      <c r="Y41" s="68">
        <v>93.125</v>
      </c>
      <c r="Z41" s="68">
        <v>99.313736017897099</v>
      </c>
      <c r="AA41" s="68">
        <v>3.1613333333333302</v>
      </c>
      <c r="AB41" s="68">
        <v>99.712368168744007</v>
      </c>
      <c r="AC41" s="68">
        <v>718.94304402669297</v>
      </c>
    </row>
    <row r="42" spans="1:29" x14ac:dyDescent="0.25">
      <c r="A42" s="70" t="s">
        <v>514</v>
      </c>
      <c r="B42" s="68">
        <v>97.951914514692803</v>
      </c>
      <c r="C42" s="68">
        <v>2.6431666666666702</v>
      </c>
      <c r="D42" s="68">
        <v>97.951914514692803</v>
      </c>
      <c r="E42" s="68">
        <v>2.6431666666666702</v>
      </c>
      <c r="F42" s="68">
        <v>98.737373737373701</v>
      </c>
      <c r="G42" s="68">
        <v>1.9751207862120901</v>
      </c>
      <c r="H42" s="68">
        <v>3009.6</v>
      </c>
      <c r="I42" s="68">
        <v>24863.5</v>
      </c>
      <c r="J42" s="68">
        <v>98.475867908552104</v>
      </c>
      <c r="K42" s="68">
        <v>1.0895548856180199</v>
      </c>
      <c r="L42" s="68">
        <v>3279.1</v>
      </c>
      <c r="M42" s="68">
        <v>10359.6</v>
      </c>
      <c r="N42" s="68">
        <v>99.041811846689896</v>
      </c>
      <c r="O42" s="68">
        <v>14632.016666666699</v>
      </c>
      <c r="P42" s="68">
        <v>3671.4</v>
      </c>
      <c r="Q42" s="68">
        <v>27925.4</v>
      </c>
      <c r="R42" s="68">
        <v>99.281221922731405</v>
      </c>
      <c r="S42" s="68">
        <v>13980.1166666667</v>
      </c>
      <c r="T42" s="68">
        <v>2712.7</v>
      </c>
      <c r="U42" s="68">
        <v>21373.599999999999</v>
      </c>
      <c r="V42" s="68"/>
      <c r="W42" s="68"/>
      <c r="X42" s="68"/>
      <c r="Y42" s="68">
        <v>93.125</v>
      </c>
      <c r="Z42" s="68">
        <v>99.313736017897099</v>
      </c>
      <c r="AA42" s="68">
        <v>3.1613333333333302</v>
      </c>
      <c r="AB42" s="68">
        <v>99.712368168744007</v>
      </c>
      <c r="AC42" s="68">
        <v>718.94304402669297</v>
      </c>
    </row>
    <row r="43" spans="1:29" x14ac:dyDescent="0.25">
      <c r="A43" s="70" t="s">
        <v>429</v>
      </c>
      <c r="B43" s="68">
        <v>93.746825506034298</v>
      </c>
      <c r="C43" s="68">
        <v>4.3018409476512298</v>
      </c>
      <c r="D43" s="68">
        <v>93.746825506034298</v>
      </c>
      <c r="E43" s="68">
        <v>4.3018409476512298</v>
      </c>
      <c r="F43" s="68">
        <v>96.342898439668701</v>
      </c>
      <c r="G43" s="68">
        <v>2.8508914661364599</v>
      </c>
      <c r="H43" s="68">
        <v>2370.8000000000002</v>
      </c>
      <c r="I43" s="68">
        <v>18127.400000000001</v>
      </c>
      <c r="J43" s="68">
        <v>93.547828175785895</v>
      </c>
      <c r="K43" s="68">
        <v>1.96337448628579</v>
      </c>
      <c r="L43" s="68">
        <v>1496.3</v>
      </c>
      <c r="M43" s="68">
        <v>6519.5</v>
      </c>
      <c r="N43" s="68">
        <v>94.071168821317102</v>
      </c>
      <c r="O43" s="68">
        <v>9750.3066857796603</v>
      </c>
      <c r="P43" s="68">
        <v>3108.05</v>
      </c>
      <c r="Q43" s="68">
        <v>21398.7</v>
      </c>
      <c r="R43" s="68">
        <v>95.560061725529295</v>
      </c>
      <c r="S43" s="68">
        <v>7663.7260726207196</v>
      </c>
      <c r="T43" s="68">
        <v>1798.65</v>
      </c>
      <c r="U43" s="68">
        <v>12489.35</v>
      </c>
      <c r="V43" s="68">
        <v>100</v>
      </c>
      <c r="W43" s="68">
        <v>98.306018014117001</v>
      </c>
      <c r="X43" s="68">
        <v>1.52194888067405</v>
      </c>
      <c r="Y43" s="68">
        <v>90.499919409626898</v>
      </c>
      <c r="Z43" s="68">
        <v>104.336189842708</v>
      </c>
      <c r="AA43" s="68">
        <v>4.2409777086678497</v>
      </c>
      <c r="AB43" s="68">
        <v>99.910757006457601</v>
      </c>
      <c r="AC43" s="68">
        <v>720</v>
      </c>
    </row>
    <row r="44" spans="1:29" x14ac:dyDescent="0.25">
      <c r="A44" s="70" t="s">
        <v>430</v>
      </c>
      <c r="B44" s="68">
        <v>90.316061943601198</v>
      </c>
      <c r="C44" s="68">
        <v>5.4819776427683298</v>
      </c>
      <c r="D44" s="68">
        <v>90.316061943601198</v>
      </c>
      <c r="E44" s="68">
        <v>5.4819776427683298</v>
      </c>
      <c r="F44" s="68">
        <v>94.534190519055002</v>
      </c>
      <c r="G44" s="68">
        <v>4.0648075625552602</v>
      </c>
      <c r="H44" s="68">
        <v>1625.2</v>
      </c>
      <c r="I44" s="68">
        <v>12073.3</v>
      </c>
      <c r="J44" s="68">
        <v>90.442790407231499</v>
      </c>
      <c r="K44" s="68">
        <v>4.3968970123863</v>
      </c>
      <c r="L44" s="68">
        <v>409.2</v>
      </c>
      <c r="M44" s="68">
        <v>3106.3</v>
      </c>
      <c r="N44" s="68">
        <v>93.502714136272999</v>
      </c>
      <c r="O44" s="68">
        <v>7379.53095858911</v>
      </c>
      <c r="P44" s="68">
        <v>2186.4</v>
      </c>
      <c r="Q44" s="68">
        <v>15922.8</v>
      </c>
      <c r="R44" s="68">
        <v>93.283642300996604</v>
      </c>
      <c r="S44" s="68">
        <v>2182.8248793064599</v>
      </c>
      <c r="T44" s="68">
        <v>113.8</v>
      </c>
      <c r="U44" s="68">
        <v>3473</v>
      </c>
      <c r="V44" s="68">
        <v>100</v>
      </c>
      <c r="W44" s="68">
        <v>96.612036028234002</v>
      </c>
      <c r="X44" s="68">
        <v>1.6216213070109</v>
      </c>
      <c r="Y44" s="68">
        <v>85.393818842440098</v>
      </c>
      <c r="Z44" s="68">
        <v>110.034266468822</v>
      </c>
      <c r="AA44" s="68">
        <v>5.5964280963210804</v>
      </c>
      <c r="AB44" s="68">
        <v>100</v>
      </c>
      <c r="AC44" s="68">
        <v>720</v>
      </c>
    </row>
    <row r="45" spans="1:29" x14ac:dyDescent="0.25">
      <c r="A45" s="70" t="s">
        <v>431</v>
      </c>
      <c r="B45" s="68">
        <v>97.177589068467498</v>
      </c>
      <c r="C45" s="68">
        <v>3.1217042525341299</v>
      </c>
      <c r="D45" s="68">
        <v>97.177589068467498</v>
      </c>
      <c r="E45" s="68">
        <v>3.1217042525341299</v>
      </c>
      <c r="F45" s="68">
        <v>98.151606360282301</v>
      </c>
      <c r="G45" s="68">
        <v>2.1952892290307902</v>
      </c>
      <c r="H45" s="68">
        <v>3116.4</v>
      </c>
      <c r="I45" s="68">
        <v>24181.5</v>
      </c>
      <c r="J45" s="68">
        <v>96.652865944340206</v>
      </c>
      <c r="K45" s="68">
        <v>1.2638689855437399</v>
      </c>
      <c r="L45" s="68">
        <v>2583.4</v>
      </c>
      <c r="M45" s="68">
        <v>9932.7000000000007</v>
      </c>
      <c r="N45" s="68">
        <v>94.639623506361204</v>
      </c>
      <c r="O45" s="68">
        <v>12121.0824129702</v>
      </c>
      <c r="P45" s="68">
        <v>4029.7</v>
      </c>
      <c r="Q45" s="68">
        <v>26874.6</v>
      </c>
      <c r="R45" s="68">
        <v>97.836481150062099</v>
      </c>
      <c r="S45" s="68">
        <v>13144.627265935</v>
      </c>
      <c r="T45" s="68">
        <v>3483.5</v>
      </c>
      <c r="U45" s="68">
        <v>21505.7</v>
      </c>
      <c r="V45" s="68">
        <v>100</v>
      </c>
      <c r="W45" s="68">
        <v>100</v>
      </c>
      <c r="X45" s="68">
        <v>1.4222764543372</v>
      </c>
      <c r="Y45" s="68">
        <v>95.049871427588101</v>
      </c>
      <c r="Z45" s="68">
        <v>99.258738879423703</v>
      </c>
      <c r="AA45" s="68">
        <v>3.0331608736095101</v>
      </c>
      <c r="AB45" s="68">
        <v>99.821514012915102</v>
      </c>
      <c r="AC45" s="68">
        <v>720</v>
      </c>
    </row>
    <row r="46" spans="1:29" x14ac:dyDescent="0.25">
      <c r="A46" s="70" t="s">
        <v>67</v>
      </c>
      <c r="B46" s="68">
        <v>98.825312618416106</v>
      </c>
      <c r="C46" s="68">
        <v>2.1904375005960501</v>
      </c>
      <c r="D46" s="68">
        <v>98.825312618416106</v>
      </c>
      <c r="E46" s="68">
        <v>2.1904375005960501</v>
      </c>
      <c r="F46" s="68">
        <v>99.276410998552805</v>
      </c>
      <c r="G46" s="68">
        <v>1.57848314744761</v>
      </c>
      <c r="H46" s="68">
        <v>4682.8142857142902</v>
      </c>
      <c r="I46" s="68">
        <v>27493.5</v>
      </c>
      <c r="J46" s="68">
        <v>98.980335032774903</v>
      </c>
      <c r="K46" s="68">
        <v>1.0168038398568999</v>
      </c>
      <c r="L46" s="68">
        <v>3114.4</v>
      </c>
      <c r="M46" s="68">
        <v>11228.5285714286</v>
      </c>
      <c r="N46" s="68">
        <v>99.533073929961105</v>
      </c>
      <c r="O46" s="68">
        <v>16917.2038085938</v>
      </c>
      <c r="P46" s="68">
        <v>5249.5142857142901</v>
      </c>
      <c r="Q46" s="68">
        <v>31266.2</v>
      </c>
      <c r="R46" s="68">
        <v>99.035369774919602</v>
      </c>
      <c r="S46" s="68">
        <v>13940.4116943359</v>
      </c>
      <c r="T46" s="68">
        <v>3890.1428571428601</v>
      </c>
      <c r="U46" s="68">
        <v>21577.085714285698</v>
      </c>
      <c r="V46" s="68">
        <v>100</v>
      </c>
      <c r="W46" s="68">
        <v>100</v>
      </c>
      <c r="X46" s="68">
        <v>0.88200000000000001</v>
      </c>
      <c r="Y46" s="68">
        <v>96.3288108539505</v>
      </c>
      <c r="Z46" s="68">
        <v>99.285262272162399</v>
      </c>
      <c r="AA46" s="68">
        <v>2.8667500000000001</v>
      </c>
      <c r="AB46" s="68">
        <v>99.5659722222222</v>
      </c>
      <c r="AC46" s="68">
        <v>719.57958984375</v>
      </c>
    </row>
    <row r="47" spans="1:29" x14ac:dyDescent="0.25">
      <c r="A47" s="70" t="s">
        <v>515</v>
      </c>
      <c r="B47" s="68">
        <v>98.825312618416106</v>
      </c>
      <c r="C47" s="68">
        <v>2.1904375005960501</v>
      </c>
      <c r="D47" s="68">
        <v>98.825312618416106</v>
      </c>
      <c r="E47" s="68">
        <v>2.1904375005960501</v>
      </c>
      <c r="F47" s="68">
        <v>99.276410998552805</v>
      </c>
      <c r="G47" s="68">
        <v>1.57848314744761</v>
      </c>
      <c r="H47" s="68">
        <v>4682.8142857142902</v>
      </c>
      <c r="I47" s="68">
        <v>27493.5</v>
      </c>
      <c r="J47" s="68">
        <v>98.980335032774903</v>
      </c>
      <c r="K47" s="68">
        <v>1.0168038398568999</v>
      </c>
      <c r="L47" s="68">
        <v>3114.4</v>
      </c>
      <c r="M47" s="68">
        <v>11228.5285714286</v>
      </c>
      <c r="N47" s="68">
        <v>99.533073929961105</v>
      </c>
      <c r="O47" s="68">
        <v>16917.2038085938</v>
      </c>
      <c r="P47" s="68">
        <v>5249.5142857142901</v>
      </c>
      <c r="Q47" s="68">
        <v>31266.2</v>
      </c>
      <c r="R47" s="68">
        <v>99.035369774919602</v>
      </c>
      <c r="S47" s="68">
        <v>13940.4116943359</v>
      </c>
      <c r="T47" s="68">
        <v>3890.1428571428601</v>
      </c>
      <c r="U47" s="68">
        <v>21577.085714285698</v>
      </c>
      <c r="V47" s="68">
        <v>100</v>
      </c>
      <c r="W47" s="68">
        <v>100</v>
      </c>
      <c r="X47" s="68">
        <v>0.88200000000000001</v>
      </c>
      <c r="Y47" s="68">
        <v>96.3288108539505</v>
      </c>
      <c r="Z47" s="68">
        <v>99.285262272162399</v>
      </c>
      <c r="AA47" s="68">
        <v>2.8667500000000001</v>
      </c>
      <c r="AB47" s="68">
        <v>99.5659722222222</v>
      </c>
      <c r="AC47" s="68">
        <v>719.57958984375</v>
      </c>
    </row>
    <row r="48" spans="1:29" x14ac:dyDescent="0.25">
      <c r="A48" s="70" t="s">
        <v>68</v>
      </c>
      <c r="B48" s="68">
        <v>95.688562331156305</v>
      </c>
      <c r="C48" s="68">
        <v>3.3141768812077701</v>
      </c>
      <c r="D48" s="68">
        <v>95.688562331156305</v>
      </c>
      <c r="E48" s="68">
        <v>3.3141768812077701</v>
      </c>
      <c r="F48" s="68">
        <v>98.322955622546502</v>
      </c>
      <c r="G48" s="68">
        <v>1.8013019239038499</v>
      </c>
      <c r="H48" s="68">
        <v>4369.8</v>
      </c>
      <c r="I48" s="68">
        <v>22215.5</v>
      </c>
      <c r="J48" s="68">
        <v>97.607089156224205</v>
      </c>
      <c r="K48" s="68">
        <v>1.4990986435704601</v>
      </c>
      <c r="L48" s="68">
        <v>2301.6999999999998</v>
      </c>
      <c r="M48" s="68">
        <v>7361.2</v>
      </c>
      <c r="N48" s="68">
        <v>98.3127717109098</v>
      </c>
      <c r="O48" s="68">
        <v>16886.323634971199</v>
      </c>
      <c r="P48" s="68">
        <v>5180.05</v>
      </c>
      <c r="Q48" s="68">
        <v>30641.3</v>
      </c>
      <c r="R48" s="68">
        <v>95.635997532764605</v>
      </c>
      <c r="S48" s="68">
        <v>9716.3774050428201</v>
      </c>
      <c r="T48" s="68">
        <v>2450.4499999999998</v>
      </c>
      <c r="U48" s="68">
        <v>15129.55</v>
      </c>
      <c r="V48" s="68"/>
      <c r="W48" s="68"/>
      <c r="X48" s="68"/>
      <c r="Y48" s="68">
        <v>93.6252653275982</v>
      </c>
      <c r="Z48" s="68">
        <v>102.470187026359</v>
      </c>
      <c r="AA48" s="68">
        <v>3.6001740855365898</v>
      </c>
      <c r="AB48" s="68">
        <v>99.941141233864201</v>
      </c>
      <c r="AC48" s="68">
        <v>720</v>
      </c>
    </row>
    <row r="49" spans="1:29" x14ac:dyDescent="0.25">
      <c r="A49" s="70" t="s">
        <v>69</v>
      </c>
      <c r="B49" s="68">
        <v>91.861984501939901</v>
      </c>
      <c r="C49" s="68">
        <v>4.6348948260942997</v>
      </c>
      <c r="D49" s="68">
        <v>91.861984501939901</v>
      </c>
      <c r="E49" s="68">
        <v>4.6348948260942997</v>
      </c>
      <c r="F49" s="68">
        <v>96.798681838072994</v>
      </c>
      <c r="G49" s="68">
        <v>2.71887532226711</v>
      </c>
      <c r="H49" s="68">
        <v>3023.1</v>
      </c>
      <c r="I49" s="68">
        <v>13777.3</v>
      </c>
      <c r="J49" s="68">
        <v>96.2438625677093</v>
      </c>
      <c r="K49" s="68">
        <v>4.00520363869422</v>
      </c>
      <c r="L49" s="68">
        <v>832.4</v>
      </c>
      <c r="M49" s="68">
        <v>3176.2</v>
      </c>
      <c r="N49" s="68">
        <v>96.753922583733598</v>
      </c>
      <c r="O49" s="68">
        <v>12033.4590673575</v>
      </c>
      <c r="P49" s="68">
        <v>3598.2</v>
      </c>
      <c r="Q49" s="68">
        <v>17948.3</v>
      </c>
      <c r="R49" s="68">
        <v>91.990363738166806</v>
      </c>
      <c r="S49" s="68">
        <v>2273.2151112925899</v>
      </c>
      <c r="T49" s="68">
        <v>165.5</v>
      </c>
      <c r="U49" s="68">
        <v>3557.4</v>
      </c>
      <c r="V49" s="68"/>
      <c r="W49" s="68"/>
      <c r="X49" s="68"/>
      <c r="Y49" s="68">
        <v>88.981432089979506</v>
      </c>
      <c r="Z49" s="68">
        <v>106.928944096656</v>
      </c>
      <c r="AA49" s="68">
        <v>4.1932647285827001</v>
      </c>
      <c r="AB49" s="68">
        <v>100</v>
      </c>
      <c r="AC49" s="68">
        <v>720</v>
      </c>
    </row>
    <row r="50" spans="1:29" x14ac:dyDescent="0.25">
      <c r="A50" s="70" t="s">
        <v>70</v>
      </c>
      <c r="B50" s="68">
        <v>99.515140160372596</v>
      </c>
      <c r="C50" s="68">
        <v>1.9934589363212301</v>
      </c>
      <c r="D50" s="68">
        <v>99.515140160372596</v>
      </c>
      <c r="E50" s="68">
        <v>1.9934589363212301</v>
      </c>
      <c r="F50" s="68">
        <v>99.847229407019995</v>
      </c>
      <c r="G50" s="68">
        <v>1.3467852086212</v>
      </c>
      <c r="H50" s="68">
        <v>5716.5</v>
      </c>
      <c r="I50" s="68">
        <v>30653.7</v>
      </c>
      <c r="J50" s="68">
        <v>98.970315744739196</v>
      </c>
      <c r="K50" s="68">
        <v>0.92211806867913104</v>
      </c>
      <c r="L50" s="68">
        <v>3771</v>
      </c>
      <c r="M50" s="68">
        <v>11546.2</v>
      </c>
      <c r="N50" s="68">
        <v>99.871620838086002</v>
      </c>
      <c r="O50" s="68">
        <v>21739.188202584901</v>
      </c>
      <c r="P50" s="68">
        <v>6761.9</v>
      </c>
      <c r="Q50" s="68">
        <v>43334.3</v>
      </c>
      <c r="R50" s="68">
        <v>99.281631327362504</v>
      </c>
      <c r="S50" s="68">
        <v>17159.539698793102</v>
      </c>
      <c r="T50" s="68">
        <v>4735.3999999999996</v>
      </c>
      <c r="U50" s="68">
        <v>26701.7</v>
      </c>
      <c r="V50" s="68"/>
      <c r="W50" s="68"/>
      <c r="X50" s="68"/>
      <c r="Y50" s="68">
        <v>98.269098565217007</v>
      </c>
      <c r="Z50" s="68">
        <v>98.011429956061306</v>
      </c>
      <c r="AA50" s="68">
        <v>3.00708344249048</v>
      </c>
      <c r="AB50" s="68">
        <v>99.882282467728402</v>
      </c>
      <c r="AC50" s="68">
        <v>720</v>
      </c>
    </row>
    <row r="51" spans="1:29" x14ac:dyDescent="0.25">
      <c r="A51" s="70" t="s">
        <v>357</v>
      </c>
      <c r="B51" s="68">
        <v>98.713398402839402</v>
      </c>
      <c r="C51" s="68">
        <v>2.2967499999999998</v>
      </c>
      <c r="D51" s="68">
        <v>98.713398402839402</v>
      </c>
      <c r="E51" s="68">
        <v>2.2967499999999998</v>
      </c>
      <c r="F51" s="68">
        <v>99.156829679595305</v>
      </c>
      <c r="G51" s="68">
        <v>1.5984078359446601</v>
      </c>
      <c r="H51" s="68">
        <v>4351.7</v>
      </c>
      <c r="I51" s="68">
        <v>27645.4</v>
      </c>
      <c r="J51" s="68">
        <v>98.896434634974497</v>
      </c>
      <c r="K51" s="68">
        <v>1.0178357323459799</v>
      </c>
      <c r="L51" s="68">
        <v>2659.6</v>
      </c>
      <c r="M51" s="68">
        <v>11256.1</v>
      </c>
      <c r="N51" s="68">
        <v>99.476896251089798</v>
      </c>
      <c r="O51" s="68">
        <v>16966.900000000001</v>
      </c>
      <c r="P51" s="68">
        <v>5248.9</v>
      </c>
      <c r="Q51" s="68">
        <v>31098.5</v>
      </c>
      <c r="R51" s="68">
        <v>99.007220216606498</v>
      </c>
      <c r="S51" s="68">
        <v>13285.55</v>
      </c>
      <c r="T51" s="68">
        <v>3132.2</v>
      </c>
      <c r="U51" s="68">
        <v>21376.9</v>
      </c>
      <c r="V51" s="68"/>
      <c r="W51" s="68"/>
      <c r="X51" s="68"/>
      <c r="Y51" s="68">
        <v>96.067917783735496</v>
      </c>
      <c r="Z51" s="68">
        <v>99.647296976744201</v>
      </c>
      <c r="AA51" s="68">
        <v>3.0838333333333301</v>
      </c>
      <c r="AB51" s="68">
        <v>99.6279069767442</v>
      </c>
      <c r="AC51" s="68">
        <v>719.509521484375</v>
      </c>
    </row>
    <row r="52" spans="1:29" x14ac:dyDescent="0.25">
      <c r="A52" s="70" t="s">
        <v>516</v>
      </c>
      <c r="B52" s="68">
        <v>98.713398402839402</v>
      </c>
      <c r="C52" s="68">
        <v>2.2967499999999998</v>
      </c>
      <c r="D52" s="68">
        <v>98.713398402839402</v>
      </c>
      <c r="E52" s="68">
        <v>2.2967499999999998</v>
      </c>
      <c r="F52" s="68">
        <v>99.156829679595305</v>
      </c>
      <c r="G52" s="68">
        <v>1.5984078359446601</v>
      </c>
      <c r="H52" s="68">
        <v>4351.7</v>
      </c>
      <c r="I52" s="68">
        <v>27645.4</v>
      </c>
      <c r="J52" s="68">
        <v>98.896434634974497</v>
      </c>
      <c r="K52" s="68">
        <v>1.0178357323459799</v>
      </c>
      <c r="L52" s="68">
        <v>2659.6</v>
      </c>
      <c r="M52" s="68">
        <v>11256.1</v>
      </c>
      <c r="N52" s="68">
        <v>99.476896251089798</v>
      </c>
      <c r="O52" s="68">
        <v>16966.900000000001</v>
      </c>
      <c r="P52" s="68">
        <v>5248.9</v>
      </c>
      <c r="Q52" s="68">
        <v>31098.5</v>
      </c>
      <c r="R52" s="68">
        <v>99.007220216606498</v>
      </c>
      <c r="S52" s="68">
        <v>13285.55</v>
      </c>
      <c r="T52" s="68">
        <v>3132.2</v>
      </c>
      <c r="U52" s="68">
        <v>21376.9</v>
      </c>
      <c r="V52" s="68"/>
      <c r="W52" s="68"/>
      <c r="X52" s="68"/>
      <c r="Y52" s="68">
        <v>96.067917783735496</v>
      </c>
      <c r="Z52" s="68">
        <v>99.647296976744201</v>
      </c>
      <c r="AA52" s="68">
        <v>3.0838333333333301</v>
      </c>
      <c r="AB52" s="68">
        <v>99.6279069767442</v>
      </c>
      <c r="AC52" s="68">
        <v>719.509521484375</v>
      </c>
    </row>
    <row r="53" spans="1:29" x14ac:dyDescent="0.25">
      <c r="A53" s="70" t="s">
        <v>432</v>
      </c>
      <c r="B53" s="68">
        <v>94.368567123855101</v>
      </c>
      <c r="C53" s="68">
        <v>3.9121348484340599</v>
      </c>
      <c r="D53" s="68">
        <v>94.368567123855101</v>
      </c>
      <c r="E53" s="68">
        <v>3.9121348484340599</v>
      </c>
      <c r="F53" s="68">
        <v>97.240413503725307</v>
      </c>
      <c r="G53" s="68">
        <v>2.2152926635511299</v>
      </c>
      <c r="H53" s="68">
        <v>4002.6</v>
      </c>
      <c r="I53" s="68">
        <v>19646.599999999999</v>
      </c>
      <c r="J53" s="68">
        <v>96.387544431862295</v>
      </c>
      <c r="K53" s="68">
        <v>1.8673300717814201</v>
      </c>
      <c r="L53" s="68">
        <v>1918.8</v>
      </c>
      <c r="M53" s="68">
        <v>6965.65</v>
      </c>
      <c r="N53" s="68">
        <v>96.542864958870396</v>
      </c>
      <c r="O53" s="68">
        <v>12877.342317561001</v>
      </c>
      <c r="P53" s="68">
        <v>3869.15</v>
      </c>
      <c r="Q53" s="68">
        <v>23341.9</v>
      </c>
      <c r="R53" s="68">
        <v>95.198639641728604</v>
      </c>
      <c r="S53" s="68">
        <v>7104.5608667256802</v>
      </c>
      <c r="T53" s="68">
        <v>2393.4499999999998</v>
      </c>
      <c r="U53" s="68">
        <v>12113.05</v>
      </c>
      <c r="V53" s="68">
        <v>100</v>
      </c>
      <c r="W53" s="68">
        <v>95.434392226006906</v>
      </c>
      <c r="X53" s="68">
        <v>1.4156414666758399</v>
      </c>
      <c r="Y53" s="68">
        <v>93.505589281827397</v>
      </c>
      <c r="Z53" s="68">
        <v>102.516082131758</v>
      </c>
      <c r="AA53" s="68">
        <v>3.5098685726374002</v>
      </c>
      <c r="AB53" s="68">
        <v>99.950643551982395</v>
      </c>
      <c r="AC53" s="68">
        <v>720</v>
      </c>
    </row>
    <row r="54" spans="1:29" x14ac:dyDescent="0.25">
      <c r="A54" s="70" t="s">
        <v>433</v>
      </c>
      <c r="B54" s="68">
        <v>90.4300432168247</v>
      </c>
      <c r="C54" s="68">
        <v>5.2401883497787098</v>
      </c>
      <c r="D54" s="68">
        <v>90.4300432168247</v>
      </c>
      <c r="E54" s="68">
        <v>5.2401883497787098</v>
      </c>
      <c r="F54" s="68">
        <v>94.903206896146699</v>
      </c>
      <c r="G54" s="68">
        <v>2.9704893726985899</v>
      </c>
      <c r="H54" s="68">
        <v>2436.5</v>
      </c>
      <c r="I54" s="68">
        <v>13370.3</v>
      </c>
      <c r="J54" s="68">
        <v>94.170156905726998</v>
      </c>
      <c r="K54" s="68">
        <v>4.3595101019415701</v>
      </c>
      <c r="L54" s="68">
        <v>693.3</v>
      </c>
      <c r="M54" s="68">
        <v>3030.5</v>
      </c>
      <c r="N54" s="68">
        <v>93.880665489660501</v>
      </c>
      <c r="O54" s="68">
        <v>10646.5853978705</v>
      </c>
      <c r="P54" s="68">
        <v>1505.9</v>
      </c>
      <c r="Q54" s="68">
        <v>18066.900000000001</v>
      </c>
      <c r="R54" s="68">
        <v>91.3378912977483</v>
      </c>
      <c r="S54" s="68">
        <v>2102.8597063823399</v>
      </c>
      <c r="T54" s="68">
        <v>84.7</v>
      </c>
      <c r="U54" s="68">
        <v>3543.9</v>
      </c>
      <c r="V54" s="68">
        <v>100</v>
      </c>
      <c r="W54" s="68">
        <v>97.060287717018895</v>
      </c>
      <c r="X54" s="68">
        <v>1.4136623440464799</v>
      </c>
      <c r="Y54" s="68">
        <v>88.043122942005894</v>
      </c>
      <c r="Z54" s="68">
        <v>108.319662679112</v>
      </c>
      <c r="AA54" s="68">
        <v>4.2895125911923699</v>
      </c>
      <c r="AB54" s="68">
        <v>100</v>
      </c>
      <c r="AC54" s="68">
        <v>720</v>
      </c>
    </row>
    <row r="55" spans="1:29" x14ac:dyDescent="0.25">
      <c r="A55" s="70" t="s">
        <v>434</v>
      </c>
      <c r="B55" s="68">
        <v>98.307091030885601</v>
      </c>
      <c r="C55" s="68">
        <v>2.5840813470894002</v>
      </c>
      <c r="D55" s="68">
        <v>98.307091030885601</v>
      </c>
      <c r="E55" s="68">
        <v>2.5840813470894002</v>
      </c>
      <c r="F55" s="68">
        <v>99.577620111303801</v>
      </c>
      <c r="G55" s="68">
        <v>1.7662527571928901</v>
      </c>
      <c r="H55" s="68">
        <v>5568.7</v>
      </c>
      <c r="I55" s="68">
        <v>25922.9</v>
      </c>
      <c r="J55" s="68">
        <v>98.604931957997593</v>
      </c>
      <c r="K55" s="68">
        <v>1.1881220771280401</v>
      </c>
      <c r="L55" s="68">
        <v>3144.3</v>
      </c>
      <c r="M55" s="68">
        <v>10900.8</v>
      </c>
      <c r="N55" s="68">
        <v>99.205064428080206</v>
      </c>
      <c r="O55" s="68">
        <v>15108.099237251399</v>
      </c>
      <c r="P55" s="68">
        <v>6232.4</v>
      </c>
      <c r="Q55" s="68">
        <v>28616.9</v>
      </c>
      <c r="R55" s="68">
        <v>99.059387985708995</v>
      </c>
      <c r="S55" s="68">
        <v>12106.262027069</v>
      </c>
      <c r="T55" s="68">
        <v>4702.2</v>
      </c>
      <c r="U55" s="68">
        <v>20682.2</v>
      </c>
      <c r="V55" s="68">
        <v>100</v>
      </c>
      <c r="W55" s="68">
        <v>93.808496734994804</v>
      </c>
      <c r="X55" s="68">
        <v>1.4176205893052001</v>
      </c>
      <c r="Y55" s="68">
        <v>98.373092265539597</v>
      </c>
      <c r="Z55" s="68">
        <v>97.344618570595699</v>
      </c>
      <c r="AA55" s="68">
        <v>2.81514217059358</v>
      </c>
      <c r="AB55" s="68">
        <v>99.901287103964805</v>
      </c>
      <c r="AC55" s="68">
        <v>720</v>
      </c>
    </row>
    <row r="56" spans="1:29" x14ac:dyDescent="0.25">
      <c r="A56" s="70" t="s">
        <v>71</v>
      </c>
      <c r="B56" s="68">
        <v>98.420458819104894</v>
      </c>
      <c r="C56" s="68">
        <v>2.3480624989271202</v>
      </c>
      <c r="D56" s="68">
        <v>98.420458819104894</v>
      </c>
      <c r="E56" s="68">
        <v>2.3480624989271202</v>
      </c>
      <c r="F56" s="68">
        <v>99.354375896700105</v>
      </c>
      <c r="G56" s="68">
        <v>1.44672603986929</v>
      </c>
      <c r="H56" s="68">
        <v>5247.9428571428598</v>
      </c>
      <c r="I56" s="68">
        <v>28186.842857142899</v>
      </c>
      <c r="J56" s="68">
        <v>98.046309696092607</v>
      </c>
      <c r="K56" s="68">
        <v>1.17407143539624</v>
      </c>
      <c r="L56" s="68">
        <v>2989.5142857142901</v>
      </c>
      <c r="M56" s="68">
        <v>10251.671428571401</v>
      </c>
      <c r="N56" s="68">
        <v>98.607888631090503</v>
      </c>
      <c r="O56" s="68">
        <v>18627.918554687501</v>
      </c>
      <c r="P56" s="68">
        <v>5864.9571428571398</v>
      </c>
      <c r="Q56" s="68">
        <v>31617.5428571429</v>
      </c>
      <c r="R56" s="68">
        <v>98.251192368839398</v>
      </c>
      <c r="S56" s="68">
        <v>14331.430346679699</v>
      </c>
      <c r="T56" s="68">
        <v>2828.4285714285702</v>
      </c>
      <c r="U56" s="68">
        <v>22025.0285714286</v>
      </c>
      <c r="V56" s="68">
        <v>100</v>
      </c>
      <c r="W56" s="68">
        <v>100</v>
      </c>
      <c r="X56" s="68">
        <v>1.276</v>
      </c>
      <c r="Y56" s="68">
        <v>96.123417721519004</v>
      </c>
      <c r="Z56" s="68">
        <v>100.849202304527</v>
      </c>
      <c r="AA56" s="68">
        <v>2.846625</v>
      </c>
      <c r="AB56" s="68">
        <v>99.312123817712802</v>
      </c>
      <c r="AC56" s="68">
        <v>717.78150285993297</v>
      </c>
    </row>
    <row r="57" spans="1:29" x14ac:dyDescent="0.25">
      <c r="A57" s="70" t="s">
        <v>517</v>
      </c>
      <c r="B57" s="68">
        <v>98.420458819104894</v>
      </c>
      <c r="C57" s="68">
        <v>2.3480624989271202</v>
      </c>
      <c r="D57" s="68">
        <v>98.420458819104894</v>
      </c>
      <c r="E57" s="68">
        <v>2.3480624989271202</v>
      </c>
      <c r="F57" s="68">
        <v>99.354375896700105</v>
      </c>
      <c r="G57" s="68">
        <v>1.44672603986929</v>
      </c>
      <c r="H57" s="68">
        <v>5247.9428571428598</v>
      </c>
      <c r="I57" s="68">
        <v>28186.842857142899</v>
      </c>
      <c r="J57" s="68">
        <v>98.046309696092607</v>
      </c>
      <c r="K57" s="68">
        <v>1.17407143539624</v>
      </c>
      <c r="L57" s="68">
        <v>2989.5142857142901</v>
      </c>
      <c r="M57" s="68">
        <v>10251.671428571401</v>
      </c>
      <c r="N57" s="68">
        <v>98.607888631090503</v>
      </c>
      <c r="O57" s="68">
        <v>18627.918554687501</v>
      </c>
      <c r="P57" s="68">
        <v>5864.9571428571398</v>
      </c>
      <c r="Q57" s="68">
        <v>31617.5428571429</v>
      </c>
      <c r="R57" s="68">
        <v>98.251192368839398</v>
      </c>
      <c r="S57" s="68">
        <v>14331.430346679699</v>
      </c>
      <c r="T57" s="68">
        <v>2828.4285714285702</v>
      </c>
      <c r="U57" s="68">
        <v>22025.0285714286</v>
      </c>
      <c r="V57" s="68">
        <v>100</v>
      </c>
      <c r="W57" s="68">
        <v>100</v>
      </c>
      <c r="X57" s="68">
        <v>1.276</v>
      </c>
      <c r="Y57" s="68">
        <v>96.123417721519004</v>
      </c>
      <c r="Z57" s="68">
        <v>100.849202304527</v>
      </c>
      <c r="AA57" s="68">
        <v>2.846625</v>
      </c>
      <c r="AB57" s="68">
        <v>99.312123817712802</v>
      </c>
      <c r="AC57" s="68">
        <v>717.78150285993297</v>
      </c>
    </row>
    <row r="58" spans="1:29" x14ac:dyDescent="0.25">
      <c r="A58" s="70" t="s">
        <v>72</v>
      </c>
      <c r="B58" s="68">
        <v>97.081948597203805</v>
      </c>
      <c r="C58" s="68">
        <v>2.86400718433709</v>
      </c>
      <c r="D58" s="68">
        <v>97.081948597203805</v>
      </c>
      <c r="E58" s="68">
        <v>2.86400718433709</v>
      </c>
      <c r="F58" s="68">
        <v>98.6765917204971</v>
      </c>
      <c r="G58" s="68">
        <v>1.4199026859583499</v>
      </c>
      <c r="H58" s="68">
        <v>6377.45</v>
      </c>
      <c r="I58" s="68">
        <v>28338.85</v>
      </c>
      <c r="J58" s="68">
        <v>97.121279537610505</v>
      </c>
      <c r="K58" s="68">
        <v>1.4882215643396499</v>
      </c>
      <c r="L58" s="68">
        <v>2891.8</v>
      </c>
      <c r="M58" s="68">
        <v>7303.6</v>
      </c>
      <c r="N58" s="68">
        <v>98.899185980957199</v>
      </c>
      <c r="O58" s="68">
        <v>20019.271571137899</v>
      </c>
      <c r="P58" s="68">
        <v>6786.65</v>
      </c>
      <c r="Q58" s="68">
        <v>34492.449999999997</v>
      </c>
      <c r="R58" s="68">
        <v>97.937424972525307</v>
      </c>
      <c r="S58" s="68">
        <v>11988.324296258401</v>
      </c>
      <c r="T58" s="68">
        <v>4314.8999999999996</v>
      </c>
      <c r="U58" s="68">
        <v>16750.7</v>
      </c>
      <c r="V58" s="68"/>
      <c r="W58" s="68"/>
      <c r="X58" s="68"/>
      <c r="Y58" s="68">
        <v>95.178982792314201</v>
      </c>
      <c r="Z58" s="68">
        <v>102.009143358082</v>
      </c>
      <c r="AA58" s="68">
        <v>2.96249664013822</v>
      </c>
      <c r="AB58" s="68">
        <v>99.854999790726794</v>
      </c>
      <c r="AC58" s="68">
        <v>720</v>
      </c>
    </row>
    <row r="59" spans="1:29" x14ac:dyDescent="0.25">
      <c r="A59" s="70" t="s">
        <v>73</v>
      </c>
      <c r="B59" s="68">
        <v>95.061616784072697</v>
      </c>
      <c r="C59" s="68">
        <v>3.5843603421349099</v>
      </c>
      <c r="D59" s="68">
        <v>95.061616784072697</v>
      </c>
      <c r="E59" s="68">
        <v>3.5843603421349099</v>
      </c>
      <c r="F59" s="68">
        <v>97.505563316345203</v>
      </c>
      <c r="G59" s="68">
        <v>2.4398383551857701</v>
      </c>
      <c r="H59" s="68">
        <v>2894.3</v>
      </c>
      <c r="I59" s="68">
        <v>16333.1</v>
      </c>
      <c r="J59" s="68">
        <v>94.575466788023206</v>
      </c>
      <c r="K59" s="68">
        <v>3.2454071479834501</v>
      </c>
      <c r="L59" s="68">
        <v>852.9</v>
      </c>
      <c r="M59" s="68">
        <v>3488.5</v>
      </c>
      <c r="N59" s="68">
        <v>98.428740638217107</v>
      </c>
      <c r="O59" s="68">
        <v>11115.2612078234</v>
      </c>
      <c r="P59" s="68">
        <v>3169.2</v>
      </c>
      <c r="Q59" s="68">
        <v>18716.3</v>
      </c>
      <c r="R59" s="68">
        <v>96.925708649039606</v>
      </c>
      <c r="S59" s="68">
        <v>2548.5271950604001</v>
      </c>
      <c r="T59" s="68">
        <v>408.8</v>
      </c>
      <c r="U59" s="68">
        <v>3816.5</v>
      </c>
      <c r="V59" s="68"/>
      <c r="W59" s="68"/>
      <c r="X59" s="68"/>
      <c r="Y59" s="68">
        <v>92.266000717738095</v>
      </c>
      <c r="Z59" s="68">
        <v>103.089712626093</v>
      </c>
      <c r="AA59" s="68">
        <v>3.32905376351267</v>
      </c>
      <c r="AB59" s="68">
        <v>100</v>
      </c>
      <c r="AC59" s="68">
        <v>720</v>
      </c>
    </row>
    <row r="60" spans="1:29" x14ac:dyDescent="0.25">
      <c r="A60" s="70" t="s">
        <v>74</v>
      </c>
      <c r="B60" s="68">
        <v>99.102280410334998</v>
      </c>
      <c r="C60" s="68">
        <v>2.1436540265392598</v>
      </c>
      <c r="D60" s="68">
        <v>99.102280410334998</v>
      </c>
      <c r="E60" s="68">
        <v>2.1436540265392598</v>
      </c>
      <c r="F60" s="68">
        <v>99.847620124649097</v>
      </c>
      <c r="G60" s="68">
        <v>1.0013177188414999</v>
      </c>
      <c r="H60" s="68">
        <v>9860.6</v>
      </c>
      <c r="I60" s="68">
        <v>40344.6</v>
      </c>
      <c r="J60" s="68">
        <v>99.667092287197704</v>
      </c>
      <c r="K60" s="68">
        <v>0.96547633633169205</v>
      </c>
      <c r="L60" s="68">
        <v>4930.7</v>
      </c>
      <c r="M60" s="68">
        <v>11118.7</v>
      </c>
      <c r="N60" s="68">
        <v>99.369631323697405</v>
      </c>
      <c r="O60" s="68">
        <v>28923.281934452301</v>
      </c>
      <c r="P60" s="68">
        <v>10404.1</v>
      </c>
      <c r="Q60" s="68">
        <v>50268.6</v>
      </c>
      <c r="R60" s="68">
        <v>98.949141296011106</v>
      </c>
      <c r="S60" s="68">
        <v>21428.121397456402</v>
      </c>
      <c r="T60" s="68">
        <v>8221</v>
      </c>
      <c r="U60" s="68">
        <v>29684.9</v>
      </c>
      <c r="V60" s="68"/>
      <c r="W60" s="68"/>
      <c r="X60" s="68"/>
      <c r="Y60" s="68">
        <v>98.091964866890393</v>
      </c>
      <c r="Z60" s="68">
        <v>100.928574090071</v>
      </c>
      <c r="AA60" s="68">
        <v>2.59593951676377</v>
      </c>
      <c r="AB60" s="68">
        <v>99.709999581453701</v>
      </c>
      <c r="AC60" s="68">
        <v>720</v>
      </c>
    </row>
    <row r="61" spans="1:29" x14ac:dyDescent="0.25">
      <c r="A61" s="70" t="s">
        <v>358</v>
      </c>
      <c r="B61" s="68">
        <v>98.424507658643293</v>
      </c>
      <c r="C61" s="68">
        <v>2.42475</v>
      </c>
      <c r="D61" s="68">
        <v>98.424507658643293</v>
      </c>
      <c r="E61" s="68">
        <v>2.42475</v>
      </c>
      <c r="F61" s="68">
        <v>99.584717607973403</v>
      </c>
      <c r="G61" s="68">
        <v>1.44343238070999</v>
      </c>
      <c r="H61" s="68">
        <v>4737</v>
      </c>
      <c r="I61" s="68">
        <v>27891</v>
      </c>
      <c r="J61" s="68">
        <v>98.1559094719195</v>
      </c>
      <c r="K61" s="68">
        <v>1.1653275231337099</v>
      </c>
      <c r="L61" s="68">
        <v>2775</v>
      </c>
      <c r="M61" s="68">
        <v>10126.5</v>
      </c>
      <c r="N61" s="68">
        <v>98.620689655172399</v>
      </c>
      <c r="O61" s="68">
        <v>18886.0333333333</v>
      </c>
      <c r="P61" s="68">
        <v>5815.6</v>
      </c>
      <c r="Q61" s="68">
        <v>31625.9</v>
      </c>
      <c r="R61" s="68">
        <v>98.133333333333297</v>
      </c>
      <c r="S61" s="68">
        <v>14136</v>
      </c>
      <c r="T61" s="68">
        <v>2783.7</v>
      </c>
      <c r="U61" s="68">
        <v>21903</v>
      </c>
      <c r="V61" s="68"/>
      <c r="W61" s="68"/>
      <c r="X61" s="68"/>
      <c r="Y61" s="68">
        <v>95.9363957597173</v>
      </c>
      <c r="Z61" s="68">
        <v>101.08499410681399</v>
      </c>
      <c r="AA61" s="68">
        <v>3.0033333333333299</v>
      </c>
      <c r="AB61" s="68">
        <v>99.355432780847096</v>
      </c>
      <c r="AC61" s="68">
        <v>717.41175333658896</v>
      </c>
    </row>
    <row r="62" spans="1:29" x14ac:dyDescent="0.25">
      <c r="A62" s="70" t="s">
        <v>518</v>
      </c>
      <c r="B62" s="68">
        <v>98.424507658643293</v>
      </c>
      <c r="C62" s="68">
        <v>2.42475</v>
      </c>
      <c r="D62" s="68">
        <v>98.424507658643293</v>
      </c>
      <c r="E62" s="68">
        <v>2.42475</v>
      </c>
      <c r="F62" s="68">
        <v>99.584717607973403</v>
      </c>
      <c r="G62" s="68">
        <v>1.44343238070999</v>
      </c>
      <c r="H62" s="68">
        <v>4737</v>
      </c>
      <c r="I62" s="68">
        <v>27891</v>
      </c>
      <c r="J62" s="68">
        <v>98.1559094719195</v>
      </c>
      <c r="K62" s="68">
        <v>1.1653275231337099</v>
      </c>
      <c r="L62" s="68">
        <v>2775</v>
      </c>
      <c r="M62" s="68">
        <v>10126.5</v>
      </c>
      <c r="N62" s="68">
        <v>98.620689655172399</v>
      </c>
      <c r="O62" s="68">
        <v>18886.0333333333</v>
      </c>
      <c r="P62" s="68">
        <v>5815.6</v>
      </c>
      <c r="Q62" s="68">
        <v>31625.9</v>
      </c>
      <c r="R62" s="68">
        <v>98.133333333333297</v>
      </c>
      <c r="S62" s="68">
        <v>14136</v>
      </c>
      <c r="T62" s="68">
        <v>2783.7</v>
      </c>
      <c r="U62" s="68">
        <v>21903</v>
      </c>
      <c r="V62" s="68"/>
      <c r="W62" s="68"/>
      <c r="X62" s="68"/>
      <c r="Y62" s="68">
        <v>95.9363957597173</v>
      </c>
      <c r="Z62" s="68">
        <v>101.08499410681399</v>
      </c>
      <c r="AA62" s="68">
        <v>3.0033333333333299</v>
      </c>
      <c r="AB62" s="68">
        <v>99.355432780847096</v>
      </c>
      <c r="AC62" s="68">
        <v>717.41175333658896</v>
      </c>
    </row>
    <row r="63" spans="1:29" x14ac:dyDescent="0.25">
      <c r="A63" s="70" t="s">
        <v>435</v>
      </c>
      <c r="B63" s="68">
        <v>97.652655988331801</v>
      </c>
      <c r="C63" s="68">
        <v>2.87893119826435</v>
      </c>
      <c r="D63" s="68">
        <v>97.652655988331801</v>
      </c>
      <c r="E63" s="68">
        <v>2.87893119826435</v>
      </c>
      <c r="F63" s="68">
        <v>98.749448811177601</v>
      </c>
      <c r="G63" s="68">
        <v>1.8668412020556799</v>
      </c>
      <c r="H63" s="68">
        <v>5044.95</v>
      </c>
      <c r="I63" s="68">
        <v>23856.95</v>
      </c>
      <c r="J63" s="68">
        <v>97.630001378800202</v>
      </c>
      <c r="K63" s="68">
        <v>1.7667789491978101</v>
      </c>
      <c r="L63" s="68">
        <v>1911.6</v>
      </c>
      <c r="M63" s="68">
        <v>6772.45</v>
      </c>
      <c r="N63" s="68">
        <v>98.397819533370097</v>
      </c>
      <c r="O63" s="68">
        <v>14425.9633180337</v>
      </c>
      <c r="P63" s="68">
        <v>5115.95</v>
      </c>
      <c r="Q63" s="68">
        <v>26885.75</v>
      </c>
      <c r="R63" s="68">
        <v>98.317236228866193</v>
      </c>
      <c r="S63" s="68">
        <v>8513.3915610604308</v>
      </c>
      <c r="T63" s="68">
        <v>1686</v>
      </c>
      <c r="U63" s="68">
        <v>12743.35</v>
      </c>
      <c r="V63" s="68">
        <v>100</v>
      </c>
      <c r="W63" s="68">
        <v>98.080289645203607</v>
      </c>
      <c r="X63" s="68">
        <v>1.0787296609086401</v>
      </c>
      <c r="Y63" s="68">
        <v>95.993036356615804</v>
      </c>
      <c r="Z63" s="68">
        <v>100.525468438164</v>
      </c>
      <c r="AA63" s="68">
        <v>3.0555635016068701</v>
      </c>
      <c r="AB63" s="68">
        <v>99.663179659533796</v>
      </c>
      <c r="AC63" s="68">
        <v>720</v>
      </c>
    </row>
    <row r="64" spans="1:29" x14ac:dyDescent="0.25">
      <c r="A64" s="70" t="s">
        <v>436</v>
      </c>
      <c r="B64" s="68">
        <v>96.217127404005296</v>
      </c>
      <c r="C64" s="68">
        <v>3.5525143369452898</v>
      </c>
      <c r="D64" s="68">
        <v>96.217127404005296</v>
      </c>
      <c r="E64" s="68">
        <v>3.5525143369452898</v>
      </c>
      <c r="F64" s="68">
        <v>97.911709639410205</v>
      </c>
      <c r="G64" s="68">
        <v>3.3000105844674601</v>
      </c>
      <c r="H64" s="68">
        <v>2721.2</v>
      </c>
      <c r="I64" s="68">
        <v>13515.9</v>
      </c>
      <c r="J64" s="68">
        <v>96.030605156721293</v>
      </c>
      <c r="K64" s="68">
        <v>3.4167903201722898</v>
      </c>
      <c r="L64" s="68">
        <v>941.8</v>
      </c>
      <c r="M64" s="68">
        <v>3441</v>
      </c>
      <c r="N64" s="68">
        <v>97.946721871118797</v>
      </c>
      <c r="O64" s="68">
        <v>7576.5448631184699</v>
      </c>
      <c r="P64" s="68">
        <v>3061.2</v>
      </c>
      <c r="Q64" s="68">
        <v>12992</v>
      </c>
      <c r="R64" s="68">
        <v>97.911919950529096</v>
      </c>
      <c r="S64" s="68">
        <v>2415.8015683869598</v>
      </c>
      <c r="T64" s="68">
        <v>752.9</v>
      </c>
      <c r="U64" s="68">
        <v>3764.6</v>
      </c>
      <c r="V64" s="68">
        <v>100</v>
      </c>
      <c r="W64" s="68">
        <v>100</v>
      </c>
      <c r="X64" s="68">
        <v>1.0464499621484</v>
      </c>
      <c r="Y64" s="68">
        <v>94.386838435155298</v>
      </c>
      <c r="Z64" s="68">
        <v>100.086535353141</v>
      </c>
      <c r="AA64" s="68">
        <v>3.5303236638129301</v>
      </c>
      <c r="AB64" s="68">
        <v>100</v>
      </c>
      <c r="AC64" s="68">
        <v>720</v>
      </c>
    </row>
    <row r="65" spans="1:29" x14ac:dyDescent="0.25">
      <c r="A65" s="70" t="s">
        <v>437</v>
      </c>
      <c r="B65" s="68">
        <v>99.088184572658406</v>
      </c>
      <c r="C65" s="68">
        <v>2.2053480595833999</v>
      </c>
      <c r="D65" s="68">
        <v>99.088184572658406</v>
      </c>
      <c r="E65" s="68">
        <v>2.2053480595833999</v>
      </c>
      <c r="F65" s="68">
        <v>99.587187982944897</v>
      </c>
      <c r="G65" s="68">
        <v>1.3015764812267701</v>
      </c>
      <c r="H65" s="68">
        <v>7368.7</v>
      </c>
      <c r="I65" s="68">
        <v>34198</v>
      </c>
      <c r="J65" s="68">
        <v>99.229397600878997</v>
      </c>
      <c r="K65" s="68">
        <v>1.1914248039451001</v>
      </c>
      <c r="L65" s="68">
        <v>2881.4</v>
      </c>
      <c r="M65" s="68">
        <v>10103.9</v>
      </c>
      <c r="N65" s="68">
        <v>98.848917195621397</v>
      </c>
      <c r="O65" s="68">
        <v>21275.381772948898</v>
      </c>
      <c r="P65" s="68">
        <v>7170.7</v>
      </c>
      <c r="Q65" s="68">
        <v>40779.5</v>
      </c>
      <c r="R65" s="68">
        <v>98.722552507203403</v>
      </c>
      <c r="S65" s="68">
        <v>14610.9815537339</v>
      </c>
      <c r="T65" s="68">
        <v>2619.1</v>
      </c>
      <c r="U65" s="68">
        <v>21722.1</v>
      </c>
      <c r="V65" s="68">
        <v>100</v>
      </c>
      <c r="W65" s="68">
        <v>96.160579290407199</v>
      </c>
      <c r="X65" s="68">
        <v>1.1110093596688699</v>
      </c>
      <c r="Y65" s="68">
        <v>97.424289693253698</v>
      </c>
      <c r="Z65" s="68">
        <v>100.916593612781</v>
      </c>
      <c r="AA65" s="68">
        <v>2.6325134794512701</v>
      </c>
      <c r="AB65" s="68">
        <v>99.326359319067606</v>
      </c>
      <c r="AC65" s="68">
        <v>720</v>
      </c>
    </row>
    <row r="66" spans="1:29" x14ac:dyDescent="0.25">
      <c r="A66" s="70" t="s">
        <v>75</v>
      </c>
      <c r="B66" s="68">
        <v>91.733746130030994</v>
      </c>
      <c r="C66" s="68">
        <v>1.6072727272727301</v>
      </c>
      <c r="D66" s="68">
        <v>91.733746130030994</v>
      </c>
      <c r="E66" s="68">
        <v>1.6072727272727301</v>
      </c>
      <c r="F66" s="68">
        <v>91.936399772856305</v>
      </c>
      <c r="G66" s="68">
        <v>2.1182222779414501</v>
      </c>
      <c r="H66" s="68">
        <v>2841</v>
      </c>
      <c r="I66" s="68">
        <v>22118</v>
      </c>
      <c r="J66" s="68">
        <v>89.399293286219105</v>
      </c>
      <c r="K66" s="68">
        <v>1.33884051941877</v>
      </c>
      <c r="L66" s="68">
        <v>1003</v>
      </c>
      <c r="M66" s="68">
        <v>11428</v>
      </c>
      <c r="N66" s="68">
        <v>95.108695652173907</v>
      </c>
      <c r="O66" s="68">
        <v>18034.272727272699</v>
      </c>
      <c r="P66" s="68">
        <v>3583</v>
      </c>
      <c r="Q66" s="68">
        <v>38150</v>
      </c>
      <c r="R66" s="68">
        <v>93.3333333333333</v>
      </c>
      <c r="S66" s="68">
        <v>8355.8181818181802</v>
      </c>
      <c r="T66" s="68">
        <v>621</v>
      </c>
      <c r="U66" s="68">
        <v>18873</v>
      </c>
      <c r="V66" s="68"/>
      <c r="W66" s="68"/>
      <c r="X66" s="68"/>
      <c r="Y66" s="68">
        <v>88.602941176470594</v>
      </c>
      <c r="Z66" s="68">
        <v>96.151127876273094</v>
      </c>
      <c r="AA66" s="68">
        <v>2.6172727272727299</v>
      </c>
      <c r="AB66" s="68">
        <v>100</v>
      </c>
      <c r="AC66" s="68">
        <v>720</v>
      </c>
    </row>
    <row r="67" spans="1:29" x14ac:dyDescent="0.25">
      <c r="A67" s="70" t="s">
        <v>519</v>
      </c>
      <c r="B67" s="68">
        <v>91.733746130030994</v>
      </c>
      <c r="C67" s="68">
        <v>1.6072727272727301</v>
      </c>
      <c r="D67" s="68">
        <v>91.733746130030994</v>
      </c>
      <c r="E67" s="68">
        <v>1.6072727272727301</v>
      </c>
      <c r="F67" s="68">
        <v>91.936399772856305</v>
      </c>
      <c r="G67" s="68">
        <v>2.1182222779414501</v>
      </c>
      <c r="H67" s="68">
        <v>2841</v>
      </c>
      <c r="I67" s="68">
        <v>22118</v>
      </c>
      <c r="J67" s="68">
        <v>89.399293286219105</v>
      </c>
      <c r="K67" s="68">
        <v>1.33884051941877</v>
      </c>
      <c r="L67" s="68">
        <v>1003</v>
      </c>
      <c r="M67" s="68">
        <v>11428</v>
      </c>
      <c r="N67" s="68">
        <v>95.108695652173907</v>
      </c>
      <c r="O67" s="68">
        <v>18034.272727272699</v>
      </c>
      <c r="P67" s="68">
        <v>3583</v>
      </c>
      <c r="Q67" s="68">
        <v>38150</v>
      </c>
      <c r="R67" s="68">
        <v>93.3333333333333</v>
      </c>
      <c r="S67" s="68">
        <v>8355.8181818181802</v>
      </c>
      <c r="T67" s="68">
        <v>621</v>
      </c>
      <c r="U67" s="68">
        <v>18873</v>
      </c>
      <c r="V67" s="68"/>
      <c r="W67" s="68"/>
      <c r="X67" s="68"/>
      <c r="Y67" s="68">
        <v>88.602941176470594</v>
      </c>
      <c r="Z67" s="68">
        <v>96.151127876273094</v>
      </c>
      <c r="AA67" s="68">
        <v>2.6172727272727299</v>
      </c>
      <c r="AB67" s="68">
        <v>100</v>
      </c>
      <c r="AC67" s="68">
        <v>720</v>
      </c>
    </row>
    <row r="68" spans="1:29" x14ac:dyDescent="0.25">
      <c r="A68" s="70" t="s">
        <v>76</v>
      </c>
      <c r="B68" s="68">
        <v>95.2758357573924</v>
      </c>
      <c r="C68" s="68">
        <v>2.99058180281324</v>
      </c>
      <c r="D68" s="68">
        <v>95.2758357573924</v>
      </c>
      <c r="E68" s="68">
        <v>2.99058180281324</v>
      </c>
      <c r="F68" s="68">
        <v>98.880416884959104</v>
      </c>
      <c r="G68" s="68">
        <v>2.8749211624937101</v>
      </c>
      <c r="H68" s="68">
        <v>3058</v>
      </c>
      <c r="I68" s="68">
        <v>13605.5</v>
      </c>
      <c r="J68" s="68">
        <v>96.4637783903176</v>
      </c>
      <c r="K68" s="68">
        <v>2.55449773256501</v>
      </c>
      <c r="L68" s="68">
        <v>1210.5</v>
      </c>
      <c r="M68" s="68">
        <v>4885.5</v>
      </c>
      <c r="N68" s="68">
        <v>99.002227647635806</v>
      </c>
      <c r="O68" s="68">
        <v>11812.136769340699</v>
      </c>
      <c r="P68" s="68">
        <v>3364.5</v>
      </c>
      <c r="Q68" s="68">
        <v>23944.5</v>
      </c>
      <c r="R68" s="68">
        <v>98.631857664147404</v>
      </c>
      <c r="S68" s="68">
        <v>5089.1883189489799</v>
      </c>
      <c r="T68" s="68">
        <v>1315</v>
      </c>
      <c r="U68" s="68">
        <v>9825.5</v>
      </c>
      <c r="V68" s="68">
        <v>99.458411081192907</v>
      </c>
      <c r="W68" s="68">
        <v>99.443422012850704</v>
      </c>
      <c r="X68" s="68">
        <v>2.9584327306285401</v>
      </c>
      <c r="Y68" s="68">
        <v>92.255579739099105</v>
      </c>
      <c r="Z68" s="68">
        <v>91.278482581302399</v>
      </c>
      <c r="AA68" s="68">
        <v>3.6826200962116502</v>
      </c>
      <c r="AB68" s="68">
        <v>73.999290933737399</v>
      </c>
      <c r="AC68" s="68">
        <v>626.39718805681798</v>
      </c>
    </row>
    <row r="69" spans="1:29" x14ac:dyDescent="0.25">
      <c r="A69" s="70" t="s">
        <v>77</v>
      </c>
      <c r="B69" s="68">
        <v>92.701573534057502</v>
      </c>
      <c r="C69" s="68">
        <v>3.06781253745147</v>
      </c>
      <c r="D69" s="68">
        <v>92.701573534057502</v>
      </c>
      <c r="E69" s="68">
        <v>3.06781253745147</v>
      </c>
      <c r="F69" s="68">
        <v>98.723645119094002</v>
      </c>
      <c r="G69" s="68">
        <v>3.32122129340316</v>
      </c>
      <c r="H69" s="68">
        <v>3321</v>
      </c>
      <c r="I69" s="68">
        <v>10517</v>
      </c>
      <c r="J69" s="68">
        <v>95.4369605412532</v>
      </c>
      <c r="K69" s="68">
        <v>5.3395464973626199</v>
      </c>
      <c r="L69" s="68">
        <v>823</v>
      </c>
      <c r="M69" s="68">
        <v>2507</v>
      </c>
      <c r="N69" s="68">
        <v>98.728875497968303</v>
      </c>
      <c r="O69" s="68">
        <v>10490.775560062</v>
      </c>
      <c r="P69" s="68">
        <v>3799</v>
      </c>
      <c r="Q69" s="68">
        <v>17773</v>
      </c>
      <c r="R69" s="68">
        <v>98.023170892177404</v>
      </c>
      <c r="S69" s="68">
        <v>1770.49922182471</v>
      </c>
      <c r="T69" s="68">
        <v>777</v>
      </c>
      <c r="U69" s="68">
        <v>2946</v>
      </c>
      <c r="V69" s="68">
        <v>99.678576230722797</v>
      </c>
      <c r="W69" s="68">
        <v>99.163665926232198</v>
      </c>
      <c r="X69" s="68">
        <v>3.27997495490153</v>
      </c>
      <c r="Y69" s="68">
        <v>95.508123121819395</v>
      </c>
      <c r="Z69" s="68">
        <v>95.275186084764101</v>
      </c>
      <c r="AA69" s="68">
        <v>4.12259930519423</v>
      </c>
      <c r="AB69" s="68">
        <v>49.420962266513499</v>
      </c>
      <c r="AC69" s="68">
        <v>537.91546415944902</v>
      </c>
    </row>
    <row r="70" spans="1:29" x14ac:dyDescent="0.25">
      <c r="A70" s="70" t="s">
        <v>78</v>
      </c>
      <c r="B70" s="68">
        <v>97.850097980727199</v>
      </c>
      <c r="C70" s="68">
        <v>2.9133510681749999</v>
      </c>
      <c r="D70" s="68">
        <v>97.850097980727199</v>
      </c>
      <c r="E70" s="68">
        <v>2.9133510681749999</v>
      </c>
      <c r="F70" s="68">
        <v>99.037188650824106</v>
      </c>
      <c r="G70" s="68">
        <v>2.5343583503235299</v>
      </c>
      <c r="H70" s="68">
        <v>2795</v>
      </c>
      <c r="I70" s="68">
        <v>16694</v>
      </c>
      <c r="J70" s="68">
        <v>97.490596239382</v>
      </c>
      <c r="K70" s="68">
        <v>1.6788355579957299</v>
      </c>
      <c r="L70" s="68">
        <v>1598</v>
      </c>
      <c r="M70" s="68">
        <v>7264</v>
      </c>
      <c r="N70" s="68">
        <v>99.275579797303195</v>
      </c>
      <c r="O70" s="68">
        <v>13133.4979786194</v>
      </c>
      <c r="P70" s="68">
        <v>2930</v>
      </c>
      <c r="Q70" s="68">
        <v>30116</v>
      </c>
      <c r="R70" s="68">
        <v>99.240544436117403</v>
      </c>
      <c r="S70" s="68">
        <v>8407.8774160732501</v>
      </c>
      <c r="T70" s="68">
        <v>1853</v>
      </c>
      <c r="U70" s="68">
        <v>16705</v>
      </c>
      <c r="V70" s="68">
        <v>99.238245931663002</v>
      </c>
      <c r="W70" s="68">
        <v>99.723178099469195</v>
      </c>
      <c r="X70" s="68">
        <v>2.6368905063555399</v>
      </c>
      <c r="Y70" s="68">
        <v>89.003036356378701</v>
      </c>
      <c r="Z70" s="68">
        <v>87.281779077840696</v>
      </c>
      <c r="AA70" s="68">
        <v>3.24264088722907</v>
      </c>
      <c r="AB70" s="68">
        <v>98.577619600961199</v>
      </c>
      <c r="AC70" s="68">
        <v>714.87891195418797</v>
      </c>
    </row>
    <row r="71" spans="1:29" x14ac:dyDescent="0.25">
      <c r="A71" s="70" t="s">
        <v>359</v>
      </c>
      <c r="B71" s="68">
        <v>91.733746130030994</v>
      </c>
      <c r="C71" s="68">
        <v>1.6072727272727301</v>
      </c>
      <c r="D71" s="68">
        <v>91.733746130030994</v>
      </c>
      <c r="E71" s="68">
        <v>1.6072727272727301</v>
      </c>
      <c r="F71" s="68">
        <v>91.936399772856305</v>
      </c>
      <c r="G71" s="68">
        <v>2.1182222779414501</v>
      </c>
      <c r="H71" s="68">
        <v>2841</v>
      </c>
      <c r="I71" s="68">
        <v>22118</v>
      </c>
      <c r="J71" s="68">
        <v>89.399293286219105</v>
      </c>
      <c r="K71" s="68">
        <v>1.33884051941877</v>
      </c>
      <c r="L71" s="68">
        <v>1003</v>
      </c>
      <c r="M71" s="68">
        <v>11428</v>
      </c>
      <c r="N71" s="68">
        <v>95.108695652173907</v>
      </c>
      <c r="O71" s="68">
        <v>18034.272727272699</v>
      </c>
      <c r="P71" s="68">
        <v>3583</v>
      </c>
      <c r="Q71" s="68">
        <v>38150</v>
      </c>
      <c r="R71" s="68">
        <v>93.3333333333333</v>
      </c>
      <c r="S71" s="68">
        <v>8355.8181818181802</v>
      </c>
      <c r="T71" s="68">
        <v>621</v>
      </c>
      <c r="U71" s="68">
        <v>18873</v>
      </c>
      <c r="V71" s="68"/>
      <c r="W71" s="68"/>
      <c r="X71" s="68"/>
      <c r="Y71" s="68">
        <v>88.602941176470594</v>
      </c>
      <c r="Z71" s="68">
        <v>96.151127876273094</v>
      </c>
      <c r="AA71" s="68">
        <v>2.6172727272727299</v>
      </c>
      <c r="AB71" s="68">
        <v>100</v>
      </c>
      <c r="AC71" s="68">
        <v>720</v>
      </c>
    </row>
    <row r="72" spans="1:29" x14ac:dyDescent="0.25">
      <c r="A72" s="70" t="s">
        <v>520</v>
      </c>
      <c r="B72" s="68">
        <v>91.733746130030994</v>
      </c>
      <c r="C72" s="68">
        <v>1.6072727272727301</v>
      </c>
      <c r="D72" s="68">
        <v>91.733746130030994</v>
      </c>
      <c r="E72" s="68">
        <v>1.6072727272727301</v>
      </c>
      <c r="F72" s="68">
        <v>91.936399772856305</v>
      </c>
      <c r="G72" s="68">
        <v>2.1182222779414501</v>
      </c>
      <c r="H72" s="68">
        <v>2841</v>
      </c>
      <c r="I72" s="68">
        <v>22118</v>
      </c>
      <c r="J72" s="68">
        <v>89.399293286219105</v>
      </c>
      <c r="K72" s="68">
        <v>1.33884051941877</v>
      </c>
      <c r="L72" s="68">
        <v>1003</v>
      </c>
      <c r="M72" s="68">
        <v>11428</v>
      </c>
      <c r="N72" s="68">
        <v>95.108695652173907</v>
      </c>
      <c r="O72" s="68">
        <v>18034.272727272699</v>
      </c>
      <c r="P72" s="68">
        <v>3583</v>
      </c>
      <c r="Q72" s="68">
        <v>38150</v>
      </c>
      <c r="R72" s="68">
        <v>93.3333333333333</v>
      </c>
      <c r="S72" s="68">
        <v>8355.8181818181802</v>
      </c>
      <c r="T72" s="68">
        <v>621</v>
      </c>
      <c r="U72" s="68">
        <v>18873</v>
      </c>
      <c r="V72" s="68"/>
      <c r="W72" s="68"/>
      <c r="X72" s="68"/>
      <c r="Y72" s="68">
        <v>88.602941176470594</v>
      </c>
      <c r="Z72" s="68">
        <v>96.151127876273094</v>
      </c>
      <c r="AA72" s="68">
        <v>2.6172727272727299</v>
      </c>
      <c r="AB72" s="68">
        <v>100</v>
      </c>
      <c r="AC72" s="68">
        <v>720</v>
      </c>
    </row>
    <row r="73" spans="1:29" x14ac:dyDescent="0.25">
      <c r="A73" s="70" t="s">
        <v>79</v>
      </c>
      <c r="B73" s="68">
        <v>95.8377271241838</v>
      </c>
      <c r="C73" s="68">
        <v>3.0988538186232701</v>
      </c>
      <c r="D73" s="68">
        <v>95.8377271241838</v>
      </c>
      <c r="E73" s="68">
        <v>3.0988538186232701</v>
      </c>
      <c r="F73" s="68">
        <v>98.796546484134495</v>
      </c>
      <c r="G73" s="68">
        <v>2.7280115327833601</v>
      </c>
      <c r="H73" s="68">
        <v>3125</v>
      </c>
      <c r="I73" s="68">
        <v>16780</v>
      </c>
      <c r="J73" s="68">
        <v>95.751187870905397</v>
      </c>
      <c r="K73" s="68">
        <v>2.6724592372370801</v>
      </c>
      <c r="L73" s="68">
        <v>962.5</v>
      </c>
      <c r="M73" s="68">
        <v>5005</v>
      </c>
      <c r="N73" s="68">
        <v>99.1390228529079</v>
      </c>
      <c r="O73" s="68">
        <v>11561.614511534</v>
      </c>
      <c r="P73" s="68">
        <v>3415</v>
      </c>
      <c r="Q73" s="68">
        <v>24863.5</v>
      </c>
      <c r="R73" s="68">
        <v>98.495277622072095</v>
      </c>
      <c r="S73" s="68">
        <v>4730.5118330044197</v>
      </c>
      <c r="T73" s="68">
        <v>1007.5</v>
      </c>
      <c r="U73" s="68">
        <v>10207</v>
      </c>
      <c r="V73" s="68">
        <v>99.152542372881399</v>
      </c>
      <c r="W73" s="68">
        <v>100.0025</v>
      </c>
      <c r="X73" s="68">
        <v>3.125</v>
      </c>
      <c r="Y73" s="68">
        <v>91.167148126671407</v>
      </c>
      <c r="Z73" s="68">
        <v>89.235680945046397</v>
      </c>
      <c r="AA73" s="68">
        <v>4.1203384181117704</v>
      </c>
      <c r="AB73" s="68">
        <v>73.424712303581302</v>
      </c>
      <c r="AC73" s="68">
        <v>624.32913212570099</v>
      </c>
    </row>
    <row r="74" spans="1:29" x14ac:dyDescent="0.25">
      <c r="A74" s="70" t="s">
        <v>80</v>
      </c>
      <c r="B74" s="68">
        <v>94.264545072966996</v>
      </c>
      <c r="C74" s="68">
        <v>3.2062177528016602</v>
      </c>
      <c r="D74" s="68">
        <v>94.264545072966996</v>
      </c>
      <c r="E74" s="68">
        <v>3.2062177528016602</v>
      </c>
      <c r="F74" s="68">
        <v>98.780352784589198</v>
      </c>
      <c r="G74" s="68">
        <v>3.13040040929658</v>
      </c>
      <c r="H74" s="68">
        <v>3232</v>
      </c>
      <c r="I74" s="68">
        <v>12902</v>
      </c>
      <c r="J74" s="68">
        <v>94.914564084466207</v>
      </c>
      <c r="K74" s="68">
        <v>5.6554586294331601</v>
      </c>
      <c r="L74" s="68">
        <v>769</v>
      </c>
      <c r="M74" s="68">
        <v>2214</v>
      </c>
      <c r="N74" s="68">
        <v>98.916149278311906</v>
      </c>
      <c r="O74" s="68">
        <v>10540.649740807799</v>
      </c>
      <c r="P74" s="68">
        <v>3352</v>
      </c>
      <c r="Q74" s="68">
        <v>18767</v>
      </c>
      <c r="R74" s="68">
        <v>98.183024889848994</v>
      </c>
      <c r="S74" s="68">
        <v>1723.1367172344801</v>
      </c>
      <c r="T74" s="68">
        <v>711</v>
      </c>
      <c r="U74" s="68">
        <v>2977</v>
      </c>
      <c r="V74" s="68">
        <v>98.305084745762699</v>
      </c>
      <c r="W74" s="68">
        <v>100.005</v>
      </c>
      <c r="X74" s="68">
        <v>3.28</v>
      </c>
      <c r="Y74" s="68">
        <v>95.068855594594297</v>
      </c>
      <c r="Z74" s="68">
        <v>93.656551695890499</v>
      </c>
      <c r="AA74" s="68">
        <v>4.8335380586313601</v>
      </c>
      <c r="AB74" s="68">
        <v>47.521998809726199</v>
      </c>
      <c r="AC74" s="68">
        <v>531.07919571501395</v>
      </c>
    </row>
    <row r="75" spans="1:29" x14ac:dyDescent="0.25">
      <c r="A75" s="70" t="s">
        <v>81</v>
      </c>
      <c r="B75" s="68">
        <v>97.410909175400604</v>
      </c>
      <c r="C75" s="68">
        <v>2.9914898844448801</v>
      </c>
      <c r="D75" s="68">
        <v>97.410909175400604</v>
      </c>
      <c r="E75" s="68">
        <v>2.9914898844448801</v>
      </c>
      <c r="F75" s="68">
        <v>98.812740183679793</v>
      </c>
      <c r="G75" s="68">
        <v>2.4172877938383199</v>
      </c>
      <c r="H75" s="68">
        <v>3018</v>
      </c>
      <c r="I75" s="68">
        <v>20658</v>
      </c>
      <c r="J75" s="68">
        <v>96.587811657344503</v>
      </c>
      <c r="K75" s="68">
        <v>1.74961580147729</v>
      </c>
      <c r="L75" s="68">
        <v>1156</v>
      </c>
      <c r="M75" s="68">
        <v>7796</v>
      </c>
      <c r="N75" s="68">
        <v>99.361896427504007</v>
      </c>
      <c r="O75" s="68">
        <v>12582.5792822603</v>
      </c>
      <c r="P75" s="68">
        <v>3478</v>
      </c>
      <c r="Q75" s="68">
        <v>30960</v>
      </c>
      <c r="R75" s="68">
        <v>98.807530354295196</v>
      </c>
      <c r="S75" s="68">
        <v>7737.8869487743596</v>
      </c>
      <c r="T75" s="68">
        <v>1304</v>
      </c>
      <c r="U75" s="68">
        <v>17437</v>
      </c>
      <c r="V75" s="68">
        <v>100</v>
      </c>
      <c r="W75" s="68">
        <v>100</v>
      </c>
      <c r="X75" s="68">
        <v>2.97</v>
      </c>
      <c r="Y75" s="68">
        <v>87.265440658748503</v>
      </c>
      <c r="Z75" s="68">
        <v>84.814810194202394</v>
      </c>
      <c r="AA75" s="68">
        <v>3.40713877759217</v>
      </c>
      <c r="AB75" s="68">
        <v>99.327425797436405</v>
      </c>
      <c r="AC75" s="68">
        <v>717.57906853638804</v>
      </c>
    </row>
    <row r="76" spans="1:29" x14ac:dyDescent="0.25">
      <c r="A76" s="70" t="s">
        <v>82</v>
      </c>
      <c r="B76" s="68">
        <v>98.569604086845501</v>
      </c>
      <c r="C76" s="68">
        <v>1.0681818181818199</v>
      </c>
      <c r="D76" s="68">
        <v>98.569604086845501</v>
      </c>
      <c r="E76" s="68">
        <v>1.0681818181818199</v>
      </c>
      <c r="F76" s="68">
        <v>99.358974358974393</v>
      </c>
      <c r="G76" s="68">
        <v>1.17967202241209</v>
      </c>
      <c r="H76" s="68">
        <v>6186</v>
      </c>
      <c r="I76" s="68">
        <v>36994</v>
      </c>
      <c r="J76" s="68">
        <v>96.505242136794806</v>
      </c>
      <c r="K76" s="68">
        <v>0.85533397245451004</v>
      </c>
      <c r="L76" s="68">
        <v>1970</v>
      </c>
      <c r="M76" s="68">
        <v>15345</v>
      </c>
      <c r="N76" s="68">
        <v>99.392405063291093</v>
      </c>
      <c r="O76" s="68">
        <v>28286.090909090901</v>
      </c>
      <c r="P76" s="68">
        <v>6839</v>
      </c>
      <c r="Q76" s="68">
        <v>54784</v>
      </c>
      <c r="R76" s="68">
        <v>98.719918074756805</v>
      </c>
      <c r="S76" s="68">
        <v>14481.3636363636</v>
      </c>
      <c r="T76" s="68">
        <v>1758</v>
      </c>
      <c r="U76" s="68">
        <v>33233</v>
      </c>
      <c r="V76" s="68"/>
      <c r="W76" s="68"/>
      <c r="X76" s="68"/>
      <c r="Y76" s="68">
        <v>97.287615148413494</v>
      </c>
      <c r="Z76" s="68">
        <v>98.578370235761099</v>
      </c>
      <c r="AA76" s="68">
        <v>2.0736363636363602</v>
      </c>
      <c r="AB76" s="68">
        <v>100</v>
      </c>
      <c r="AC76" s="68">
        <v>720</v>
      </c>
    </row>
    <row r="77" spans="1:29" x14ac:dyDescent="0.25">
      <c r="A77" s="70" t="s">
        <v>521</v>
      </c>
      <c r="B77" s="68">
        <v>98.569604086845501</v>
      </c>
      <c r="C77" s="68">
        <v>1.0681818181818199</v>
      </c>
      <c r="D77" s="68">
        <v>98.569604086845501</v>
      </c>
      <c r="E77" s="68">
        <v>1.0681818181818199</v>
      </c>
      <c r="F77" s="68">
        <v>99.358974358974393</v>
      </c>
      <c r="G77" s="68">
        <v>1.17967202241209</v>
      </c>
      <c r="H77" s="68">
        <v>6186</v>
      </c>
      <c r="I77" s="68">
        <v>36994</v>
      </c>
      <c r="J77" s="68">
        <v>96.505242136794806</v>
      </c>
      <c r="K77" s="68">
        <v>0.85533397245451004</v>
      </c>
      <c r="L77" s="68">
        <v>1970</v>
      </c>
      <c r="M77" s="68">
        <v>15345</v>
      </c>
      <c r="N77" s="68">
        <v>99.392405063291093</v>
      </c>
      <c r="O77" s="68">
        <v>28286.090909090901</v>
      </c>
      <c r="P77" s="68">
        <v>6839</v>
      </c>
      <c r="Q77" s="68">
        <v>54784</v>
      </c>
      <c r="R77" s="68">
        <v>98.719918074756805</v>
      </c>
      <c r="S77" s="68">
        <v>14481.3636363636</v>
      </c>
      <c r="T77" s="68">
        <v>1758</v>
      </c>
      <c r="U77" s="68">
        <v>33233</v>
      </c>
      <c r="V77" s="68"/>
      <c r="W77" s="68"/>
      <c r="X77" s="68"/>
      <c r="Y77" s="68">
        <v>97.287615148413494</v>
      </c>
      <c r="Z77" s="68">
        <v>98.578370235761099</v>
      </c>
      <c r="AA77" s="68">
        <v>2.0736363636363602</v>
      </c>
      <c r="AB77" s="68">
        <v>100</v>
      </c>
      <c r="AC77" s="68">
        <v>720</v>
      </c>
    </row>
    <row r="78" spans="1:29" x14ac:dyDescent="0.25">
      <c r="A78" s="70" t="s">
        <v>83</v>
      </c>
      <c r="B78" s="68">
        <v>97.241365134100505</v>
      </c>
      <c r="C78" s="68">
        <v>2.3283656600825999</v>
      </c>
      <c r="D78" s="68">
        <v>97.241365134100505</v>
      </c>
      <c r="E78" s="68">
        <v>2.3283656600825999</v>
      </c>
      <c r="F78" s="68">
        <v>98.8540744741438</v>
      </c>
      <c r="G78" s="68">
        <v>1.3142266426547999</v>
      </c>
      <c r="H78" s="68">
        <v>8362.5</v>
      </c>
      <c r="I78" s="68">
        <v>29268</v>
      </c>
      <c r="J78" s="68">
        <v>96.3965895753106</v>
      </c>
      <c r="K78" s="68">
        <v>1.6494529177630599</v>
      </c>
      <c r="L78" s="68">
        <v>2322.5</v>
      </c>
      <c r="M78" s="68">
        <v>6786</v>
      </c>
      <c r="N78" s="68">
        <v>99.053355004274195</v>
      </c>
      <c r="O78" s="68">
        <v>31176.791310998298</v>
      </c>
      <c r="P78" s="68">
        <v>11102.5</v>
      </c>
      <c r="Q78" s="68">
        <v>56917</v>
      </c>
      <c r="R78" s="68">
        <v>98.102928402993797</v>
      </c>
      <c r="S78" s="68">
        <v>13211.2928674712</v>
      </c>
      <c r="T78" s="68">
        <v>2983.5</v>
      </c>
      <c r="U78" s="68">
        <v>23326.5</v>
      </c>
      <c r="V78" s="68">
        <v>97.952335558238502</v>
      </c>
      <c r="W78" s="68">
        <v>99.614991397917194</v>
      </c>
      <c r="X78" s="68">
        <v>1.98725131098732</v>
      </c>
      <c r="Y78" s="68">
        <v>96.173648723962899</v>
      </c>
      <c r="Z78" s="68">
        <v>96.460310667307098</v>
      </c>
      <c r="AA78" s="68">
        <v>2.7645657162302499</v>
      </c>
      <c r="AB78" s="68">
        <v>73.475660812025396</v>
      </c>
      <c r="AC78" s="68">
        <v>624.51220773806801</v>
      </c>
    </row>
    <row r="79" spans="1:29" x14ac:dyDescent="0.25">
      <c r="A79" s="70" t="s">
        <v>84</v>
      </c>
      <c r="B79" s="68">
        <v>95.597340027841497</v>
      </c>
      <c r="C79" s="68">
        <v>2.3211715903815699</v>
      </c>
      <c r="D79" s="68">
        <v>95.597340027841497</v>
      </c>
      <c r="E79" s="68">
        <v>2.3211715903815699</v>
      </c>
      <c r="F79" s="68">
        <v>98.608068508523601</v>
      </c>
      <c r="G79" s="68">
        <v>2.2292743354985798</v>
      </c>
      <c r="H79" s="68">
        <v>4594</v>
      </c>
      <c r="I79" s="68">
        <v>17697</v>
      </c>
      <c r="J79" s="68">
        <v>93.922324666218302</v>
      </c>
      <c r="K79" s="68">
        <v>3.8699462980788</v>
      </c>
      <c r="L79" s="68">
        <v>775</v>
      </c>
      <c r="M79" s="68">
        <v>3456</v>
      </c>
      <c r="N79" s="68">
        <v>98.898151916567599</v>
      </c>
      <c r="O79" s="68">
        <v>13135.125071071199</v>
      </c>
      <c r="P79" s="68">
        <v>5704</v>
      </c>
      <c r="Q79" s="68">
        <v>21226</v>
      </c>
      <c r="R79" s="68">
        <v>97.368606730771106</v>
      </c>
      <c r="S79" s="68">
        <v>2353.25470292618</v>
      </c>
      <c r="T79" s="68">
        <v>530</v>
      </c>
      <c r="U79" s="68">
        <v>4013</v>
      </c>
      <c r="V79" s="68">
        <v>97.779435209196507</v>
      </c>
      <c r="W79" s="68">
        <v>99.669246036399898</v>
      </c>
      <c r="X79" s="68">
        <v>1.73380605780955</v>
      </c>
      <c r="Y79" s="68">
        <v>95.7235408124114</v>
      </c>
      <c r="Z79" s="68">
        <v>95.099972987857598</v>
      </c>
      <c r="AA79" s="68">
        <v>2.85718511620126</v>
      </c>
      <c r="AB79" s="68">
        <v>49.420962266513499</v>
      </c>
      <c r="AC79" s="68">
        <v>537.91546415944902</v>
      </c>
    </row>
    <row r="80" spans="1:29" x14ac:dyDescent="0.25">
      <c r="A80" s="70" t="s">
        <v>85</v>
      </c>
      <c r="B80" s="68">
        <v>98.885390240359499</v>
      </c>
      <c r="C80" s="68">
        <v>2.3355597297836299</v>
      </c>
      <c r="D80" s="68">
        <v>98.885390240359499</v>
      </c>
      <c r="E80" s="68">
        <v>2.3355597297836299</v>
      </c>
      <c r="F80" s="68">
        <v>99.1000804397639</v>
      </c>
      <c r="G80" s="68">
        <v>0.93176579850612296</v>
      </c>
      <c r="H80" s="68">
        <v>12131</v>
      </c>
      <c r="I80" s="68">
        <v>40839</v>
      </c>
      <c r="J80" s="68">
        <v>98.870854484402997</v>
      </c>
      <c r="K80" s="68">
        <v>1.04808430097367</v>
      </c>
      <c r="L80" s="68">
        <v>3870</v>
      </c>
      <c r="M80" s="68">
        <v>10116</v>
      </c>
      <c r="N80" s="68">
        <v>99.208558091980706</v>
      </c>
      <c r="O80" s="68">
        <v>49218.457550925399</v>
      </c>
      <c r="P80" s="68">
        <v>16501</v>
      </c>
      <c r="Q80" s="68">
        <v>92608</v>
      </c>
      <c r="R80" s="68">
        <v>98.837250075216602</v>
      </c>
      <c r="S80" s="68">
        <v>24069.3310320161</v>
      </c>
      <c r="T80" s="68">
        <v>5437</v>
      </c>
      <c r="U80" s="68">
        <v>42640</v>
      </c>
      <c r="V80" s="68">
        <v>98.125235907280498</v>
      </c>
      <c r="W80" s="68">
        <v>99.560736759434505</v>
      </c>
      <c r="X80" s="68">
        <v>2.2406965641651002</v>
      </c>
      <c r="Y80" s="68">
        <v>96.623756635514397</v>
      </c>
      <c r="Z80" s="68">
        <v>97.820648346756599</v>
      </c>
      <c r="AA80" s="68">
        <v>2.6719463162592398</v>
      </c>
      <c r="AB80" s="68">
        <v>97.530359357537193</v>
      </c>
      <c r="AC80" s="68">
        <v>711.10895131668701</v>
      </c>
    </row>
    <row r="81" spans="1:29" x14ac:dyDescent="0.25">
      <c r="A81" s="70" t="s">
        <v>360</v>
      </c>
      <c r="B81" s="68">
        <v>98.569604086845501</v>
      </c>
      <c r="C81" s="68">
        <v>1.0681818181818199</v>
      </c>
      <c r="D81" s="68">
        <v>98.569604086845501</v>
      </c>
      <c r="E81" s="68">
        <v>1.0681818181818199</v>
      </c>
      <c r="F81" s="68">
        <v>99.358974358974393</v>
      </c>
      <c r="G81" s="68">
        <v>1.17967202241209</v>
      </c>
      <c r="H81" s="68">
        <v>6186</v>
      </c>
      <c r="I81" s="68">
        <v>36994</v>
      </c>
      <c r="J81" s="68">
        <v>96.505242136794806</v>
      </c>
      <c r="K81" s="68">
        <v>0.85533397245451004</v>
      </c>
      <c r="L81" s="68">
        <v>1970</v>
      </c>
      <c r="M81" s="68">
        <v>15345</v>
      </c>
      <c r="N81" s="68">
        <v>99.392405063291093</v>
      </c>
      <c r="O81" s="68">
        <v>28286.090909090901</v>
      </c>
      <c r="P81" s="68">
        <v>6839</v>
      </c>
      <c r="Q81" s="68">
        <v>54784</v>
      </c>
      <c r="R81" s="68">
        <v>98.719918074756805</v>
      </c>
      <c r="S81" s="68">
        <v>14481.3636363636</v>
      </c>
      <c r="T81" s="68">
        <v>1758</v>
      </c>
      <c r="U81" s="68">
        <v>33233</v>
      </c>
      <c r="V81" s="68"/>
      <c r="W81" s="68"/>
      <c r="X81" s="68"/>
      <c r="Y81" s="68">
        <v>97.287615148413494</v>
      </c>
      <c r="Z81" s="68">
        <v>98.578370235761099</v>
      </c>
      <c r="AA81" s="68">
        <v>2.0736363636363602</v>
      </c>
      <c r="AB81" s="68">
        <v>100</v>
      </c>
      <c r="AC81" s="68">
        <v>720</v>
      </c>
    </row>
    <row r="82" spans="1:29" x14ac:dyDescent="0.25">
      <c r="A82" s="70" t="s">
        <v>522</v>
      </c>
      <c r="B82" s="68">
        <v>98.569604086845501</v>
      </c>
      <c r="C82" s="68">
        <v>1.0681818181818199</v>
      </c>
      <c r="D82" s="68">
        <v>98.569604086845501</v>
      </c>
      <c r="E82" s="68">
        <v>1.0681818181818199</v>
      </c>
      <c r="F82" s="68">
        <v>99.358974358974393</v>
      </c>
      <c r="G82" s="68">
        <v>1.17967202241209</v>
      </c>
      <c r="H82" s="68">
        <v>6186</v>
      </c>
      <c r="I82" s="68">
        <v>36994</v>
      </c>
      <c r="J82" s="68">
        <v>96.505242136794806</v>
      </c>
      <c r="K82" s="68">
        <v>0.85533397245451004</v>
      </c>
      <c r="L82" s="68">
        <v>1970</v>
      </c>
      <c r="M82" s="68">
        <v>15345</v>
      </c>
      <c r="N82" s="68">
        <v>99.392405063291093</v>
      </c>
      <c r="O82" s="68">
        <v>28286.090909090901</v>
      </c>
      <c r="P82" s="68">
        <v>6839</v>
      </c>
      <c r="Q82" s="68">
        <v>54784</v>
      </c>
      <c r="R82" s="68">
        <v>98.719918074756805</v>
      </c>
      <c r="S82" s="68">
        <v>14481.3636363636</v>
      </c>
      <c r="T82" s="68">
        <v>1758</v>
      </c>
      <c r="U82" s="68">
        <v>33233</v>
      </c>
      <c r="V82" s="68"/>
      <c r="W82" s="68"/>
      <c r="X82" s="68"/>
      <c r="Y82" s="68">
        <v>97.287615148413494</v>
      </c>
      <c r="Z82" s="68">
        <v>98.578370235761099</v>
      </c>
      <c r="AA82" s="68">
        <v>2.0736363636363602</v>
      </c>
      <c r="AB82" s="68">
        <v>100</v>
      </c>
      <c r="AC82" s="68">
        <v>720</v>
      </c>
    </row>
    <row r="83" spans="1:29" x14ac:dyDescent="0.25">
      <c r="A83" s="70" t="s">
        <v>86</v>
      </c>
      <c r="B83" s="68">
        <v>97.230571473762595</v>
      </c>
      <c r="C83" s="68">
        <v>2.3743825953076998</v>
      </c>
      <c r="D83" s="68">
        <v>97.230571473762595</v>
      </c>
      <c r="E83" s="68">
        <v>2.3743825953076998</v>
      </c>
      <c r="F83" s="68">
        <v>99.042156943757107</v>
      </c>
      <c r="G83" s="68">
        <v>1.26342106951047</v>
      </c>
      <c r="H83" s="68">
        <v>7260.5</v>
      </c>
      <c r="I83" s="68">
        <v>30185.5</v>
      </c>
      <c r="J83" s="68">
        <v>96.489766645181206</v>
      </c>
      <c r="K83" s="68">
        <v>1.66055063655863</v>
      </c>
      <c r="L83" s="68">
        <v>1771.5</v>
      </c>
      <c r="M83" s="68">
        <v>6610.5</v>
      </c>
      <c r="N83" s="68">
        <v>98.914122280123806</v>
      </c>
      <c r="O83" s="68">
        <v>29117.680014465801</v>
      </c>
      <c r="P83" s="68">
        <v>9627</v>
      </c>
      <c r="Q83" s="68">
        <v>52528</v>
      </c>
      <c r="R83" s="68">
        <v>98.0463051666393</v>
      </c>
      <c r="S83" s="68">
        <v>12684.8275787825</v>
      </c>
      <c r="T83" s="68">
        <v>1971</v>
      </c>
      <c r="U83" s="68">
        <v>22807.5</v>
      </c>
      <c r="V83" s="68">
        <v>98.4962406015038</v>
      </c>
      <c r="W83" s="68">
        <v>99.612093023255795</v>
      </c>
      <c r="X83" s="68">
        <v>2.0049999999999999</v>
      </c>
      <c r="Y83" s="68">
        <v>94.6272616217326</v>
      </c>
      <c r="Z83" s="68">
        <v>94.376554123493904</v>
      </c>
      <c r="AA83" s="68">
        <v>2.8695062280755899</v>
      </c>
      <c r="AB83" s="68">
        <v>73.101852694930102</v>
      </c>
      <c r="AC83" s="68">
        <v>623.16700989415097</v>
      </c>
    </row>
    <row r="84" spans="1:29" x14ac:dyDescent="0.25">
      <c r="A84" s="70" t="s">
        <v>87</v>
      </c>
      <c r="B84" s="68">
        <v>95.6654288242635</v>
      </c>
      <c r="C84" s="68">
        <v>2.3869261388580298</v>
      </c>
      <c r="D84" s="68">
        <v>95.6654288242635</v>
      </c>
      <c r="E84" s="68">
        <v>2.3869261388580298</v>
      </c>
      <c r="F84" s="68">
        <v>98.681218824459904</v>
      </c>
      <c r="G84" s="68">
        <v>2.1737049501798</v>
      </c>
      <c r="H84" s="68">
        <v>3023</v>
      </c>
      <c r="I84" s="68">
        <v>18731</v>
      </c>
      <c r="J84" s="68">
        <v>93.908693293008994</v>
      </c>
      <c r="K84" s="68">
        <v>3.78249430929514</v>
      </c>
      <c r="L84" s="68">
        <v>793</v>
      </c>
      <c r="M84" s="68">
        <v>3488</v>
      </c>
      <c r="N84" s="68">
        <v>98.822660774259404</v>
      </c>
      <c r="O84" s="68">
        <v>13141.2313234455</v>
      </c>
      <c r="P84" s="68">
        <v>5212</v>
      </c>
      <c r="Q84" s="68">
        <v>21751</v>
      </c>
      <c r="R84" s="68">
        <v>97.054982872380606</v>
      </c>
      <c r="S84" s="68">
        <v>2342.2347929094999</v>
      </c>
      <c r="T84" s="68">
        <v>511</v>
      </c>
      <c r="U84" s="68">
        <v>4044</v>
      </c>
      <c r="V84" s="68">
        <v>100</v>
      </c>
      <c r="W84" s="68">
        <v>100</v>
      </c>
      <c r="X84" s="68">
        <v>1.71</v>
      </c>
      <c r="Y84" s="68">
        <v>93.033260061172101</v>
      </c>
      <c r="Z84" s="68">
        <v>92.154421105701999</v>
      </c>
      <c r="AA84" s="68">
        <v>3.0122779971049001</v>
      </c>
      <c r="AB84" s="68">
        <v>47.521998809726199</v>
      </c>
      <c r="AC84" s="68">
        <v>531.07919571501395</v>
      </c>
    </row>
    <row r="85" spans="1:29" x14ac:dyDescent="0.25">
      <c r="A85" s="70" t="s">
        <v>88</v>
      </c>
      <c r="B85" s="68">
        <v>98.795714123261703</v>
      </c>
      <c r="C85" s="68">
        <v>2.36183905175736</v>
      </c>
      <c r="D85" s="68">
        <v>98.795714123261703</v>
      </c>
      <c r="E85" s="68">
        <v>2.36183905175736</v>
      </c>
      <c r="F85" s="68">
        <v>99.403095063054394</v>
      </c>
      <c r="G85" s="68">
        <v>0.89050407883618099</v>
      </c>
      <c r="H85" s="68">
        <v>11498</v>
      </c>
      <c r="I85" s="68">
        <v>41640</v>
      </c>
      <c r="J85" s="68">
        <v>99.070839997353403</v>
      </c>
      <c r="K85" s="68">
        <v>1.0637800502255801</v>
      </c>
      <c r="L85" s="68">
        <v>2750</v>
      </c>
      <c r="M85" s="68">
        <v>9733</v>
      </c>
      <c r="N85" s="68">
        <v>99.005583785988193</v>
      </c>
      <c r="O85" s="68">
        <v>45094.128705486102</v>
      </c>
      <c r="P85" s="68">
        <v>14042</v>
      </c>
      <c r="Q85" s="68">
        <v>83305</v>
      </c>
      <c r="R85" s="68">
        <v>99.037627460897994</v>
      </c>
      <c r="S85" s="68">
        <v>23027.4203646555</v>
      </c>
      <c r="T85" s="68">
        <v>3431</v>
      </c>
      <c r="U85" s="68">
        <v>41571</v>
      </c>
      <c r="V85" s="68">
        <v>96.9924812030075</v>
      </c>
      <c r="W85" s="68">
        <v>99.224186046511605</v>
      </c>
      <c r="X85" s="68">
        <v>2.2999999999999998</v>
      </c>
      <c r="Y85" s="68">
        <v>96.2212631822932</v>
      </c>
      <c r="Z85" s="68">
        <v>96.598687141285893</v>
      </c>
      <c r="AA85" s="68">
        <v>2.7267344590462699</v>
      </c>
      <c r="AB85" s="68">
        <v>98.681706580134005</v>
      </c>
      <c r="AC85" s="68">
        <v>715.25482407328695</v>
      </c>
    </row>
    <row r="86" spans="1:29" x14ac:dyDescent="0.25">
      <c r="A86" s="70" t="s">
        <v>89</v>
      </c>
      <c r="B86" s="68">
        <v>95.509453781512605</v>
      </c>
      <c r="C86" s="68">
        <v>1.3013636363636401</v>
      </c>
      <c r="D86" s="68">
        <v>95.509453781512605</v>
      </c>
      <c r="E86" s="68">
        <v>1.3013636363636401</v>
      </c>
      <c r="F86" s="68">
        <v>97.035175879397002</v>
      </c>
      <c r="G86" s="68">
        <v>1.1611523213510999</v>
      </c>
      <c r="H86" s="68">
        <v>6553</v>
      </c>
      <c r="I86" s="68">
        <v>41281</v>
      </c>
      <c r="J86" s="68">
        <v>95.487179487179503</v>
      </c>
      <c r="K86" s="68">
        <v>0.85202624761256396</v>
      </c>
      <c r="L86" s="68">
        <v>2097</v>
      </c>
      <c r="M86" s="68">
        <v>15460</v>
      </c>
      <c r="N86" s="68">
        <v>98.6979166666667</v>
      </c>
      <c r="O86" s="68">
        <v>23909.6363636364</v>
      </c>
      <c r="P86" s="68">
        <v>6968</v>
      </c>
      <c r="Q86" s="68">
        <v>46827</v>
      </c>
      <c r="R86" s="68">
        <v>98.262243285940002</v>
      </c>
      <c r="S86" s="68">
        <v>14024.4545454545</v>
      </c>
      <c r="T86" s="68">
        <v>1964</v>
      </c>
      <c r="U86" s="68">
        <v>22220</v>
      </c>
      <c r="V86" s="68"/>
      <c r="W86" s="68"/>
      <c r="X86" s="68"/>
      <c r="Y86" s="68">
        <v>95.110410094637203</v>
      </c>
      <c r="Z86" s="68">
        <v>98.588768279813095</v>
      </c>
      <c r="AA86" s="68">
        <v>2.2136363636363598</v>
      </c>
      <c r="AB86" s="68">
        <v>100</v>
      </c>
      <c r="AC86" s="68">
        <v>720</v>
      </c>
    </row>
    <row r="87" spans="1:29" x14ac:dyDescent="0.25">
      <c r="A87" s="70" t="s">
        <v>523</v>
      </c>
      <c r="B87" s="68">
        <v>95.509453781512605</v>
      </c>
      <c r="C87" s="68">
        <v>1.3013636363636401</v>
      </c>
      <c r="D87" s="68">
        <v>95.509453781512605</v>
      </c>
      <c r="E87" s="68">
        <v>1.3013636363636401</v>
      </c>
      <c r="F87" s="68">
        <v>97.035175879397002</v>
      </c>
      <c r="G87" s="68">
        <v>1.1611523213510999</v>
      </c>
      <c r="H87" s="68">
        <v>6553</v>
      </c>
      <c r="I87" s="68">
        <v>41281</v>
      </c>
      <c r="J87" s="68">
        <v>95.487179487179503</v>
      </c>
      <c r="K87" s="68">
        <v>0.85202624761256396</v>
      </c>
      <c r="L87" s="68">
        <v>2097</v>
      </c>
      <c r="M87" s="68">
        <v>15460</v>
      </c>
      <c r="N87" s="68">
        <v>98.6979166666667</v>
      </c>
      <c r="O87" s="68">
        <v>23909.6363636364</v>
      </c>
      <c r="P87" s="68">
        <v>6968</v>
      </c>
      <c r="Q87" s="68">
        <v>46827</v>
      </c>
      <c r="R87" s="68">
        <v>98.262243285940002</v>
      </c>
      <c r="S87" s="68">
        <v>14024.4545454545</v>
      </c>
      <c r="T87" s="68">
        <v>1964</v>
      </c>
      <c r="U87" s="68">
        <v>22220</v>
      </c>
      <c r="V87" s="68"/>
      <c r="W87" s="68"/>
      <c r="X87" s="68"/>
      <c r="Y87" s="68">
        <v>95.110410094637203</v>
      </c>
      <c r="Z87" s="68">
        <v>98.588768279813095</v>
      </c>
      <c r="AA87" s="68">
        <v>2.2136363636363598</v>
      </c>
      <c r="AB87" s="68">
        <v>100</v>
      </c>
      <c r="AC87" s="68">
        <v>720</v>
      </c>
    </row>
    <row r="88" spans="1:29" x14ac:dyDescent="0.25">
      <c r="A88" s="70" t="s">
        <v>90</v>
      </c>
      <c r="B88" s="68">
        <v>97.687084036098696</v>
      </c>
      <c r="C88" s="68">
        <v>2.5056161124352001</v>
      </c>
      <c r="D88" s="68">
        <v>97.687084036098696</v>
      </c>
      <c r="E88" s="68">
        <v>2.5056161124352001</v>
      </c>
      <c r="F88" s="68">
        <v>99.524993986990694</v>
      </c>
      <c r="G88" s="68">
        <v>1.56056672007158</v>
      </c>
      <c r="H88" s="68">
        <v>5809</v>
      </c>
      <c r="I88" s="68">
        <v>26840.5</v>
      </c>
      <c r="J88" s="68">
        <v>96.476445250521806</v>
      </c>
      <c r="K88" s="68">
        <v>1.5689439262734499</v>
      </c>
      <c r="L88" s="68">
        <v>2387</v>
      </c>
      <c r="M88" s="68">
        <v>7560.5</v>
      </c>
      <c r="N88" s="68">
        <v>99.167963707068594</v>
      </c>
      <c r="O88" s="68">
        <v>22158.1823041717</v>
      </c>
      <c r="P88" s="68">
        <v>6256</v>
      </c>
      <c r="Q88" s="68">
        <v>44437</v>
      </c>
      <c r="R88" s="68">
        <v>98.728920879442001</v>
      </c>
      <c r="S88" s="68">
        <v>9327.0970112688301</v>
      </c>
      <c r="T88" s="68">
        <v>2655.5</v>
      </c>
      <c r="U88" s="68">
        <v>18169</v>
      </c>
      <c r="V88" s="68">
        <v>99.099146398661702</v>
      </c>
      <c r="W88" s="68">
        <v>99.926047311424398</v>
      </c>
      <c r="X88" s="68">
        <v>2.17567151906663</v>
      </c>
      <c r="Y88" s="68">
        <v>97.582671005062707</v>
      </c>
      <c r="Z88" s="68">
        <v>96.189228708389393</v>
      </c>
      <c r="AA88" s="68">
        <v>2.9448465237780899</v>
      </c>
      <c r="AB88" s="68">
        <v>73.882285126356194</v>
      </c>
      <c r="AC88" s="68">
        <v>625.97651230966198</v>
      </c>
    </row>
    <row r="89" spans="1:29" x14ac:dyDescent="0.25">
      <c r="A89" s="70" t="s">
        <v>91</v>
      </c>
      <c r="B89" s="68">
        <v>96.030960881601203</v>
      </c>
      <c r="C89" s="68">
        <v>2.61774415585877</v>
      </c>
      <c r="D89" s="68">
        <v>96.030960881601203</v>
      </c>
      <c r="E89" s="68">
        <v>2.61774415585877</v>
      </c>
      <c r="F89" s="68">
        <v>99.143652672081799</v>
      </c>
      <c r="G89" s="68">
        <v>2.8646878271449898</v>
      </c>
      <c r="H89" s="68">
        <v>3748</v>
      </c>
      <c r="I89" s="68">
        <v>13473</v>
      </c>
      <c r="J89" s="68">
        <v>93.426476561478395</v>
      </c>
      <c r="K89" s="68">
        <v>3.5016108862612398</v>
      </c>
      <c r="L89" s="68">
        <v>967</v>
      </c>
      <c r="M89" s="68">
        <v>3635</v>
      </c>
      <c r="N89" s="68">
        <v>98.946988879290004</v>
      </c>
      <c r="O89" s="68">
        <v>10677.811813165499</v>
      </c>
      <c r="P89" s="68">
        <v>3965</v>
      </c>
      <c r="Q89" s="68">
        <v>18065</v>
      </c>
      <c r="R89" s="68">
        <v>98.364142275414807</v>
      </c>
      <c r="S89" s="68">
        <v>2580.7574541365698</v>
      </c>
      <c r="T89" s="68">
        <v>633</v>
      </c>
      <c r="U89" s="68">
        <v>4051</v>
      </c>
      <c r="V89" s="68">
        <v>99.487824379630894</v>
      </c>
      <c r="W89" s="68">
        <v>99.999087130815596</v>
      </c>
      <c r="X89" s="68">
        <v>1.98447757687618</v>
      </c>
      <c r="Y89" s="68">
        <v>96.885882772964493</v>
      </c>
      <c r="Z89" s="68">
        <v>95.964349971328005</v>
      </c>
      <c r="AA89" s="68">
        <v>3.0401847263391102</v>
      </c>
      <c r="AB89" s="68">
        <v>49.420962266513499</v>
      </c>
      <c r="AC89" s="68">
        <v>537.91546415944902</v>
      </c>
    </row>
    <row r="90" spans="1:29" x14ac:dyDescent="0.25">
      <c r="A90" s="70" t="s">
        <v>92</v>
      </c>
      <c r="B90" s="68">
        <v>99.343207190596203</v>
      </c>
      <c r="C90" s="68">
        <v>2.3934880690116298</v>
      </c>
      <c r="D90" s="68">
        <v>99.343207190596203</v>
      </c>
      <c r="E90" s="68">
        <v>2.3934880690116298</v>
      </c>
      <c r="F90" s="68">
        <v>99.906335301899603</v>
      </c>
      <c r="G90" s="68">
        <v>1.072377400111</v>
      </c>
      <c r="H90" s="68">
        <v>7870</v>
      </c>
      <c r="I90" s="68">
        <v>40208</v>
      </c>
      <c r="J90" s="68">
        <v>99.526413939565302</v>
      </c>
      <c r="K90" s="68">
        <v>1.0109588224246999</v>
      </c>
      <c r="L90" s="68">
        <v>3807</v>
      </c>
      <c r="M90" s="68">
        <v>11486</v>
      </c>
      <c r="N90" s="68">
        <v>99.388938534847298</v>
      </c>
      <c r="O90" s="68">
        <v>33638.5527951779</v>
      </c>
      <c r="P90" s="68">
        <v>8547</v>
      </c>
      <c r="Q90" s="68">
        <v>70809</v>
      </c>
      <c r="R90" s="68">
        <v>99.093699483469194</v>
      </c>
      <c r="S90" s="68">
        <v>16073.436568401101</v>
      </c>
      <c r="T90" s="68">
        <v>4678</v>
      </c>
      <c r="U90" s="68">
        <v>32287</v>
      </c>
      <c r="V90" s="68">
        <v>98.710468417692496</v>
      </c>
      <c r="W90" s="68">
        <v>99.8530074920332</v>
      </c>
      <c r="X90" s="68">
        <v>2.3668654612570701</v>
      </c>
      <c r="Y90" s="68">
        <v>98.279459237161007</v>
      </c>
      <c r="Z90" s="68">
        <v>96.414107445450696</v>
      </c>
      <c r="AA90" s="68">
        <v>2.8495083212170602</v>
      </c>
      <c r="AB90" s="68">
        <v>98.343607986198904</v>
      </c>
      <c r="AC90" s="68">
        <v>714.03756045987495</v>
      </c>
    </row>
    <row r="91" spans="1:29" x14ac:dyDescent="0.25">
      <c r="A91" s="70" t="s">
        <v>361</v>
      </c>
      <c r="B91" s="68">
        <v>95.509453781512605</v>
      </c>
      <c r="C91" s="68">
        <v>1.3013636363636401</v>
      </c>
      <c r="D91" s="68">
        <v>95.509453781512605</v>
      </c>
      <c r="E91" s="68">
        <v>1.3013636363636401</v>
      </c>
      <c r="F91" s="68">
        <v>97.035175879397002</v>
      </c>
      <c r="G91" s="68">
        <v>1.1611523213510999</v>
      </c>
      <c r="H91" s="68">
        <v>6553</v>
      </c>
      <c r="I91" s="68">
        <v>41281</v>
      </c>
      <c r="J91" s="68">
        <v>95.487179487179503</v>
      </c>
      <c r="K91" s="68">
        <v>0.85202624761256396</v>
      </c>
      <c r="L91" s="68">
        <v>2097</v>
      </c>
      <c r="M91" s="68">
        <v>15460</v>
      </c>
      <c r="N91" s="68">
        <v>98.6979166666667</v>
      </c>
      <c r="O91" s="68">
        <v>23909.6363636364</v>
      </c>
      <c r="P91" s="68">
        <v>6968</v>
      </c>
      <c r="Q91" s="68">
        <v>46827</v>
      </c>
      <c r="R91" s="68">
        <v>98.262243285940002</v>
      </c>
      <c r="S91" s="68">
        <v>14024.4545454545</v>
      </c>
      <c r="T91" s="68">
        <v>1964</v>
      </c>
      <c r="U91" s="68">
        <v>22220</v>
      </c>
      <c r="V91" s="68"/>
      <c r="W91" s="68"/>
      <c r="X91" s="68"/>
      <c r="Y91" s="68">
        <v>95.110410094637203</v>
      </c>
      <c r="Z91" s="68">
        <v>98.588768279813095</v>
      </c>
      <c r="AA91" s="68">
        <v>2.2136363636363598</v>
      </c>
      <c r="AB91" s="68">
        <v>100</v>
      </c>
      <c r="AC91" s="68">
        <v>720</v>
      </c>
    </row>
    <row r="92" spans="1:29" x14ac:dyDescent="0.25">
      <c r="A92" s="70" t="s">
        <v>524</v>
      </c>
      <c r="B92" s="68">
        <v>95.509453781512605</v>
      </c>
      <c r="C92" s="68">
        <v>1.3013636363636401</v>
      </c>
      <c r="D92" s="68">
        <v>95.509453781512605</v>
      </c>
      <c r="E92" s="68">
        <v>1.3013636363636401</v>
      </c>
      <c r="F92" s="68">
        <v>97.035175879397002</v>
      </c>
      <c r="G92" s="68">
        <v>1.1611523213510999</v>
      </c>
      <c r="H92" s="68">
        <v>6553</v>
      </c>
      <c r="I92" s="68">
        <v>41281</v>
      </c>
      <c r="J92" s="68">
        <v>95.487179487179503</v>
      </c>
      <c r="K92" s="68">
        <v>0.85202624761256396</v>
      </c>
      <c r="L92" s="68">
        <v>2097</v>
      </c>
      <c r="M92" s="68">
        <v>15460</v>
      </c>
      <c r="N92" s="68">
        <v>98.6979166666667</v>
      </c>
      <c r="O92" s="68">
        <v>23909.6363636364</v>
      </c>
      <c r="P92" s="68">
        <v>6968</v>
      </c>
      <c r="Q92" s="68">
        <v>46827</v>
      </c>
      <c r="R92" s="68">
        <v>98.262243285940002</v>
      </c>
      <c r="S92" s="68">
        <v>14024.4545454545</v>
      </c>
      <c r="T92" s="68">
        <v>1964</v>
      </c>
      <c r="U92" s="68">
        <v>22220</v>
      </c>
      <c r="V92" s="68"/>
      <c r="W92" s="68"/>
      <c r="X92" s="68"/>
      <c r="Y92" s="68">
        <v>95.110410094637203</v>
      </c>
      <c r="Z92" s="68">
        <v>98.588768279813095</v>
      </c>
      <c r="AA92" s="68">
        <v>2.2136363636363598</v>
      </c>
      <c r="AB92" s="68">
        <v>100</v>
      </c>
      <c r="AC92" s="68">
        <v>720</v>
      </c>
    </row>
    <row r="93" spans="1:29" x14ac:dyDescent="0.25">
      <c r="A93" s="70" t="s">
        <v>93</v>
      </c>
      <c r="B93" s="68">
        <v>96.845101102317599</v>
      </c>
      <c r="C93" s="68">
        <v>2.6742066879895501</v>
      </c>
      <c r="D93" s="68">
        <v>96.845101102317599</v>
      </c>
      <c r="E93" s="68">
        <v>2.6742066879895501</v>
      </c>
      <c r="F93" s="68">
        <v>99.502766266734497</v>
      </c>
      <c r="G93" s="68">
        <v>1.7780499815742199</v>
      </c>
      <c r="H93" s="68">
        <v>4427.5</v>
      </c>
      <c r="I93" s="68">
        <v>25179</v>
      </c>
      <c r="J93" s="68">
        <v>96.478561996363595</v>
      </c>
      <c r="K93" s="68">
        <v>1.6823826498338199</v>
      </c>
      <c r="L93" s="68">
        <v>1429</v>
      </c>
      <c r="M93" s="68">
        <v>7288</v>
      </c>
      <c r="N93" s="68">
        <v>99.205316584456796</v>
      </c>
      <c r="O93" s="68">
        <v>18388.9686743579</v>
      </c>
      <c r="P93" s="68">
        <v>5452.5</v>
      </c>
      <c r="Q93" s="68">
        <v>40223.5</v>
      </c>
      <c r="R93" s="68">
        <v>98.777502645323494</v>
      </c>
      <c r="S93" s="68">
        <v>8130.0086117976598</v>
      </c>
      <c r="T93" s="68">
        <v>1843</v>
      </c>
      <c r="U93" s="68">
        <v>13373.5</v>
      </c>
      <c r="V93" s="68">
        <v>99.236641221374001</v>
      </c>
      <c r="W93" s="68">
        <v>99.998333333333306</v>
      </c>
      <c r="X93" s="68">
        <v>2.4249999999999998</v>
      </c>
      <c r="Y93" s="68">
        <v>96.924364364434098</v>
      </c>
      <c r="Z93" s="68">
        <v>92.785292166338294</v>
      </c>
      <c r="AA93" s="68">
        <v>3.3467822788563901</v>
      </c>
      <c r="AB93" s="68">
        <v>73.372551193914703</v>
      </c>
      <c r="AC93" s="68">
        <v>624.14110221653095</v>
      </c>
    </row>
    <row r="94" spans="1:29" x14ac:dyDescent="0.25">
      <c r="A94" s="70" t="s">
        <v>94</v>
      </c>
      <c r="B94" s="68">
        <v>94.644969172421</v>
      </c>
      <c r="C94" s="68">
        <v>2.7938918971216702</v>
      </c>
      <c r="D94" s="68">
        <v>94.644969172421</v>
      </c>
      <c r="E94" s="68">
        <v>2.7938918971216702</v>
      </c>
      <c r="F94" s="68">
        <v>99.0417584697731</v>
      </c>
      <c r="G94" s="68">
        <v>2.9418037396237899</v>
      </c>
      <c r="H94" s="68">
        <v>2677</v>
      </c>
      <c r="I94" s="68">
        <v>13359</v>
      </c>
      <c r="J94" s="68">
        <v>93.310915614019393</v>
      </c>
      <c r="K94" s="68">
        <v>3.6261497980228898</v>
      </c>
      <c r="L94" s="68">
        <v>812</v>
      </c>
      <c r="M94" s="68">
        <v>3623</v>
      </c>
      <c r="N94" s="68">
        <v>98.776755731034001</v>
      </c>
      <c r="O94" s="68">
        <v>10317.3157092744</v>
      </c>
      <c r="P94" s="68">
        <v>3240</v>
      </c>
      <c r="Q94" s="68">
        <v>17531</v>
      </c>
      <c r="R94" s="68">
        <v>98.176350757703304</v>
      </c>
      <c r="S94" s="68">
        <v>2550.73843826955</v>
      </c>
      <c r="T94" s="68">
        <v>586</v>
      </c>
      <c r="U94" s="68">
        <v>4364</v>
      </c>
      <c r="V94" s="68">
        <v>100</v>
      </c>
      <c r="W94" s="68">
        <v>100</v>
      </c>
      <c r="X94" s="68">
        <v>2.2799999999999998</v>
      </c>
      <c r="Y94" s="68">
        <v>96.201874580112104</v>
      </c>
      <c r="Z94" s="68">
        <v>92.301120936580503</v>
      </c>
      <c r="AA94" s="68">
        <v>3.5823331338014599</v>
      </c>
      <c r="AB94" s="68">
        <v>47.521998809726199</v>
      </c>
      <c r="AC94" s="68">
        <v>531.07919571501395</v>
      </c>
    </row>
    <row r="95" spans="1:29" x14ac:dyDescent="0.25">
      <c r="A95" s="70" t="s">
        <v>95</v>
      </c>
      <c r="B95" s="68">
        <v>99.045233032214298</v>
      </c>
      <c r="C95" s="68">
        <v>2.55452147885743</v>
      </c>
      <c r="D95" s="68">
        <v>99.045233032214298</v>
      </c>
      <c r="E95" s="68">
        <v>2.55452147885743</v>
      </c>
      <c r="F95" s="68">
        <v>99.963774063695993</v>
      </c>
      <c r="G95" s="68">
        <v>1.2740472123450399</v>
      </c>
      <c r="H95" s="68">
        <v>6178</v>
      </c>
      <c r="I95" s="68">
        <v>36999</v>
      </c>
      <c r="J95" s="68">
        <v>99.646208378707797</v>
      </c>
      <c r="K95" s="68">
        <v>1.0952715390201799</v>
      </c>
      <c r="L95" s="68">
        <v>2046</v>
      </c>
      <c r="M95" s="68">
        <v>10953</v>
      </c>
      <c r="N95" s="68">
        <v>99.633877437879605</v>
      </c>
      <c r="O95" s="68">
        <v>26460.621639441299</v>
      </c>
      <c r="P95" s="68">
        <v>7665</v>
      </c>
      <c r="Q95" s="68">
        <v>62916</v>
      </c>
      <c r="R95" s="68">
        <v>99.3786545329436</v>
      </c>
      <c r="S95" s="68">
        <v>13709.2787853258</v>
      </c>
      <c r="T95" s="68">
        <v>3100</v>
      </c>
      <c r="U95" s="68">
        <v>22383</v>
      </c>
      <c r="V95" s="68">
        <v>98.473282442748101</v>
      </c>
      <c r="W95" s="68">
        <v>99.996666666666698</v>
      </c>
      <c r="X95" s="68">
        <v>2.57</v>
      </c>
      <c r="Y95" s="68">
        <v>97.646854148756105</v>
      </c>
      <c r="Z95" s="68">
        <v>93.2694633960961</v>
      </c>
      <c r="AA95" s="68">
        <v>3.1112314239113301</v>
      </c>
      <c r="AB95" s="68">
        <v>99.223103578103107</v>
      </c>
      <c r="AC95" s="68">
        <v>717.20300871804704</v>
      </c>
    </row>
    <row r="96" spans="1:29" x14ac:dyDescent="0.25">
      <c r="A96" s="287" t="s">
        <v>96</v>
      </c>
      <c r="B96" s="288">
        <v>96.014629839828487</v>
      </c>
      <c r="C96" s="288">
        <v>3.0053042759846513</v>
      </c>
      <c r="D96" s="288">
        <v>96.014629839828487</v>
      </c>
      <c r="E96" s="288">
        <v>3.0053042759846513</v>
      </c>
      <c r="F96" s="288">
        <v>98.562783661119511</v>
      </c>
      <c r="G96" s="288">
        <v>1.5050577323056218</v>
      </c>
      <c r="H96" s="288">
        <v>3956.4777327935226</v>
      </c>
      <c r="I96" s="288">
        <v>33363.793103448283</v>
      </c>
      <c r="J96" s="288">
        <v>97.069226882263777</v>
      </c>
      <c r="K96" s="288">
        <v>1.5007674183438682</v>
      </c>
      <c r="L96" s="288">
        <v>1032.2407307898977</v>
      </c>
      <c r="M96" s="288">
        <v>11492.619926199262</v>
      </c>
      <c r="N96" s="288">
        <v>98.462314091252836</v>
      </c>
      <c r="O96" s="288">
        <v>20238.521124537478</v>
      </c>
      <c r="P96" s="288">
        <v>4438.6363636363631</v>
      </c>
      <c r="Q96" s="288">
        <v>43959.183673469401</v>
      </c>
      <c r="R96" s="288">
        <v>97.406847935548839</v>
      </c>
      <c r="S96" s="288">
        <v>9953.9060652447424</v>
      </c>
      <c r="T96" s="288">
        <v>1203.0472636815921</v>
      </c>
      <c r="U96" s="288">
        <v>23029.816513761467</v>
      </c>
      <c r="V96" s="288">
        <v>96.577180965809461</v>
      </c>
      <c r="W96" s="288">
        <v>98.746509729432091</v>
      </c>
      <c r="X96" s="288">
        <v>1.2286604111245387</v>
      </c>
      <c r="Y96" s="288">
        <v>96.577180965809461</v>
      </c>
      <c r="Z96" s="288">
        <v>98.746509729432091</v>
      </c>
      <c r="AA96" s="288">
        <v>1.2286604111245387</v>
      </c>
      <c r="AB96" s="288">
        <v>0.49813200498132004</v>
      </c>
      <c r="AC96" s="288">
        <v>571.85714285714289</v>
      </c>
    </row>
    <row r="97" spans="1:29" x14ac:dyDescent="0.25">
      <c r="A97" s="287" t="s">
        <v>525</v>
      </c>
      <c r="B97" s="288">
        <v>96.014629839828487</v>
      </c>
      <c r="C97" s="288">
        <v>3.0053042759846513</v>
      </c>
      <c r="D97" s="288">
        <v>96.014629839828487</v>
      </c>
      <c r="E97" s="288">
        <v>3.0053042759846513</v>
      </c>
      <c r="F97" s="288">
        <v>98.562783661119511</v>
      </c>
      <c r="G97" s="288">
        <v>1.5050577323056218</v>
      </c>
      <c r="H97" s="288">
        <v>3956.4777327935226</v>
      </c>
      <c r="I97" s="288">
        <v>33363.793103448283</v>
      </c>
      <c r="J97" s="288">
        <v>97.069226882263777</v>
      </c>
      <c r="K97" s="288">
        <v>1.5007674183438682</v>
      </c>
      <c r="L97" s="288">
        <v>1032.2407307898977</v>
      </c>
      <c r="M97" s="288">
        <v>11492.619926199262</v>
      </c>
      <c r="N97" s="288">
        <v>98.462314091252836</v>
      </c>
      <c r="O97" s="288">
        <v>20238.521124537478</v>
      </c>
      <c r="P97" s="288">
        <v>4438.6363636363631</v>
      </c>
      <c r="Q97" s="288">
        <v>43959.183673469401</v>
      </c>
      <c r="R97" s="288">
        <v>97.406847935548839</v>
      </c>
      <c r="S97" s="288">
        <v>9953.9060652447424</v>
      </c>
      <c r="T97" s="288">
        <v>1203.0472636815921</v>
      </c>
      <c r="U97" s="288">
        <v>23029.816513761467</v>
      </c>
      <c r="V97" s="288">
        <v>96.577180965809461</v>
      </c>
      <c r="W97" s="288">
        <v>98.746509729432091</v>
      </c>
      <c r="X97" s="288">
        <v>1.2286604111245387</v>
      </c>
      <c r="Y97" s="288">
        <v>96.577180965809461</v>
      </c>
      <c r="Z97" s="288">
        <v>98.746509729432091</v>
      </c>
      <c r="AA97" s="288">
        <v>1.2286604111245387</v>
      </c>
      <c r="AB97" s="288">
        <v>0.49813200498132004</v>
      </c>
      <c r="AC97" s="288">
        <v>571.85714285714289</v>
      </c>
    </row>
    <row r="98" spans="1:29" x14ac:dyDescent="0.25">
      <c r="A98" s="287" t="s">
        <v>438</v>
      </c>
      <c r="B98" s="288">
        <v>97.715801299392893</v>
      </c>
      <c r="C98" s="288">
        <v>3.1833242692321582</v>
      </c>
      <c r="D98" s="288">
        <v>97.715801299392893</v>
      </c>
      <c r="E98" s="288">
        <v>3.1833242692321582</v>
      </c>
      <c r="F98" s="288">
        <v>99.631116447421306</v>
      </c>
      <c r="G98" s="288">
        <v>1.8532961472845482</v>
      </c>
      <c r="H98" s="288">
        <v>7577.8080290412136</v>
      </c>
      <c r="I98" s="288">
        <v>27750.334648443008</v>
      </c>
      <c r="J98" s="288">
        <v>97.971212877335773</v>
      </c>
      <c r="K98" s="288">
        <v>2.27395540789884</v>
      </c>
      <c r="L98" s="288">
        <v>2122.5745021763719</v>
      </c>
      <c r="M98" s="288">
        <v>8667.7966035667832</v>
      </c>
      <c r="N98" s="288">
        <v>99.439014579385741</v>
      </c>
      <c r="O98" s="288">
        <v>23406.026671222055</v>
      </c>
      <c r="P98" s="288">
        <v>8584.6197995221628</v>
      </c>
      <c r="Q98" s="288">
        <v>43645.911703239282</v>
      </c>
      <c r="R98" s="288">
        <v>99.198210503120293</v>
      </c>
      <c r="S98" s="288">
        <v>11312.409486974961</v>
      </c>
      <c r="T98" s="288">
        <v>3668.6688621611306</v>
      </c>
      <c r="U98" s="288">
        <v>19776.536500512047</v>
      </c>
      <c r="V98" s="288">
        <v>98.889451605426615</v>
      </c>
      <c r="W98" s="288">
        <v>99.493125121073092</v>
      </c>
      <c r="X98" s="288">
        <v>1.1320470685520305</v>
      </c>
      <c r="Y98" s="288">
        <v>98.889451605426615</v>
      </c>
      <c r="Z98" s="288">
        <v>99.493125121073092</v>
      </c>
      <c r="AA98" s="288">
        <v>1.1320470685520305</v>
      </c>
      <c r="AB98" s="288"/>
      <c r="AC98" s="288">
        <v>546.63391165502355</v>
      </c>
    </row>
    <row r="99" spans="1:29" x14ac:dyDescent="0.25">
      <c r="A99" s="287" t="s">
        <v>439</v>
      </c>
      <c r="B99" s="288">
        <v>95.816946871277352</v>
      </c>
      <c r="C99" s="288">
        <v>3.9666826514606406</v>
      </c>
      <c r="D99" s="288">
        <v>95.816946871277352</v>
      </c>
      <c r="E99" s="288">
        <v>3.9666826514606406</v>
      </c>
      <c r="F99" s="288">
        <v>99.377036427312191</v>
      </c>
      <c r="G99" s="288">
        <v>2.7557042606496642</v>
      </c>
      <c r="H99" s="288">
        <v>3964.2857142857142</v>
      </c>
      <c r="I99" s="288">
        <v>13835.106382978727</v>
      </c>
      <c r="J99" s="288">
        <v>96.334481854704435</v>
      </c>
      <c r="K99" s="288">
        <v>3.6280952709739851</v>
      </c>
      <c r="L99" s="288">
        <v>865.26073619631904</v>
      </c>
      <c r="M99" s="288">
        <v>3457.5254237288132</v>
      </c>
      <c r="N99" s="288">
        <v>99.095765466345085</v>
      </c>
      <c r="O99" s="288">
        <v>10493.106580683934</v>
      </c>
      <c r="P99" s="288">
        <v>4287.0503597122306</v>
      </c>
      <c r="Q99" s="288">
        <v>17888.793103448275</v>
      </c>
      <c r="R99" s="288">
        <v>98.733215604640193</v>
      </c>
      <c r="S99" s="288">
        <v>2693.1830969164321</v>
      </c>
      <c r="T99" s="288">
        <v>821.13402061855675</v>
      </c>
      <c r="U99" s="288">
        <v>4254.7536732929993</v>
      </c>
      <c r="V99" s="288">
        <v>98.028914604871048</v>
      </c>
      <c r="W99" s="288">
        <v>99.281860775344953</v>
      </c>
      <c r="X99" s="288">
        <v>1.2374532119861843</v>
      </c>
      <c r="Y99" s="288">
        <v>98.028914604871048</v>
      </c>
      <c r="Z99" s="288">
        <v>99.281860775344953</v>
      </c>
      <c r="AA99" s="288">
        <v>1.2374532119861843</v>
      </c>
      <c r="AB99" s="288"/>
      <c r="AC99" s="288">
        <v>460.34407909271221</v>
      </c>
    </row>
    <row r="100" spans="1:29" x14ac:dyDescent="0.25">
      <c r="A100" s="287" t="s">
        <v>440</v>
      </c>
      <c r="B100" s="288">
        <v>99.614655727508449</v>
      </c>
      <c r="C100" s="288">
        <v>2.3999658870036753</v>
      </c>
      <c r="D100" s="288">
        <v>99.614655727508449</v>
      </c>
      <c r="E100" s="288">
        <v>2.3999658870036753</v>
      </c>
      <c r="F100" s="288">
        <v>99.885196467530406</v>
      </c>
      <c r="G100" s="288">
        <v>0.95088803391943211</v>
      </c>
      <c r="H100" s="288">
        <v>11191.330343796713</v>
      </c>
      <c r="I100" s="288">
        <v>41665.562913907292</v>
      </c>
      <c r="J100" s="288">
        <v>99.607943899967125</v>
      </c>
      <c r="K100" s="288">
        <v>0.91981554482369476</v>
      </c>
      <c r="L100" s="288">
        <v>3379.8882681564246</v>
      </c>
      <c r="M100" s="288">
        <v>13878.067783404753</v>
      </c>
      <c r="N100" s="288">
        <v>99.782263692426383</v>
      </c>
      <c r="O100" s="288">
        <v>36318.946761760177</v>
      </c>
      <c r="P100" s="288">
        <v>12882.189239332096</v>
      </c>
      <c r="Q100" s="288">
        <v>69403.030303030289</v>
      </c>
      <c r="R100" s="288">
        <v>99.663205401600408</v>
      </c>
      <c r="S100" s="288">
        <v>19931.635877033488</v>
      </c>
      <c r="T100" s="288">
        <v>6516.2037037037044</v>
      </c>
      <c r="U100" s="288">
        <v>35298.319327731093</v>
      </c>
      <c r="V100" s="288">
        <v>99.749988605982182</v>
      </c>
      <c r="W100" s="288">
        <v>99.704389466801217</v>
      </c>
      <c r="X100" s="288">
        <v>1.0266409251178767</v>
      </c>
      <c r="Y100" s="288">
        <v>99.749988605982182</v>
      </c>
      <c r="Z100" s="288">
        <v>99.704389466801217</v>
      </c>
      <c r="AA100" s="288">
        <v>1.0266409251178767</v>
      </c>
      <c r="AB100" s="288"/>
      <c r="AC100" s="288">
        <v>632.92374421733484</v>
      </c>
    </row>
    <row r="101" spans="1:29" x14ac:dyDescent="0.25">
      <c r="A101" s="287" t="s">
        <v>362</v>
      </c>
      <c r="B101" s="288">
        <v>96.014629839828487</v>
      </c>
      <c r="C101" s="288">
        <v>3.0053042759846513</v>
      </c>
      <c r="D101" s="288">
        <v>96.014629839828487</v>
      </c>
      <c r="E101" s="288">
        <v>3.0053042759846513</v>
      </c>
      <c r="F101" s="288">
        <v>98.562783661119511</v>
      </c>
      <c r="G101" s="288">
        <v>1.5050577323056218</v>
      </c>
      <c r="H101" s="288">
        <v>3956.4777327935226</v>
      </c>
      <c r="I101" s="288">
        <v>33363.793103448283</v>
      </c>
      <c r="J101" s="288">
        <v>97.069226882263777</v>
      </c>
      <c r="K101" s="288">
        <v>1.5007674183438682</v>
      </c>
      <c r="L101" s="288">
        <v>1032.2407307898977</v>
      </c>
      <c r="M101" s="288">
        <v>11492.619926199262</v>
      </c>
      <c r="N101" s="288">
        <v>98.462314091252836</v>
      </c>
      <c r="O101" s="288">
        <v>20238.521124537478</v>
      </c>
      <c r="P101" s="288">
        <v>4438.6363636363631</v>
      </c>
      <c r="Q101" s="288">
        <v>43959.183673469401</v>
      </c>
      <c r="R101" s="288">
        <v>97.406847935548839</v>
      </c>
      <c r="S101" s="288">
        <v>9953.9060652447424</v>
      </c>
      <c r="T101" s="288">
        <v>1203.0472636815921</v>
      </c>
      <c r="U101" s="288">
        <v>23029.816513761467</v>
      </c>
      <c r="V101" s="288">
        <v>96.577180965809461</v>
      </c>
      <c r="W101" s="288">
        <v>98.746509729432091</v>
      </c>
      <c r="X101" s="288">
        <v>1.2286604111245387</v>
      </c>
      <c r="Y101" s="288">
        <v>96.577180965809461</v>
      </c>
      <c r="Z101" s="288">
        <v>98.746509729432091</v>
      </c>
      <c r="AA101" s="288">
        <v>1.2286604111245387</v>
      </c>
      <c r="AB101" s="288">
        <v>0.49813200498132004</v>
      </c>
      <c r="AC101" s="288">
        <v>571.85714285714289</v>
      </c>
    </row>
    <row r="102" spans="1:29" x14ac:dyDescent="0.25">
      <c r="A102" s="287" t="s">
        <v>526</v>
      </c>
      <c r="B102" s="288">
        <v>96.014629839828487</v>
      </c>
      <c r="C102" s="288">
        <v>3.0053042759846513</v>
      </c>
      <c r="D102" s="288">
        <v>96.014629839828487</v>
      </c>
      <c r="E102" s="288">
        <v>3.0053042759846513</v>
      </c>
      <c r="F102" s="288">
        <v>98.562783661119511</v>
      </c>
      <c r="G102" s="288">
        <v>1.5050577323056218</v>
      </c>
      <c r="H102" s="288">
        <v>3956.4777327935226</v>
      </c>
      <c r="I102" s="288">
        <v>33363.793103448283</v>
      </c>
      <c r="J102" s="288">
        <v>97.069226882263777</v>
      </c>
      <c r="K102" s="288">
        <v>1.5007674183438682</v>
      </c>
      <c r="L102" s="288">
        <v>1032.2407307898977</v>
      </c>
      <c r="M102" s="288">
        <v>11492.619926199262</v>
      </c>
      <c r="N102" s="288">
        <v>98.462314091252836</v>
      </c>
      <c r="O102" s="288">
        <v>20238.521124537478</v>
      </c>
      <c r="P102" s="288">
        <v>4438.6363636363631</v>
      </c>
      <c r="Q102" s="288">
        <v>43959.183673469401</v>
      </c>
      <c r="R102" s="288">
        <v>97.406847935548839</v>
      </c>
      <c r="S102" s="288">
        <v>9953.9060652447424</v>
      </c>
      <c r="T102" s="288">
        <v>1203.0472636815921</v>
      </c>
      <c r="U102" s="288">
        <v>23029.816513761467</v>
      </c>
      <c r="V102" s="288">
        <v>96.577180965809461</v>
      </c>
      <c r="W102" s="288">
        <v>98.746509729432091</v>
      </c>
      <c r="X102" s="288">
        <v>1.2286604111245387</v>
      </c>
      <c r="Y102" s="288">
        <v>96.577180965809461</v>
      </c>
      <c r="Z102" s="288">
        <v>98.746509729432091</v>
      </c>
      <c r="AA102" s="288">
        <v>1.2286604111245387</v>
      </c>
      <c r="AB102" s="288">
        <v>0.49813200498132004</v>
      </c>
      <c r="AC102" s="288">
        <v>571.85714285714289</v>
      </c>
    </row>
    <row r="103" spans="1:29" x14ac:dyDescent="0.25">
      <c r="A103" s="287" t="s">
        <v>97</v>
      </c>
      <c r="B103" s="288">
        <v>98.139151386144391</v>
      </c>
      <c r="C103" s="288">
        <v>3.1208876716504736</v>
      </c>
      <c r="D103" s="288">
        <v>98.139151386144391</v>
      </c>
      <c r="E103" s="288">
        <v>3.1208876716504736</v>
      </c>
      <c r="F103" s="288">
        <v>99.757965374387553</v>
      </c>
      <c r="G103" s="288">
        <v>1.7333161923866822</v>
      </c>
      <c r="H103" s="288">
        <v>8909.1065934065919</v>
      </c>
      <c r="I103" s="288">
        <v>27441.480315407323</v>
      </c>
      <c r="J103" s="288">
        <v>98.275915563523625</v>
      </c>
      <c r="K103" s="288">
        <v>2.2733155156118006</v>
      </c>
      <c r="L103" s="288">
        <v>2633.9204379562048</v>
      </c>
      <c r="M103" s="288">
        <v>8336.600916037045</v>
      </c>
      <c r="N103" s="288">
        <v>99.69311843475586</v>
      </c>
      <c r="O103" s="288">
        <v>26867.201287275246</v>
      </c>
      <c r="P103" s="288">
        <v>10885.656130268197</v>
      </c>
      <c r="Q103" s="288">
        <v>45600.418100418094</v>
      </c>
      <c r="R103" s="288">
        <v>99.436533998061805</v>
      </c>
      <c r="S103" s="288">
        <v>13378.490792931276</v>
      </c>
      <c r="T103" s="288">
        <v>4173.2882939369238</v>
      </c>
      <c r="U103" s="288">
        <v>21002.371850275907</v>
      </c>
      <c r="V103" s="288">
        <v>98.986761674823612</v>
      </c>
      <c r="W103" s="288">
        <v>99.718770159120808</v>
      </c>
      <c r="X103" s="288">
        <v>1.1854200876343786</v>
      </c>
      <c r="Y103" s="288">
        <v>98.986761674823612</v>
      </c>
      <c r="Z103" s="288">
        <v>99.718770159120808</v>
      </c>
      <c r="AA103" s="288">
        <v>1.1854200876343786</v>
      </c>
      <c r="AB103" s="288"/>
      <c r="AC103" s="288">
        <v>561.60848629234806</v>
      </c>
    </row>
    <row r="104" spans="1:29" x14ac:dyDescent="0.25">
      <c r="A104" s="287" t="s">
        <v>98</v>
      </c>
      <c r="B104" s="288">
        <v>96.597055237623024</v>
      </c>
      <c r="C104" s="288">
        <v>3.8022564140151465</v>
      </c>
      <c r="D104" s="288">
        <v>96.597055237623024</v>
      </c>
      <c r="E104" s="288">
        <v>3.8022564140151465</v>
      </c>
      <c r="F104" s="288">
        <v>99.615219529952583</v>
      </c>
      <c r="G104" s="288">
        <v>2.5743647734882544</v>
      </c>
      <c r="H104" s="288">
        <v>4506.3999999999987</v>
      </c>
      <c r="I104" s="288">
        <v>13890.973451327432</v>
      </c>
      <c r="J104" s="288">
        <v>96.892824434603114</v>
      </c>
      <c r="K104" s="288">
        <v>3.5476989149065346</v>
      </c>
      <c r="L104" s="288">
        <v>866.24087591240834</v>
      </c>
      <c r="M104" s="288">
        <v>3462.6066718386337</v>
      </c>
      <c r="N104" s="288">
        <v>99.592542072705939</v>
      </c>
      <c r="O104" s="288">
        <v>11503.321349438764</v>
      </c>
      <c r="P104" s="288">
        <v>4806.0344827586223</v>
      </c>
      <c r="Q104" s="288">
        <v>18375.661375661377</v>
      </c>
      <c r="R104" s="288">
        <v>98.992136039595024</v>
      </c>
      <c r="S104" s="288">
        <v>2812.0497915446886</v>
      </c>
      <c r="T104" s="288">
        <v>883.1619537275069</v>
      </c>
      <c r="U104" s="288">
        <v>4294.6845289541925</v>
      </c>
      <c r="V104" s="288">
        <v>98.512901175464137</v>
      </c>
      <c r="W104" s="288">
        <v>99.611139897204609</v>
      </c>
      <c r="X104" s="288">
        <v>1.277135881419476</v>
      </c>
      <c r="Y104" s="288">
        <v>98.512901175464137</v>
      </c>
      <c r="Z104" s="288">
        <v>99.611139897204609</v>
      </c>
      <c r="AA104" s="288">
        <v>1.277135881419476</v>
      </c>
      <c r="AB104" s="288"/>
      <c r="AC104" s="288">
        <v>468.87788675177035</v>
      </c>
    </row>
    <row r="105" spans="1:29" x14ac:dyDescent="0.25">
      <c r="A105" s="287" t="s">
        <v>99</v>
      </c>
      <c r="B105" s="288">
        <v>99.681247534665758</v>
      </c>
      <c r="C105" s="288">
        <v>2.4395189292858013</v>
      </c>
      <c r="D105" s="288">
        <v>99.681247534665758</v>
      </c>
      <c r="E105" s="288">
        <v>2.4395189292858013</v>
      </c>
      <c r="F105" s="288">
        <v>99.900711218822522</v>
      </c>
      <c r="G105" s="288">
        <v>0.89226761128511012</v>
      </c>
      <c r="H105" s="288">
        <v>13311.813186813184</v>
      </c>
      <c r="I105" s="288">
        <v>40991.987179487216</v>
      </c>
      <c r="J105" s="288">
        <v>99.659006692444123</v>
      </c>
      <c r="K105" s="288">
        <v>0.99893211631706658</v>
      </c>
      <c r="L105" s="288">
        <v>4401.6000000000013</v>
      </c>
      <c r="M105" s="288">
        <v>13210.595160235454</v>
      </c>
      <c r="N105" s="288">
        <v>99.793694796805767</v>
      </c>
      <c r="O105" s="288">
        <v>42231.081225111731</v>
      </c>
      <c r="P105" s="288">
        <v>16965.27777777777</v>
      </c>
      <c r="Q105" s="288">
        <v>72825.174825174807</v>
      </c>
      <c r="R105" s="288">
        <v>99.880931956528599</v>
      </c>
      <c r="S105" s="288">
        <v>23944.931794317865</v>
      </c>
      <c r="T105" s="288">
        <v>7463.4146341463411</v>
      </c>
      <c r="U105" s="288">
        <v>37710.059171597619</v>
      </c>
      <c r="V105" s="288">
        <v>99.460622174183072</v>
      </c>
      <c r="W105" s="288">
        <v>99.826400421037008</v>
      </c>
      <c r="X105" s="288">
        <v>1.0937042938492814</v>
      </c>
      <c r="Y105" s="288">
        <v>99.460622174183072</v>
      </c>
      <c r="Z105" s="288">
        <v>99.826400421037008</v>
      </c>
      <c r="AA105" s="288">
        <v>1.0937042938492814</v>
      </c>
      <c r="AB105" s="288"/>
      <c r="AC105" s="288">
        <v>654.33908583292566</v>
      </c>
    </row>
    <row r="106" spans="1:29" x14ac:dyDescent="0.25">
      <c r="A106" s="287" t="s">
        <v>100</v>
      </c>
      <c r="B106" s="288">
        <v>95.043443917851505</v>
      </c>
      <c r="C106" s="288">
        <v>3.2425417719570677</v>
      </c>
      <c r="D106" s="288">
        <v>95.043443917851505</v>
      </c>
      <c r="E106" s="288">
        <v>3.2425417719570677</v>
      </c>
      <c r="F106" s="288">
        <v>98.419805109296803</v>
      </c>
      <c r="G106" s="288">
        <v>2.9137473808448711</v>
      </c>
      <c r="H106" s="288">
        <v>1889.2821031344795</v>
      </c>
      <c r="I106" s="288">
        <v>14550.350262697026</v>
      </c>
      <c r="J106" s="288">
        <v>94.097496706192359</v>
      </c>
      <c r="K106" s="288">
        <v>1.906223274088916</v>
      </c>
      <c r="L106" s="288">
        <v>820.91954022988489</v>
      </c>
      <c r="M106" s="288">
        <v>8896.8492123030755</v>
      </c>
      <c r="N106" s="288">
        <v>97.555205047318623</v>
      </c>
      <c r="O106" s="288">
        <v>17422.856053990999</v>
      </c>
      <c r="P106" s="288">
        <v>2885.6920684292381</v>
      </c>
      <c r="Q106" s="288">
        <v>39996.296296296299</v>
      </c>
      <c r="R106" s="288">
        <v>96.08512874408828</v>
      </c>
      <c r="S106" s="288">
        <v>9032.4652627282649</v>
      </c>
      <c r="T106" s="288">
        <v>978.85438972162763</v>
      </c>
      <c r="U106" s="288">
        <v>22696.363636363643</v>
      </c>
      <c r="V106" s="288">
        <v>97.911142085213967</v>
      </c>
      <c r="W106" s="288">
        <v>97.419288949259169</v>
      </c>
      <c r="X106" s="288">
        <v>1.311065706741126</v>
      </c>
      <c r="Y106" s="288">
        <v>97.911142085213967</v>
      </c>
      <c r="Z106" s="288">
        <v>97.419288949259169</v>
      </c>
      <c r="AA106" s="288">
        <v>1.311065706741126</v>
      </c>
      <c r="AB106" s="288">
        <v>0.44585987261146498</v>
      </c>
      <c r="AC106" s="288">
        <v>547.85714285714289</v>
      </c>
    </row>
    <row r="107" spans="1:29" x14ac:dyDescent="0.25">
      <c r="A107" s="287" t="s">
        <v>527</v>
      </c>
      <c r="B107" s="288">
        <v>95.043443917851505</v>
      </c>
      <c r="C107" s="288">
        <v>3.2425417719570677</v>
      </c>
      <c r="D107" s="288">
        <v>95.043443917851505</v>
      </c>
      <c r="E107" s="288">
        <v>3.2425417719570677</v>
      </c>
      <c r="F107" s="288">
        <v>98.419805109296803</v>
      </c>
      <c r="G107" s="288">
        <v>2.9137473808448711</v>
      </c>
      <c r="H107" s="288">
        <v>1889.2821031344795</v>
      </c>
      <c r="I107" s="288">
        <v>14550.350262697026</v>
      </c>
      <c r="J107" s="288">
        <v>94.097496706192359</v>
      </c>
      <c r="K107" s="288">
        <v>1.906223274088916</v>
      </c>
      <c r="L107" s="288">
        <v>820.91954022988489</v>
      </c>
      <c r="M107" s="288">
        <v>8896.8492123030755</v>
      </c>
      <c r="N107" s="288">
        <v>97.555205047318623</v>
      </c>
      <c r="O107" s="288">
        <v>17422.856053990999</v>
      </c>
      <c r="P107" s="288">
        <v>2885.6920684292381</v>
      </c>
      <c r="Q107" s="288">
        <v>39996.296296296299</v>
      </c>
      <c r="R107" s="288">
        <v>96.08512874408828</v>
      </c>
      <c r="S107" s="288">
        <v>9032.4652627282649</v>
      </c>
      <c r="T107" s="288">
        <v>978.85438972162763</v>
      </c>
      <c r="U107" s="288">
        <v>22696.363636363643</v>
      </c>
      <c r="V107" s="288">
        <v>97.911142085213967</v>
      </c>
      <c r="W107" s="288">
        <v>97.419288949259169</v>
      </c>
      <c r="X107" s="288">
        <v>1.311065706741126</v>
      </c>
      <c r="Y107" s="288">
        <v>97.911142085213967</v>
      </c>
      <c r="Z107" s="288">
        <v>97.419288949259169</v>
      </c>
      <c r="AA107" s="288">
        <v>1.311065706741126</v>
      </c>
      <c r="AB107" s="288">
        <v>0.44585987261146498</v>
      </c>
      <c r="AC107" s="288">
        <v>547.85714285714289</v>
      </c>
    </row>
    <row r="108" spans="1:29" x14ac:dyDescent="0.25">
      <c r="A108" s="287" t="s">
        <v>441</v>
      </c>
      <c r="B108" s="288">
        <v>97.090986126428234</v>
      </c>
      <c r="C108" s="288">
        <v>3.6243215058305092</v>
      </c>
      <c r="D108" s="288">
        <v>97.090986126428234</v>
      </c>
      <c r="E108" s="288">
        <v>3.6243215058305092</v>
      </c>
      <c r="F108" s="288">
        <v>99.508567284514598</v>
      </c>
      <c r="G108" s="288">
        <v>3.1043824734778545</v>
      </c>
      <c r="H108" s="288">
        <v>4688.7390225276813</v>
      </c>
      <c r="I108" s="288">
        <v>13468.745137973508</v>
      </c>
      <c r="J108" s="288">
        <v>96.523881413863933</v>
      </c>
      <c r="K108" s="288">
        <v>2.6397243404084181</v>
      </c>
      <c r="L108" s="288">
        <v>1375.740793994566</v>
      </c>
      <c r="M108" s="288">
        <v>6660.1911197368117</v>
      </c>
      <c r="N108" s="288">
        <v>99.304901144941141</v>
      </c>
      <c r="O108" s="288">
        <v>22457.905149557959</v>
      </c>
      <c r="P108" s="288">
        <v>7254.9625906008887</v>
      </c>
      <c r="Q108" s="288">
        <v>41024.606501283153</v>
      </c>
      <c r="R108" s="288">
        <v>98.873310762816928</v>
      </c>
      <c r="S108" s="288">
        <v>10203.557070447119</v>
      </c>
      <c r="T108" s="288">
        <v>2097.3307920870434</v>
      </c>
      <c r="U108" s="288">
        <v>19582.163643873682</v>
      </c>
      <c r="V108" s="288">
        <v>98.491794069529377</v>
      </c>
      <c r="W108" s="288">
        <v>99.145436198397192</v>
      </c>
      <c r="X108" s="288">
        <v>1.1650847908486797</v>
      </c>
      <c r="Y108" s="288">
        <v>98.491794069529377</v>
      </c>
      <c r="Z108" s="288">
        <v>99.145436198397192</v>
      </c>
      <c r="AA108" s="288">
        <v>1.1650847908486797</v>
      </c>
      <c r="AB108" s="288"/>
      <c r="AC108" s="288">
        <v>546.38856163260016</v>
      </c>
    </row>
    <row r="109" spans="1:29" x14ac:dyDescent="0.25">
      <c r="A109" s="287" t="s">
        <v>442</v>
      </c>
      <c r="B109" s="288">
        <v>94.713453188242539</v>
      </c>
      <c r="C109" s="288">
        <v>4.6930038175202844</v>
      </c>
      <c r="D109" s="288">
        <v>94.713453188242539</v>
      </c>
      <c r="E109" s="288">
        <v>4.6930038175202844</v>
      </c>
      <c r="F109" s="288">
        <v>99.131177262355294</v>
      </c>
      <c r="G109" s="288">
        <v>4.304499658682329</v>
      </c>
      <c r="H109" s="288">
        <v>2404.3298969072166</v>
      </c>
      <c r="I109" s="288">
        <v>8697.8896103896113</v>
      </c>
      <c r="J109" s="288">
        <v>93.646659564345953</v>
      </c>
      <c r="K109" s="288">
        <v>4.071261252696547</v>
      </c>
      <c r="L109" s="288">
        <v>787.21973094170414</v>
      </c>
      <c r="M109" s="288">
        <v>3379.0909090909086</v>
      </c>
      <c r="N109" s="288">
        <v>98.739998747242083</v>
      </c>
      <c r="O109" s="288">
        <v>8419.3545108217349</v>
      </c>
      <c r="P109" s="288">
        <v>2706.0790273556236</v>
      </c>
      <c r="Q109" s="288">
        <v>14941.428571428569</v>
      </c>
      <c r="R109" s="288">
        <v>97.969457868494231</v>
      </c>
      <c r="S109" s="288">
        <v>2262.3447559285191</v>
      </c>
      <c r="T109" s="288">
        <v>629.5228628230617</v>
      </c>
      <c r="U109" s="288">
        <v>3875.1858736059476</v>
      </c>
      <c r="V109" s="288">
        <v>98.195597003221451</v>
      </c>
      <c r="W109" s="288">
        <v>98.763452913711106</v>
      </c>
      <c r="X109" s="288">
        <v>1.3114264841576029</v>
      </c>
      <c r="Y109" s="288">
        <v>98.195597003221451</v>
      </c>
      <c r="Z109" s="288">
        <v>98.763452913711106</v>
      </c>
      <c r="AA109" s="288">
        <v>1.3114264841576029</v>
      </c>
      <c r="AB109" s="288"/>
      <c r="AC109" s="288">
        <v>443.80254185942215</v>
      </c>
    </row>
    <row r="110" spans="1:29" x14ac:dyDescent="0.25">
      <c r="A110" s="287" t="s">
        <v>443</v>
      </c>
      <c r="B110" s="288">
        <v>99.468519064613929</v>
      </c>
      <c r="C110" s="288">
        <v>2.5556391941407344</v>
      </c>
      <c r="D110" s="288">
        <v>99.468519064613929</v>
      </c>
      <c r="E110" s="288">
        <v>2.5556391941407344</v>
      </c>
      <c r="F110" s="288">
        <v>99.885957306673902</v>
      </c>
      <c r="G110" s="288">
        <v>1.9042652882733802</v>
      </c>
      <c r="H110" s="288">
        <v>6973.1481481481469</v>
      </c>
      <c r="I110" s="288">
        <v>18239.600665557406</v>
      </c>
      <c r="J110" s="288">
        <v>99.401103263381913</v>
      </c>
      <c r="K110" s="288">
        <v>1.2081874281202893</v>
      </c>
      <c r="L110" s="288">
        <v>1964.2618570474281</v>
      </c>
      <c r="M110" s="288">
        <v>9941.2913303827154</v>
      </c>
      <c r="N110" s="288">
        <v>99.869803542640184</v>
      </c>
      <c r="O110" s="288">
        <v>36496.455788294181</v>
      </c>
      <c r="P110" s="288">
        <v>11803.846153846154</v>
      </c>
      <c r="Q110" s="288">
        <v>67107.784431137741</v>
      </c>
      <c r="R110" s="288">
        <v>99.777163657139624</v>
      </c>
      <c r="S110" s="288">
        <v>18144.769384965719</v>
      </c>
      <c r="T110" s="288">
        <v>3565.1387213510247</v>
      </c>
      <c r="U110" s="288">
        <v>35289.141414141421</v>
      </c>
      <c r="V110" s="288">
        <v>98.787991135837302</v>
      </c>
      <c r="W110" s="288">
        <v>99.527419483083278</v>
      </c>
      <c r="X110" s="288">
        <v>1.0187430975397564</v>
      </c>
      <c r="Y110" s="288">
        <v>98.787991135837302</v>
      </c>
      <c r="Z110" s="288">
        <v>99.527419483083278</v>
      </c>
      <c r="AA110" s="288">
        <v>1.0187430975397564</v>
      </c>
      <c r="AB110" s="288"/>
      <c r="AC110" s="288">
        <v>648.97458140577828</v>
      </c>
    </row>
    <row r="111" spans="1:29" x14ac:dyDescent="0.25">
      <c r="A111" s="287" t="s">
        <v>363</v>
      </c>
      <c r="B111" s="288">
        <v>95.043443917851505</v>
      </c>
      <c r="C111" s="288">
        <v>3.2425417719570677</v>
      </c>
      <c r="D111" s="288">
        <v>95.043443917851505</v>
      </c>
      <c r="E111" s="288">
        <v>3.2425417719570677</v>
      </c>
      <c r="F111" s="288">
        <v>98.419805109296803</v>
      </c>
      <c r="G111" s="288">
        <v>2.9137473808448711</v>
      </c>
      <c r="H111" s="288">
        <v>1889.2821031344795</v>
      </c>
      <c r="I111" s="288">
        <v>14550.350262697026</v>
      </c>
      <c r="J111" s="288">
        <v>94.097496706192359</v>
      </c>
      <c r="K111" s="288">
        <v>1.906223274088916</v>
      </c>
      <c r="L111" s="288">
        <v>820.91954022988489</v>
      </c>
      <c r="M111" s="288">
        <v>8896.8492123030755</v>
      </c>
      <c r="N111" s="288">
        <v>97.555205047318623</v>
      </c>
      <c r="O111" s="288">
        <v>17422.856053990999</v>
      </c>
      <c r="P111" s="288">
        <v>2885.6920684292381</v>
      </c>
      <c r="Q111" s="288">
        <v>39996.296296296299</v>
      </c>
      <c r="R111" s="288">
        <v>96.08512874408828</v>
      </c>
      <c r="S111" s="288">
        <v>9032.4652627282649</v>
      </c>
      <c r="T111" s="288">
        <v>978.85438972162763</v>
      </c>
      <c r="U111" s="288">
        <v>22696.363636363643</v>
      </c>
      <c r="V111" s="288">
        <v>97.911142085213967</v>
      </c>
      <c r="W111" s="288">
        <v>97.419288949259169</v>
      </c>
      <c r="X111" s="288">
        <v>1.311065706741126</v>
      </c>
      <c r="Y111" s="288">
        <v>97.911142085213967</v>
      </c>
      <c r="Z111" s="288">
        <v>97.419288949259169</v>
      </c>
      <c r="AA111" s="288">
        <v>1.311065706741126</v>
      </c>
      <c r="AB111" s="288">
        <v>0.44585987261146498</v>
      </c>
      <c r="AC111" s="288">
        <v>547.85714285714289</v>
      </c>
    </row>
    <row r="112" spans="1:29" x14ac:dyDescent="0.25">
      <c r="A112" s="287" t="s">
        <v>528</v>
      </c>
      <c r="B112" s="288">
        <v>95.043443917851505</v>
      </c>
      <c r="C112" s="288">
        <v>3.2425417719570677</v>
      </c>
      <c r="D112" s="288">
        <v>95.043443917851505</v>
      </c>
      <c r="E112" s="288">
        <v>3.2425417719570677</v>
      </c>
      <c r="F112" s="288">
        <v>98.419805109296803</v>
      </c>
      <c r="G112" s="288">
        <v>2.9137473808448711</v>
      </c>
      <c r="H112" s="288">
        <v>1889.2821031344795</v>
      </c>
      <c r="I112" s="288">
        <v>14550.350262697026</v>
      </c>
      <c r="J112" s="288">
        <v>94.097496706192359</v>
      </c>
      <c r="K112" s="288">
        <v>1.906223274088916</v>
      </c>
      <c r="L112" s="288">
        <v>820.91954022988489</v>
      </c>
      <c r="M112" s="288">
        <v>8896.8492123030755</v>
      </c>
      <c r="N112" s="288">
        <v>97.555205047318623</v>
      </c>
      <c r="O112" s="288">
        <v>17422.856053990999</v>
      </c>
      <c r="P112" s="288">
        <v>2885.6920684292381</v>
      </c>
      <c r="Q112" s="288">
        <v>39996.296296296299</v>
      </c>
      <c r="R112" s="288">
        <v>96.08512874408828</v>
      </c>
      <c r="S112" s="288">
        <v>9032.4652627282649</v>
      </c>
      <c r="T112" s="288">
        <v>978.85438972162763</v>
      </c>
      <c r="U112" s="288">
        <v>22696.363636363643</v>
      </c>
      <c r="V112" s="288">
        <v>97.911142085213967</v>
      </c>
      <c r="W112" s="288">
        <v>97.419288949259169</v>
      </c>
      <c r="X112" s="288">
        <v>1.311065706741126</v>
      </c>
      <c r="Y112" s="288">
        <v>97.911142085213967</v>
      </c>
      <c r="Z112" s="288">
        <v>97.419288949259169</v>
      </c>
      <c r="AA112" s="288">
        <v>1.311065706741126</v>
      </c>
      <c r="AB112" s="288">
        <v>0.44585987261146498</v>
      </c>
      <c r="AC112" s="288">
        <v>547.85714285714289</v>
      </c>
    </row>
    <row r="113" spans="1:29" x14ac:dyDescent="0.25">
      <c r="A113" s="287" t="s">
        <v>101</v>
      </c>
      <c r="B113" s="288">
        <v>97.383188894660833</v>
      </c>
      <c r="C113" s="288">
        <v>3.5833897291649448</v>
      </c>
      <c r="D113" s="288">
        <v>97.383188894660833</v>
      </c>
      <c r="E113" s="288">
        <v>3.5833897291649448</v>
      </c>
      <c r="F113" s="288">
        <v>99.495472238571821</v>
      </c>
      <c r="G113" s="288">
        <v>3.2384216746417334</v>
      </c>
      <c r="H113" s="288">
        <v>4238.2456389322524</v>
      </c>
      <c r="I113" s="288">
        <v>12095.622323781292</v>
      </c>
      <c r="J113" s="288">
        <v>96.436742483907608</v>
      </c>
      <c r="K113" s="288">
        <v>2.627502544651505</v>
      </c>
      <c r="L113" s="288">
        <v>1297.6488449756848</v>
      </c>
      <c r="M113" s="288">
        <v>6446.7544770902359</v>
      </c>
      <c r="N113" s="288">
        <v>99.521899178844308</v>
      </c>
      <c r="O113" s="288">
        <v>20270.384723784187</v>
      </c>
      <c r="P113" s="288">
        <v>7037.2166837082477</v>
      </c>
      <c r="Q113" s="288">
        <v>36250.589941428254</v>
      </c>
      <c r="R113" s="288">
        <v>98.608887023592757</v>
      </c>
      <c r="S113" s="288">
        <v>11182.919697763635</v>
      </c>
      <c r="T113" s="288">
        <v>2031.2799350829275</v>
      </c>
      <c r="U113" s="288">
        <v>20596.314705176421</v>
      </c>
      <c r="V113" s="288">
        <v>98.614802315853098</v>
      </c>
      <c r="W113" s="288">
        <v>99.261599294262368</v>
      </c>
      <c r="X113" s="288">
        <v>1.2519445846043109</v>
      </c>
      <c r="Y113" s="288">
        <v>98.614802315853098</v>
      </c>
      <c r="Z113" s="288">
        <v>99.261599294262368</v>
      </c>
      <c r="AA113" s="288">
        <v>1.2519445846043109</v>
      </c>
      <c r="AB113" s="288"/>
      <c r="AC113" s="288">
        <v>536.7110092678771</v>
      </c>
    </row>
    <row r="114" spans="1:29" x14ac:dyDescent="0.25">
      <c r="A114" s="287" t="s">
        <v>102</v>
      </c>
      <c r="B114" s="288">
        <v>95.509735223607336</v>
      </c>
      <c r="C114" s="288">
        <v>4.5333321504170208</v>
      </c>
      <c r="D114" s="288">
        <v>95.509735223607336</v>
      </c>
      <c r="E114" s="288">
        <v>4.5333321504170208</v>
      </c>
      <c r="F114" s="288">
        <v>99.255339445760825</v>
      </c>
      <c r="G114" s="288">
        <v>4.2459470471762577</v>
      </c>
      <c r="H114" s="288">
        <v>2557.7494692144387</v>
      </c>
      <c r="I114" s="288">
        <v>9116.1458333333358</v>
      </c>
      <c r="J114" s="288">
        <v>93.960835848942125</v>
      </c>
      <c r="K114" s="288">
        <v>3.8243744081604261</v>
      </c>
      <c r="L114" s="288">
        <v>834.55743879472709</v>
      </c>
      <c r="M114" s="288">
        <v>3524.2331288343557</v>
      </c>
      <c r="N114" s="288">
        <v>99.265300048560761</v>
      </c>
      <c r="O114" s="288">
        <v>8423.7013516057523</v>
      </c>
      <c r="P114" s="288">
        <v>2803.4722222222208</v>
      </c>
      <c r="Q114" s="288">
        <v>14764.766839378239</v>
      </c>
      <c r="R114" s="288">
        <v>97.434974666476123</v>
      </c>
      <c r="S114" s="288">
        <v>2476.71067115706</v>
      </c>
      <c r="T114" s="288">
        <v>701.58730158730202</v>
      </c>
      <c r="U114" s="288">
        <v>4029.6983758700676</v>
      </c>
      <c r="V114" s="288">
        <v>98.461752366852721</v>
      </c>
      <c r="W114" s="288">
        <v>98.677421112481298</v>
      </c>
      <c r="X114" s="288">
        <v>1.3986109215967764</v>
      </c>
      <c r="Y114" s="288">
        <v>98.461752366852721</v>
      </c>
      <c r="Z114" s="288">
        <v>98.677421112481298</v>
      </c>
      <c r="AA114" s="288">
        <v>1.3986109215967764</v>
      </c>
      <c r="AB114" s="288"/>
      <c r="AC114" s="288">
        <v>434.0880958656972</v>
      </c>
    </row>
    <row r="115" spans="1:29" x14ac:dyDescent="0.25">
      <c r="A115" s="287" t="s">
        <v>103</v>
      </c>
      <c r="B115" s="288">
        <v>99.25664256571433</v>
      </c>
      <c r="C115" s="288">
        <v>2.6334473079128689</v>
      </c>
      <c r="D115" s="288">
        <v>99.25664256571433</v>
      </c>
      <c r="E115" s="288">
        <v>2.6334473079128689</v>
      </c>
      <c r="F115" s="288">
        <v>99.735605031382818</v>
      </c>
      <c r="G115" s="288">
        <v>2.230896302107209</v>
      </c>
      <c r="H115" s="288">
        <v>5918.7418086500666</v>
      </c>
      <c r="I115" s="288">
        <v>15075.09881422925</v>
      </c>
      <c r="J115" s="288">
        <v>98.912649118873091</v>
      </c>
      <c r="K115" s="288">
        <v>1.4306306811425842</v>
      </c>
      <c r="L115" s="288">
        <v>1760.7402511566424</v>
      </c>
      <c r="M115" s="288">
        <v>9369.2758253461161</v>
      </c>
      <c r="N115" s="288">
        <v>99.778498309127855</v>
      </c>
      <c r="O115" s="288">
        <v>32117.068095962622</v>
      </c>
      <c r="P115" s="288">
        <v>11270.961145194275</v>
      </c>
      <c r="Q115" s="288">
        <v>57736.413043478264</v>
      </c>
      <c r="R115" s="288">
        <v>99.782799380709406</v>
      </c>
      <c r="S115" s="288">
        <v>19889.12872437021</v>
      </c>
      <c r="T115" s="288">
        <v>3360.9725685785529</v>
      </c>
      <c r="U115" s="288">
        <v>37162.931034482775</v>
      </c>
      <c r="V115" s="288">
        <v>98.767852264853474</v>
      </c>
      <c r="W115" s="288">
        <v>99.845777476043452</v>
      </c>
      <c r="X115" s="288">
        <v>1.1052782476118455</v>
      </c>
      <c r="Y115" s="288">
        <v>98.767852264853474</v>
      </c>
      <c r="Z115" s="288">
        <v>99.845777476043452</v>
      </c>
      <c r="AA115" s="288">
        <v>1.1052782476118455</v>
      </c>
      <c r="AB115" s="288"/>
      <c r="AC115" s="288">
        <v>639.33392267005695</v>
      </c>
    </row>
    <row r="116" spans="1:29" x14ac:dyDescent="0.25">
      <c r="A116" s="287" t="s">
        <v>104</v>
      </c>
      <c r="B116" s="288">
        <v>97.178765464423648</v>
      </c>
      <c r="C116" s="288">
        <v>2.7571436171907653</v>
      </c>
      <c r="D116" s="288">
        <v>97.178765464423648</v>
      </c>
      <c r="E116" s="288">
        <v>2.7571436171907653</v>
      </c>
      <c r="F116" s="288">
        <v>99.058084772370492</v>
      </c>
      <c r="G116" s="288">
        <v>1.3399228415919417</v>
      </c>
      <c r="H116" s="288">
        <v>3895.0617283950623</v>
      </c>
      <c r="I116" s="288">
        <v>35876.237623762376</v>
      </c>
      <c r="J116" s="288">
        <v>95.12833944473546</v>
      </c>
      <c r="K116" s="288">
        <v>1.3758248305402809</v>
      </c>
      <c r="L116" s="288">
        <v>1185.3785900783294</v>
      </c>
      <c r="M116" s="288">
        <v>11382.470119521911</v>
      </c>
      <c r="N116" s="288">
        <v>98.744113029827318</v>
      </c>
      <c r="O116" s="288">
        <v>26570.935918309413</v>
      </c>
      <c r="P116" s="288">
        <v>4777.2151898734182</v>
      </c>
      <c r="Q116" s="288">
        <v>63173.333333333321</v>
      </c>
      <c r="R116" s="288">
        <v>97.827225130890056</v>
      </c>
      <c r="S116" s="288">
        <v>12733.426299845018</v>
      </c>
      <c r="T116" s="288">
        <v>1389.2193308550184</v>
      </c>
      <c r="U116" s="288">
        <v>31773.148148148153</v>
      </c>
      <c r="V116" s="288">
        <v>98.686009218701017</v>
      </c>
      <c r="W116" s="288">
        <v>98.045212042674336</v>
      </c>
      <c r="X116" s="288">
        <v>1.302868997538642</v>
      </c>
      <c r="Y116" s="288">
        <v>98.686009218701017</v>
      </c>
      <c r="Z116" s="288">
        <v>98.045212042674336</v>
      </c>
      <c r="AA116" s="288">
        <v>1.302868997538642</v>
      </c>
      <c r="AB116" s="288">
        <v>1.0243277848911652</v>
      </c>
      <c r="AC116" s="288">
        <v>560</v>
      </c>
    </row>
    <row r="117" spans="1:29" x14ac:dyDescent="0.25">
      <c r="A117" s="287" t="s">
        <v>529</v>
      </c>
      <c r="B117" s="288">
        <v>97.178765464423648</v>
      </c>
      <c r="C117" s="288">
        <v>2.7571436171907653</v>
      </c>
      <c r="D117" s="288">
        <v>97.178765464423648</v>
      </c>
      <c r="E117" s="288">
        <v>2.7571436171907653</v>
      </c>
      <c r="F117" s="288">
        <v>99.058084772370492</v>
      </c>
      <c r="G117" s="288">
        <v>1.3399228415919417</v>
      </c>
      <c r="H117" s="288">
        <v>3895.0617283950623</v>
      </c>
      <c r="I117" s="288">
        <v>35876.237623762376</v>
      </c>
      <c r="J117" s="288">
        <v>95.12833944473546</v>
      </c>
      <c r="K117" s="288">
        <v>1.3758248305402809</v>
      </c>
      <c r="L117" s="288">
        <v>1185.3785900783294</v>
      </c>
      <c r="M117" s="288">
        <v>11382.470119521911</v>
      </c>
      <c r="N117" s="288">
        <v>98.744113029827318</v>
      </c>
      <c r="O117" s="288">
        <v>26570.935918309413</v>
      </c>
      <c r="P117" s="288">
        <v>4777.2151898734182</v>
      </c>
      <c r="Q117" s="288">
        <v>63173.333333333321</v>
      </c>
      <c r="R117" s="288">
        <v>97.827225130890056</v>
      </c>
      <c r="S117" s="288">
        <v>12733.426299845018</v>
      </c>
      <c r="T117" s="288">
        <v>1389.2193308550184</v>
      </c>
      <c r="U117" s="288">
        <v>31773.148148148153</v>
      </c>
      <c r="V117" s="288">
        <v>98.686009218701017</v>
      </c>
      <c r="W117" s="288">
        <v>98.045212042674336</v>
      </c>
      <c r="X117" s="288">
        <v>1.302868997538642</v>
      </c>
      <c r="Y117" s="288">
        <v>98.686009218701017</v>
      </c>
      <c r="Z117" s="288">
        <v>98.045212042674336</v>
      </c>
      <c r="AA117" s="288">
        <v>1.302868997538642</v>
      </c>
      <c r="AB117" s="288">
        <v>1.0243277848911652</v>
      </c>
      <c r="AC117" s="288">
        <v>560</v>
      </c>
    </row>
    <row r="118" spans="1:29" x14ac:dyDescent="0.25">
      <c r="A118" s="287" t="s">
        <v>444</v>
      </c>
      <c r="B118" s="288">
        <v>98.862786152061005</v>
      </c>
      <c r="C118" s="288">
        <v>2.5241565403436352</v>
      </c>
      <c r="D118" s="288">
        <v>98.862786152061005</v>
      </c>
      <c r="E118" s="288">
        <v>2.5241565403436352</v>
      </c>
      <c r="F118" s="288">
        <v>99.602000094464941</v>
      </c>
      <c r="G118" s="288">
        <v>1.7605119899633208</v>
      </c>
      <c r="H118" s="288">
        <v>8067.3926089796005</v>
      </c>
      <c r="I118" s="288">
        <v>30388.004413619168</v>
      </c>
      <c r="J118" s="288">
        <v>97.317876542625157</v>
      </c>
      <c r="K118" s="288">
        <v>2.1734966663497217</v>
      </c>
      <c r="L118" s="288">
        <v>2122.3274065228093</v>
      </c>
      <c r="M118" s="288">
        <v>8632.8690625653926</v>
      </c>
      <c r="N118" s="288">
        <v>99.70712678727719</v>
      </c>
      <c r="O118" s="288">
        <v>31212.117368941421</v>
      </c>
      <c r="P118" s="288">
        <v>10118.364805976342</v>
      </c>
      <c r="Q118" s="288">
        <v>58364.330858747984</v>
      </c>
      <c r="R118" s="288">
        <v>99.532848139024452</v>
      </c>
      <c r="S118" s="288">
        <v>13648.913612752927</v>
      </c>
      <c r="T118" s="288">
        <v>3537.5901929326583</v>
      </c>
      <c r="U118" s="288">
        <v>23399.638298896243</v>
      </c>
      <c r="V118" s="288">
        <v>99.230416980762342</v>
      </c>
      <c r="W118" s="288">
        <v>98.505558817101686</v>
      </c>
      <c r="X118" s="288">
        <v>1.1844236518526643</v>
      </c>
      <c r="Y118" s="288">
        <v>99.230416980762342</v>
      </c>
      <c r="Z118" s="288">
        <v>98.505558817101686</v>
      </c>
      <c r="AA118" s="288">
        <v>1.1844236518526643</v>
      </c>
      <c r="AB118" s="288"/>
      <c r="AC118" s="288">
        <v>529.55083718844344</v>
      </c>
    </row>
    <row r="119" spans="1:29" x14ac:dyDescent="0.25">
      <c r="A119" s="287" t="s">
        <v>445</v>
      </c>
      <c r="B119" s="288">
        <v>97.946156624619192</v>
      </c>
      <c r="C119" s="288">
        <v>2.824293953215359</v>
      </c>
      <c r="D119" s="288">
        <v>97.946156624619192</v>
      </c>
      <c r="E119" s="288">
        <v>2.824293953215359</v>
      </c>
      <c r="F119" s="288">
        <v>99.435018055499938</v>
      </c>
      <c r="G119" s="288">
        <v>2.678588358151194</v>
      </c>
      <c r="H119" s="288">
        <v>3537.2492836676215</v>
      </c>
      <c r="I119" s="288">
        <v>15391.393442622952</v>
      </c>
      <c r="J119" s="288">
        <v>94.996844149021413</v>
      </c>
      <c r="K119" s="288">
        <v>3.3843917062686542</v>
      </c>
      <c r="L119" s="288">
        <v>890.55829228243033</v>
      </c>
      <c r="M119" s="288">
        <v>3785.0282485875714</v>
      </c>
      <c r="N119" s="288">
        <v>99.530687399777491</v>
      </c>
      <c r="O119" s="288">
        <v>10418.413742558887</v>
      </c>
      <c r="P119" s="288">
        <v>3658.8607594936702</v>
      </c>
      <c r="Q119" s="288">
        <v>18313.483146067414</v>
      </c>
      <c r="R119" s="288">
        <v>99.255752838543714</v>
      </c>
      <c r="S119" s="288">
        <v>2824.2893755991572</v>
      </c>
      <c r="T119" s="288">
        <v>894.05405405405406</v>
      </c>
      <c r="U119" s="288">
        <v>4345.3687821612339</v>
      </c>
      <c r="V119" s="288">
        <v>99.130183590602059</v>
      </c>
      <c r="W119" s="288">
        <v>97.555358207285991</v>
      </c>
      <c r="X119" s="288">
        <v>1.3241926292958426</v>
      </c>
      <c r="Y119" s="288">
        <v>99.130183590602059</v>
      </c>
      <c r="Z119" s="288">
        <v>97.555358207285991</v>
      </c>
      <c r="AA119" s="288">
        <v>1.3241926292958426</v>
      </c>
      <c r="AB119" s="288"/>
      <c r="AC119" s="288">
        <v>417.22287673479957</v>
      </c>
    </row>
    <row r="120" spans="1:29" x14ac:dyDescent="0.25">
      <c r="A120" s="287" t="s">
        <v>446</v>
      </c>
      <c r="B120" s="288">
        <v>99.779415679502819</v>
      </c>
      <c r="C120" s="288">
        <v>2.2240191274719114</v>
      </c>
      <c r="D120" s="288">
        <v>99.779415679502819</v>
      </c>
      <c r="E120" s="288">
        <v>2.2240191274719114</v>
      </c>
      <c r="F120" s="288">
        <v>99.768982133429944</v>
      </c>
      <c r="G120" s="288">
        <v>0.84243562177544784</v>
      </c>
      <c r="H120" s="288">
        <v>12597.53593429158</v>
      </c>
      <c r="I120" s="288">
        <v>45384.615384615383</v>
      </c>
      <c r="J120" s="288">
        <v>99.638908936228901</v>
      </c>
      <c r="K120" s="288">
        <v>0.96260162643078928</v>
      </c>
      <c r="L120" s="288">
        <v>3354.096520763188</v>
      </c>
      <c r="M120" s="288">
        <v>13480.709876543213</v>
      </c>
      <c r="N120" s="288">
        <v>99.883566174776888</v>
      </c>
      <c r="O120" s="288">
        <v>52005.820995323957</v>
      </c>
      <c r="P120" s="288">
        <v>16577.868852459014</v>
      </c>
      <c r="Q120" s="288">
        <v>98415.178571428551</v>
      </c>
      <c r="R120" s="288">
        <v>99.809943439505204</v>
      </c>
      <c r="S120" s="288">
        <v>24473.537849906697</v>
      </c>
      <c r="T120" s="288">
        <v>6181.1263318112624</v>
      </c>
      <c r="U120" s="288">
        <v>42453.907815631253</v>
      </c>
      <c r="V120" s="288">
        <v>99.330650370922626</v>
      </c>
      <c r="W120" s="288">
        <v>99.455759426917382</v>
      </c>
      <c r="X120" s="288">
        <v>1.044654674409486</v>
      </c>
      <c r="Y120" s="288">
        <v>99.330650370922626</v>
      </c>
      <c r="Z120" s="288">
        <v>99.455759426917382</v>
      </c>
      <c r="AA120" s="288">
        <v>1.044654674409486</v>
      </c>
      <c r="AB120" s="288"/>
      <c r="AC120" s="288">
        <v>641.87879764208742</v>
      </c>
    </row>
    <row r="121" spans="1:29" x14ac:dyDescent="0.25">
      <c r="A121" s="287" t="s">
        <v>364</v>
      </c>
      <c r="B121" s="288">
        <v>97.178765464423648</v>
      </c>
      <c r="C121" s="288">
        <v>2.7571436171907653</v>
      </c>
      <c r="D121" s="288">
        <v>97.178765464423648</v>
      </c>
      <c r="E121" s="288">
        <v>2.7571436171907653</v>
      </c>
      <c r="F121" s="288">
        <v>99.058084772370492</v>
      </c>
      <c r="G121" s="288">
        <v>1.3399228415919417</v>
      </c>
      <c r="H121" s="288">
        <v>3895.0617283950623</v>
      </c>
      <c r="I121" s="288">
        <v>35876.237623762376</v>
      </c>
      <c r="J121" s="288">
        <v>95.12833944473546</v>
      </c>
      <c r="K121" s="288">
        <v>1.3758248305402809</v>
      </c>
      <c r="L121" s="288">
        <v>1185.3785900783294</v>
      </c>
      <c r="M121" s="288">
        <v>11382.470119521911</v>
      </c>
      <c r="N121" s="288">
        <v>98.744113029827318</v>
      </c>
      <c r="O121" s="288">
        <v>26570.935918309413</v>
      </c>
      <c r="P121" s="288">
        <v>4777.2151898734182</v>
      </c>
      <c r="Q121" s="288">
        <v>63173.333333333321</v>
      </c>
      <c r="R121" s="288">
        <v>97.827225130890056</v>
      </c>
      <c r="S121" s="288">
        <v>12733.426299845018</v>
      </c>
      <c r="T121" s="288">
        <v>1389.2193308550184</v>
      </c>
      <c r="U121" s="288">
        <v>31773.148148148153</v>
      </c>
      <c r="V121" s="288">
        <v>98.686009218701017</v>
      </c>
      <c r="W121" s="288">
        <v>98.045212042674336</v>
      </c>
      <c r="X121" s="288">
        <v>1.302868997538642</v>
      </c>
      <c r="Y121" s="288">
        <v>98.686009218701017</v>
      </c>
      <c r="Z121" s="288">
        <v>98.045212042674336</v>
      </c>
      <c r="AA121" s="288">
        <v>1.302868997538642</v>
      </c>
      <c r="AB121" s="288">
        <v>1.0243277848911652</v>
      </c>
      <c r="AC121" s="288">
        <v>560</v>
      </c>
    </row>
    <row r="122" spans="1:29" x14ac:dyDescent="0.25">
      <c r="A122" s="287" t="s">
        <v>530</v>
      </c>
      <c r="B122" s="288">
        <v>97.178765464423648</v>
      </c>
      <c r="C122" s="288">
        <v>2.7571436171907653</v>
      </c>
      <c r="D122" s="288">
        <v>97.178765464423648</v>
      </c>
      <c r="E122" s="288">
        <v>2.7571436171907653</v>
      </c>
      <c r="F122" s="288">
        <v>99.058084772370492</v>
      </c>
      <c r="G122" s="288">
        <v>1.3399228415919417</v>
      </c>
      <c r="H122" s="288">
        <v>3895.0617283950623</v>
      </c>
      <c r="I122" s="288">
        <v>35876.237623762376</v>
      </c>
      <c r="J122" s="288">
        <v>95.12833944473546</v>
      </c>
      <c r="K122" s="288">
        <v>1.3758248305402809</v>
      </c>
      <c r="L122" s="288">
        <v>1185.3785900783294</v>
      </c>
      <c r="M122" s="288">
        <v>11382.470119521911</v>
      </c>
      <c r="N122" s="288">
        <v>98.744113029827318</v>
      </c>
      <c r="O122" s="288">
        <v>26570.935918309413</v>
      </c>
      <c r="P122" s="288">
        <v>4777.2151898734182</v>
      </c>
      <c r="Q122" s="288">
        <v>63173.333333333321</v>
      </c>
      <c r="R122" s="288">
        <v>97.827225130890056</v>
      </c>
      <c r="S122" s="288">
        <v>12733.426299845018</v>
      </c>
      <c r="T122" s="288">
        <v>1389.2193308550184</v>
      </c>
      <c r="U122" s="288">
        <v>31773.148148148153</v>
      </c>
      <c r="V122" s="288">
        <v>98.686009218701017</v>
      </c>
      <c r="W122" s="288">
        <v>98.045212042674336</v>
      </c>
      <c r="X122" s="288">
        <v>1.302868997538642</v>
      </c>
      <c r="Y122" s="288">
        <v>98.686009218701017</v>
      </c>
      <c r="Z122" s="288">
        <v>98.045212042674336</v>
      </c>
      <c r="AA122" s="288">
        <v>1.302868997538642</v>
      </c>
      <c r="AB122" s="288">
        <v>1.0243277848911652</v>
      </c>
      <c r="AC122" s="288">
        <v>560</v>
      </c>
    </row>
    <row r="123" spans="1:29" x14ac:dyDescent="0.25">
      <c r="A123" s="287" t="s">
        <v>105</v>
      </c>
      <c r="B123" s="288">
        <v>98.937350895234815</v>
      </c>
      <c r="C123" s="288">
        <v>2.6841939258428464</v>
      </c>
      <c r="D123" s="288">
        <v>98.937350895234815</v>
      </c>
      <c r="E123" s="288">
        <v>2.6841939258428464</v>
      </c>
      <c r="F123" s="288">
        <v>99.562515304455161</v>
      </c>
      <c r="G123" s="288">
        <v>1.7908737561548271</v>
      </c>
      <c r="H123" s="288">
        <v>8662.0318107599596</v>
      </c>
      <c r="I123" s="288">
        <v>29018.732982632395</v>
      </c>
      <c r="J123" s="288">
        <v>97.291034557552564</v>
      </c>
      <c r="K123" s="288">
        <v>2.3185337121565981</v>
      </c>
      <c r="L123" s="288">
        <v>2335.7347808577751</v>
      </c>
      <c r="M123" s="288">
        <v>8080.8664741327475</v>
      </c>
      <c r="N123" s="288">
        <v>99.712015189714748</v>
      </c>
      <c r="O123" s="288">
        <v>28960.003375478424</v>
      </c>
      <c r="P123" s="288">
        <v>10439.618155540109</v>
      </c>
      <c r="Q123" s="288">
        <v>53958.379510309285</v>
      </c>
      <c r="R123" s="288">
        <v>99.62061706803118</v>
      </c>
      <c r="S123" s="288">
        <v>14345.75450546118</v>
      </c>
      <c r="T123" s="288">
        <v>3929.8795302692861</v>
      </c>
      <c r="U123" s="288">
        <v>23622.30522759966</v>
      </c>
      <c r="V123" s="288">
        <v>99.684351135554778</v>
      </c>
      <c r="W123" s="288">
        <v>99.3387915652863</v>
      </c>
      <c r="X123" s="288">
        <v>1.1775616307382148</v>
      </c>
      <c r="Y123" s="288">
        <v>99.684351135554778</v>
      </c>
      <c r="Z123" s="288">
        <v>99.3387915652863</v>
      </c>
      <c r="AA123" s="288">
        <v>1.1775616307382148</v>
      </c>
      <c r="AB123" s="288"/>
      <c r="AC123" s="288">
        <v>531.7850421912417</v>
      </c>
    </row>
    <row r="124" spans="1:29" x14ac:dyDescent="0.25">
      <c r="A124" s="287" t="s">
        <v>106</v>
      </c>
      <c r="B124" s="288">
        <v>97.987754251123647</v>
      </c>
      <c r="C124" s="288">
        <v>3.0250031588434765</v>
      </c>
      <c r="D124" s="288">
        <v>97.987754251123647</v>
      </c>
      <c r="E124" s="288">
        <v>3.0250031588434765</v>
      </c>
      <c r="F124" s="288">
        <v>99.156947871651298</v>
      </c>
      <c r="G124" s="288">
        <v>2.7067685272985655</v>
      </c>
      <c r="H124" s="288">
        <v>3525.0814332247542</v>
      </c>
      <c r="I124" s="288">
        <v>15089.952153110056</v>
      </c>
      <c r="J124" s="288">
        <v>94.729949234221252</v>
      </c>
      <c r="K124" s="288">
        <v>3.600925431135694</v>
      </c>
      <c r="L124" s="288">
        <v>794.87381703470021</v>
      </c>
      <c r="M124" s="288">
        <v>3728.1796966161041</v>
      </c>
      <c r="N124" s="288">
        <v>99.446426371483213</v>
      </c>
      <c r="O124" s="288">
        <v>10090.763384130267</v>
      </c>
      <c r="P124" s="288">
        <v>3871.1934156378593</v>
      </c>
      <c r="Q124" s="288">
        <v>17545.625</v>
      </c>
      <c r="R124" s="288">
        <v>99.298629755492129</v>
      </c>
      <c r="S124" s="288">
        <v>2675.7863711310229</v>
      </c>
      <c r="T124" s="288">
        <v>700.66815144766178</v>
      </c>
      <c r="U124" s="288">
        <v>4370.8845208845196</v>
      </c>
      <c r="V124" s="288">
        <v>99.397957752950603</v>
      </c>
      <c r="W124" s="288">
        <v>98.882671785562991</v>
      </c>
      <c r="X124" s="288">
        <v>1.273897560352496</v>
      </c>
      <c r="Y124" s="288">
        <v>99.397957752950603</v>
      </c>
      <c r="Z124" s="288">
        <v>98.882671785562991</v>
      </c>
      <c r="AA124" s="288">
        <v>1.273897560352496</v>
      </c>
      <c r="AB124" s="288"/>
      <c r="AC124" s="288">
        <v>432.51672332240048</v>
      </c>
    </row>
    <row r="125" spans="1:29" x14ac:dyDescent="0.25">
      <c r="A125" s="287" t="s">
        <v>107</v>
      </c>
      <c r="B125" s="288">
        <v>99.886947539345982</v>
      </c>
      <c r="C125" s="288">
        <v>2.3433846928422168</v>
      </c>
      <c r="D125" s="288">
        <v>99.886947539345982</v>
      </c>
      <c r="E125" s="288">
        <v>2.3433846928422168</v>
      </c>
      <c r="F125" s="288">
        <v>99.968082737259039</v>
      </c>
      <c r="G125" s="288">
        <v>0.87497898501108884</v>
      </c>
      <c r="H125" s="288">
        <v>13798.982188295166</v>
      </c>
      <c r="I125" s="288">
        <v>42947.513812154735</v>
      </c>
      <c r="J125" s="288">
        <v>99.852119880883876</v>
      </c>
      <c r="K125" s="288">
        <v>1.0361419931775024</v>
      </c>
      <c r="L125" s="288">
        <v>3876.5957446808502</v>
      </c>
      <c r="M125" s="288">
        <v>12433.553251649391</v>
      </c>
      <c r="N125" s="288">
        <v>99.977604007946269</v>
      </c>
      <c r="O125" s="288">
        <v>47829.24336682658</v>
      </c>
      <c r="P125" s="288">
        <v>17008.042895442359</v>
      </c>
      <c r="Q125" s="288">
        <v>90371.134020618571</v>
      </c>
      <c r="R125" s="288">
        <v>99.942604380570216</v>
      </c>
      <c r="S125" s="288">
        <v>26015.722639791336</v>
      </c>
      <c r="T125" s="288">
        <v>7159.0909090909108</v>
      </c>
      <c r="U125" s="288">
        <v>42873.725934314803</v>
      </c>
      <c r="V125" s="288">
        <v>99.970744518158966</v>
      </c>
      <c r="W125" s="288">
        <v>99.794911345009609</v>
      </c>
      <c r="X125" s="288">
        <v>1.0812257011239335</v>
      </c>
      <c r="Y125" s="288">
        <v>99.970744518158966</v>
      </c>
      <c r="Z125" s="288">
        <v>99.794911345009609</v>
      </c>
      <c r="AA125" s="288">
        <v>1.0812257011239335</v>
      </c>
      <c r="AB125" s="288"/>
      <c r="AC125" s="288">
        <v>631.05336106008303</v>
      </c>
    </row>
    <row r="126" spans="1:29" x14ac:dyDescent="0.25">
      <c r="A126" s="287" t="s">
        <v>108</v>
      </c>
      <c r="B126" s="288">
        <v>90.441966129698471</v>
      </c>
      <c r="C126" s="288">
        <v>3.7387163675430015</v>
      </c>
      <c r="D126" s="288">
        <v>90.441966129698471</v>
      </c>
      <c r="E126" s="288">
        <v>3.7387163675430015</v>
      </c>
      <c r="F126" s="288">
        <v>96.893588896232657</v>
      </c>
      <c r="G126" s="288">
        <v>3.6499709165476788</v>
      </c>
      <c r="H126" s="288">
        <v>1448.616600790514</v>
      </c>
      <c r="I126" s="288">
        <v>12534.303534303534</v>
      </c>
      <c r="J126" s="288">
        <v>92.274535809018559</v>
      </c>
      <c r="K126" s="288">
        <v>2.3273407252368137</v>
      </c>
      <c r="L126" s="288">
        <v>674.50315075133301</v>
      </c>
      <c r="M126" s="288">
        <v>8257.374631268438</v>
      </c>
      <c r="N126" s="288">
        <v>96.996699669967001</v>
      </c>
      <c r="O126" s="288">
        <v>11969.037377228724</v>
      </c>
      <c r="P126" s="288">
        <v>1996.6032608695657</v>
      </c>
      <c r="Q126" s="288">
        <v>24628.342245989301</v>
      </c>
      <c r="R126" s="288">
        <v>93.51422898742554</v>
      </c>
      <c r="S126" s="288">
        <v>6757.549502893371</v>
      </c>
      <c r="T126" s="288">
        <v>743.68421052631584</v>
      </c>
      <c r="U126" s="288">
        <v>19072.519083969466</v>
      </c>
      <c r="V126" s="288">
        <v>98.442064977933896</v>
      </c>
      <c r="W126" s="288">
        <v>98.010714176780027</v>
      </c>
      <c r="X126" s="288">
        <v>1.2878977268652105</v>
      </c>
      <c r="Y126" s="288">
        <v>98.442064977933896</v>
      </c>
      <c r="Z126" s="288">
        <v>98.010714176780027</v>
      </c>
      <c r="AA126" s="288">
        <v>1.2878977268652105</v>
      </c>
      <c r="AB126" s="288">
        <v>0.67214339058999251</v>
      </c>
      <c r="AC126" s="288">
        <v>514.85714285714289</v>
      </c>
    </row>
    <row r="127" spans="1:29" x14ac:dyDescent="0.25">
      <c r="A127" s="287" t="s">
        <v>531</v>
      </c>
      <c r="B127" s="288">
        <v>90.441966129698471</v>
      </c>
      <c r="C127" s="288">
        <v>3.7387163675430015</v>
      </c>
      <c r="D127" s="288">
        <v>90.441966129698471</v>
      </c>
      <c r="E127" s="288">
        <v>3.7387163675430015</v>
      </c>
      <c r="F127" s="288">
        <v>96.893588896232657</v>
      </c>
      <c r="G127" s="288">
        <v>3.6499709165476788</v>
      </c>
      <c r="H127" s="288">
        <v>1448.616600790514</v>
      </c>
      <c r="I127" s="288">
        <v>12534.303534303534</v>
      </c>
      <c r="J127" s="288">
        <v>92.274535809018559</v>
      </c>
      <c r="K127" s="288">
        <v>2.3273407252368137</v>
      </c>
      <c r="L127" s="288">
        <v>674.50315075133301</v>
      </c>
      <c r="M127" s="288">
        <v>8257.374631268438</v>
      </c>
      <c r="N127" s="288">
        <v>96.996699669967001</v>
      </c>
      <c r="O127" s="288">
        <v>11969.037377228724</v>
      </c>
      <c r="P127" s="288">
        <v>1996.6032608695657</v>
      </c>
      <c r="Q127" s="288">
        <v>24628.342245989301</v>
      </c>
      <c r="R127" s="288">
        <v>93.51422898742554</v>
      </c>
      <c r="S127" s="288">
        <v>6757.549502893371</v>
      </c>
      <c r="T127" s="288">
        <v>743.68421052631584</v>
      </c>
      <c r="U127" s="288">
        <v>19072.519083969466</v>
      </c>
      <c r="V127" s="288">
        <v>98.442064977933896</v>
      </c>
      <c r="W127" s="288">
        <v>98.010714176780027</v>
      </c>
      <c r="X127" s="288">
        <v>1.2878977268652105</v>
      </c>
      <c r="Y127" s="288">
        <v>98.442064977933896</v>
      </c>
      <c r="Z127" s="288">
        <v>98.010714176780027</v>
      </c>
      <c r="AA127" s="288">
        <v>1.2878977268652105</v>
      </c>
      <c r="AB127" s="288">
        <v>0.67214339058999251</v>
      </c>
      <c r="AC127" s="288">
        <v>514.85714285714289</v>
      </c>
    </row>
    <row r="128" spans="1:29" x14ac:dyDescent="0.25">
      <c r="A128" s="287" t="s">
        <v>447</v>
      </c>
      <c r="B128" s="288">
        <v>96.856796510761299</v>
      </c>
      <c r="C128" s="288">
        <v>3.365984034870916</v>
      </c>
      <c r="D128" s="288">
        <v>96.856796510761299</v>
      </c>
      <c r="E128" s="288">
        <v>3.365984034870916</v>
      </c>
      <c r="F128" s="288">
        <v>99.444258517875966</v>
      </c>
      <c r="G128" s="288">
        <v>3.2021122535284228</v>
      </c>
      <c r="H128" s="288">
        <v>3324.882530711036</v>
      </c>
      <c r="I128" s="288">
        <v>12388.20911783434</v>
      </c>
      <c r="J128" s="288">
        <v>94.478811524129384</v>
      </c>
      <c r="K128" s="288">
        <v>2.85997482392087</v>
      </c>
      <c r="L128" s="288">
        <v>1129.6439421386772</v>
      </c>
      <c r="M128" s="288">
        <v>6353.7674065065366</v>
      </c>
      <c r="N128" s="288">
        <v>99.070336174512704</v>
      </c>
      <c r="O128" s="288">
        <v>12095.203021639461</v>
      </c>
      <c r="P128" s="288">
        <v>4198.7529650185388</v>
      </c>
      <c r="Q128" s="288">
        <v>22259.040770507276</v>
      </c>
      <c r="R128" s="288">
        <v>98.42728804782746</v>
      </c>
      <c r="S128" s="288">
        <v>7197.8217632607802</v>
      </c>
      <c r="T128" s="288">
        <v>1310.0981953290873</v>
      </c>
      <c r="U128" s="288">
        <v>13365.518705369715</v>
      </c>
      <c r="V128" s="288">
        <v>98.427980294931501</v>
      </c>
      <c r="W128" s="288">
        <v>98.899457208810844</v>
      </c>
      <c r="X128" s="288">
        <v>1.1303885298165226</v>
      </c>
      <c r="Y128" s="288">
        <v>98.427980294931501</v>
      </c>
      <c r="Z128" s="288">
        <v>98.899457208810844</v>
      </c>
      <c r="AA128" s="288">
        <v>1.1303885298165226</v>
      </c>
      <c r="AB128" s="288"/>
      <c r="AC128" s="288">
        <v>502.45551746011193</v>
      </c>
    </row>
    <row r="129" spans="1:29" x14ac:dyDescent="0.25">
      <c r="A129" s="287" t="s">
        <v>448</v>
      </c>
      <c r="B129" s="288">
        <v>95.47433406280507</v>
      </c>
      <c r="C129" s="288">
        <v>3.9749745129288216</v>
      </c>
      <c r="D129" s="288">
        <v>95.47433406280507</v>
      </c>
      <c r="E129" s="288">
        <v>3.9749745129288216</v>
      </c>
      <c r="F129" s="288">
        <v>99.566832378471588</v>
      </c>
      <c r="G129" s="288">
        <v>3.9299270707840779</v>
      </c>
      <c r="H129" s="288">
        <v>2577.7251184834126</v>
      </c>
      <c r="I129" s="288">
        <v>10085.211267605633</v>
      </c>
      <c r="J129" s="288">
        <v>91.375940429855348</v>
      </c>
      <c r="K129" s="288">
        <v>4.3694426155715931</v>
      </c>
      <c r="L129" s="288">
        <v>688.66809881847485</v>
      </c>
      <c r="M129" s="288">
        <v>3046.6956521739125</v>
      </c>
      <c r="N129" s="288">
        <v>98.870728443510089</v>
      </c>
      <c r="O129" s="288">
        <v>7740.4366794895768</v>
      </c>
      <c r="P129" s="288">
        <v>2926.5895953757226</v>
      </c>
      <c r="Q129" s="288">
        <v>14769.863013698634</v>
      </c>
      <c r="R129" s="288">
        <v>97.940718002835311</v>
      </c>
      <c r="S129" s="288">
        <v>2269.342005963877</v>
      </c>
      <c r="T129" s="288">
        <v>536.86305732484095</v>
      </c>
      <c r="U129" s="288">
        <v>3835.5571847507335</v>
      </c>
      <c r="V129" s="288">
        <v>99.366891885445071</v>
      </c>
      <c r="W129" s="288">
        <v>99.03775873133344</v>
      </c>
      <c r="X129" s="288">
        <v>1.1934585319091227</v>
      </c>
      <c r="Y129" s="288">
        <v>99.366891885445071</v>
      </c>
      <c r="Z129" s="288">
        <v>99.03775873133344</v>
      </c>
      <c r="AA129" s="288">
        <v>1.1934585319091227</v>
      </c>
      <c r="AB129" s="288"/>
      <c r="AC129" s="288">
        <v>431.30595120137957</v>
      </c>
    </row>
    <row r="130" spans="1:29" x14ac:dyDescent="0.25">
      <c r="A130" s="287" t="s">
        <v>449</v>
      </c>
      <c r="B130" s="288">
        <v>98.239258958717528</v>
      </c>
      <c r="C130" s="288">
        <v>2.7569935568130104</v>
      </c>
      <c r="D130" s="288">
        <v>98.239258958717528</v>
      </c>
      <c r="E130" s="288">
        <v>2.7569935568130104</v>
      </c>
      <c r="F130" s="288">
        <v>99.321684657280358</v>
      </c>
      <c r="G130" s="288">
        <v>2.4742974362727677</v>
      </c>
      <c r="H130" s="288">
        <v>4072.0399429386594</v>
      </c>
      <c r="I130" s="288">
        <v>14691.206968063048</v>
      </c>
      <c r="J130" s="288">
        <v>97.581682618403434</v>
      </c>
      <c r="K130" s="288">
        <v>1.3505070322701467</v>
      </c>
      <c r="L130" s="288">
        <v>1570.6197854588795</v>
      </c>
      <c r="M130" s="288">
        <v>9660.8391608391612</v>
      </c>
      <c r="N130" s="288">
        <v>99.269943905515333</v>
      </c>
      <c r="O130" s="288">
        <v>16449.969363789347</v>
      </c>
      <c r="P130" s="288">
        <v>5470.916334661355</v>
      </c>
      <c r="Q130" s="288">
        <v>29748.218527315916</v>
      </c>
      <c r="R130" s="288">
        <v>98.913858092819623</v>
      </c>
      <c r="S130" s="288">
        <v>12126.301520557683</v>
      </c>
      <c r="T130" s="288">
        <v>2083.3333333333335</v>
      </c>
      <c r="U130" s="288">
        <v>22895.480225988696</v>
      </c>
      <c r="V130" s="288">
        <v>97.489068704417932</v>
      </c>
      <c r="W130" s="288">
        <v>98.761155686288248</v>
      </c>
      <c r="X130" s="288">
        <v>1.0673185277239223</v>
      </c>
      <c r="Y130" s="288">
        <v>97.489068704417932</v>
      </c>
      <c r="Z130" s="288">
        <v>98.761155686288248</v>
      </c>
      <c r="AA130" s="288">
        <v>1.0673185277239223</v>
      </c>
      <c r="AB130" s="288"/>
      <c r="AC130" s="288">
        <v>573.6050837188443</v>
      </c>
    </row>
    <row r="131" spans="1:29" x14ac:dyDescent="0.25">
      <c r="A131" s="287" t="s">
        <v>365</v>
      </c>
      <c r="B131" s="288">
        <v>90.441966129698471</v>
      </c>
      <c r="C131" s="288">
        <v>3.7387163675430015</v>
      </c>
      <c r="D131" s="288">
        <v>90.441966129698471</v>
      </c>
      <c r="E131" s="288">
        <v>3.7387163675430015</v>
      </c>
      <c r="F131" s="288">
        <v>96.893588896232657</v>
      </c>
      <c r="G131" s="288">
        <v>3.6499709165476788</v>
      </c>
      <c r="H131" s="288">
        <v>1448.616600790514</v>
      </c>
      <c r="I131" s="288">
        <v>12534.303534303534</v>
      </c>
      <c r="J131" s="288">
        <v>92.274535809018559</v>
      </c>
      <c r="K131" s="288">
        <v>2.3273407252368137</v>
      </c>
      <c r="L131" s="288">
        <v>674.50315075133301</v>
      </c>
      <c r="M131" s="288">
        <v>8257.374631268438</v>
      </c>
      <c r="N131" s="288">
        <v>96.996699669967001</v>
      </c>
      <c r="O131" s="288">
        <v>11969.037377228724</v>
      </c>
      <c r="P131" s="288">
        <v>1996.6032608695657</v>
      </c>
      <c r="Q131" s="288">
        <v>24628.342245989301</v>
      </c>
      <c r="R131" s="288">
        <v>93.51422898742554</v>
      </c>
      <c r="S131" s="288">
        <v>6757.549502893371</v>
      </c>
      <c r="T131" s="288">
        <v>743.68421052631584</v>
      </c>
      <c r="U131" s="288">
        <v>19072.519083969466</v>
      </c>
      <c r="V131" s="288">
        <v>98.442064977933896</v>
      </c>
      <c r="W131" s="288">
        <v>98.010714176780027</v>
      </c>
      <c r="X131" s="288">
        <v>1.2878977268652105</v>
      </c>
      <c r="Y131" s="288">
        <v>98.442064977933896</v>
      </c>
      <c r="Z131" s="288">
        <v>98.010714176780027</v>
      </c>
      <c r="AA131" s="288">
        <v>1.2878977268652105</v>
      </c>
      <c r="AB131" s="288">
        <v>0.67214339058999251</v>
      </c>
      <c r="AC131" s="288">
        <v>514.85714285714289</v>
      </c>
    </row>
    <row r="132" spans="1:29" x14ac:dyDescent="0.25">
      <c r="A132" s="287" t="s">
        <v>532</v>
      </c>
      <c r="B132" s="288">
        <v>90.441966129698471</v>
      </c>
      <c r="C132" s="288">
        <v>3.7387163675430015</v>
      </c>
      <c r="D132" s="288">
        <v>90.441966129698471</v>
      </c>
      <c r="E132" s="288">
        <v>3.7387163675430015</v>
      </c>
      <c r="F132" s="288">
        <v>96.893588896232657</v>
      </c>
      <c r="G132" s="288">
        <v>3.6499709165476788</v>
      </c>
      <c r="H132" s="288">
        <v>1448.616600790514</v>
      </c>
      <c r="I132" s="288">
        <v>12534.303534303534</v>
      </c>
      <c r="J132" s="288">
        <v>92.274535809018559</v>
      </c>
      <c r="K132" s="288">
        <v>2.3273407252368137</v>
      </c>
      <c r="L132" s="288">
        <v>674.50315075133301</v>
      </c>
      <c r="M132" s="288">
        <v>8257.374631268438</v>
      </c>
      <c r="N132" s="288">
        <v>96.996699669967001</v>
      </c>
      <c r="O132" s="288">
        <v>11969.037377228724</v>
      </c>
      <c r="P132" s="288">
        <v>1996.6032608695657</v>
      </c>
      <c r="Q132" s="288">
        <v>24628.342245989301</v>
      </c>
      <c r="R132" s="288">
        <v>93.51422898742554</v>
      </c>
      <c r="S132" s="288">
        <v>6757.549502893371</v>
      </c>
      <c r="T132" s="288">
        <v>743.68421052631584</v>
      </c>
      <c r="U132" s="288">
        <v>19072.519083969466</v>
      </c>
      <c r="V132" s="288">
        <v>98.442064977933896</v>
      </c>
      <c r="W132" s="288">
        <v>98.010714176780027</v>
      </c>
      <c r="X132" s="288">
        <v>1.2878977268652105</v>
      </c>
      <c r="Y132" s="288">
        <v>98.442064977933896</v>
      </c>
      <c r="Z132" s="288">
        <v>98.010714176780027</v>
      </c>
      <c r="AA132" s="288">
        <v>1.2878977268652105</v>
      </c>
      <c r="AB132" s="288">
        <v>0.67214339058999251</v>
      </c>
      <c r="AC132" s="288">
        <v>514.85714285714289</v>
      </c>
    </row>
    <row r="133" spans="1:29" x14ac:dyDescent="0.25">
      <c r="A133" s="287" t="s">
        <v>109</v>
      </c>
      <c r="B133" s="288">
        <v>96.983473968430133</v>
      </c>
      <c r="C133" s="288">
        <v>3.4534608634256516</v>
      </c>
      <c r="D133" s="288">
        <v>96.983473968430133</v>
      </c>
      <c r="E133" s="288">
        <v>3.4534608634256516</v>
      </c>
      <c r="F133" s="288">
        <v>99.360780278521133</v>
      </c>
      <c r="G133" s="288">
        <v>3.4757820682570593</v>
      </c>
      <c r="H133" s="288">
        <v>2923.4942384927899</v>
      </c>
      <c r="I133" s="288">
        <v>11780.140362760591</v>
      </c>
      <c r="J133" s="288">
        <v>94.228529267534242</v>
      </c>
      <c r="K133" s="288">
        <v>3.0029617110993025</v>
      </c>
      <c r="L133" s="288">
        <v>1023.8800522439062</v>
      </c>
      <c r="M133" s="288">
        <v>6136.7978985088703</v>
      </c>
      <c r="N133" s="288">
        <v>98.837755150482096</v>
      </c>
      <c r="O133" s="288">
        <v>12188.461312563248</v>
      </c>
      <c r="P133" s="288">
        <v>4170.6874462596752</v>
      </c>
      <c r="Q133" s="288">
        <v>22975.770709415348</v>
      </c>
      <c r="R133" s="288">
        <v>98.382317253579629</v>
      </c>
      <c r="S133" s="288">
        <v>7366.4425110777702</v>
      </c>
      <c r="T133" s="288">
        <v>1309.2718469960203</v>
      </c>
      <c r="U133" s="288">
        <v>13572.049211003639</v>
      </c>
      <c r="V133" s="288">
        <v>98.744978500032317</v>
      </c>
      <c r="W133" s="288">
        <v>99.218849383648106</v>
      </c>
      <c r="X133" s="288">
        <v>1.2024725311104412</v>
      </c>
      <c r="Y133" s="288">
        <v>98.744978500032317</v>
      </c>
      <c r="Z133" s="288">
        <v>99.218849383648106</v>
      </c>
      <c r="AA133" s="288">
        <v>1.2024725311104412</v>
      </c>
      <c r="AB133" s="288"/>
      <c r="AC133" s="288">
        <v>506.79377872490886</v>
      </c>
    </row>
    <row r="134" spans="1:29" x14ac:dyDescent="0.25">
      <c r="A134" s="287" t="s">
        <v>110</v>
      </c>
      <c r="B134" s="288">
        <v>95.462119300570265</v>
      </c>
      <c r="C134" s="288">
        <v>4.0693961365178515</v>
      </c>
      <c r="D134" s="288">
        <v>95.462119300570265</v>
      </c>
      <c r="E134" s="288">
        <v>4.0693961365178515</v>
      </c>
      <c r="F134" s="288">
        <v>99.467790624901909</v>
      </c>
      <c r="G134" s="288">
        <v>4.0763737719246036</v>
      </c>
      <c r="H134" s="288">
        <v>2592.6952141057923</v>
      </c>
      <c r="I134" s="288">
        <v>9688.7596899224754</v>
      </c>
      <c r="J134" s="288">
        <v>90.995391142012778</v>
      </c>
      <c r="K134" s="288">
        <v>4.499542169446582</v>
      </c>
      <c r="L134" s="288">
        <v>653.43468468468518</v>
      </c>
      <c r="M134" s="288">
        <v>3021.4757709251116</v>
      </c>
      <c r="N134" s="288">
        <v>98.633929154929433</v>
      </c>
      <c r="O134" s="288">
        <v>7837.5575374245964</v>
      </c>
      <c r="P134" s="288">
        <v>2813</v>
      </c>
      <c r="Q134" s="288">
        <v>14248.672566371681</v>
      </c>
      <c r="R134" s="288">
        <v>97.67007495852539</v>
      </c>
      <c r="S134" s="288">
        <v>2185.8223512834543</v>
      </c>
      <c r="T134" s="288">
        <v>516.91419141914218</v>
      </c>
      <c r="U134" s="288">
        <v>3798.2041587901717</v>
      </c>
      <c r="V134" s="288">
        <v>98.963515049476058</v>
      </c>
      <c r="W134" s="288">
        <v>98.957458276682914</v>
      </c>
      <c r="X134" s="288">
        <v>1.2792686341624366</v>
      </c>
      <c r="Y134" s="288">
        <v>98.963515049476058</v>
      </c>
      <c r="Z134" s="288">
        <v>98.957458276682914</v>
      </c>
      <c r="AA134" s="288">
        <v>1.2792686341624366</v>
      </c>
      <c r="AB134" s="288"/>
      <c r="AC134" s="288">
        <v>442.15334010405076</v>
      </c>
    </row>
    <row r="135" spans="1:29" x14ac:dyDescent="0.25">
      <c r="A135" s="287" t="s">
        <v>111</v>
      </c>
      <c r="B135" s="288">
        <v>98.504828636289986</v>
      </c>
      <c r="C135" s="288">
        <v>2.8375255903334518</v>
      </c>
      <c r="D135" s="288">
        <v>98.504828636289986</v>
      </c>
      <c r="E135" s="288">
        <v>2.8375255903334518</v>
      </c>
      <c r="F135" s="288">
        <v>99.253769932140358</v>
      </c>
      <c r="G135" s="288">
        <v>2.8751903645895154</v>
      </c>
      <c r="H135" s="288">
        <v>3254.293262879788</v>
      </c>
      <c r="I135" s="288">
        <v>13871.521035598706</v>
      </c>
      <c r="J135" s="288">
        <v>97.461667393055706</v>
      </c>
      <c r="K135" s="288">
        <v>1.5063812527520233</v>
      </c>
      <c r="L135" s="288">
        <v>1394.3254198031273</v>
      </c>
      <c r="M135" s="288">
        <v>9252.1200260926289</v>
      </c>
      <c r="N135" s="288">
        <v>99.041581146034758</v>
      </c>
      <c r="O135" s="288">
        <v>16539.365087701899</v>
      </c>
      <c r="P135" s="288">
        <v>5528.3748925193495</v>
      </c>
      <c r="Q135" s="288">
        <v>31702.868852459014</v>
      </c>
      <c r="R135" s="288">
        <v>99.094559548633868</v>
      </c>
      <c r="S135" s="288">
        <v>12547.062670872087</v>
      </c>
      <c r="T135" s="288">
        <v>2101.6295025728982</v>
      </c>
      <c r="U135" s="288">
        <v>23345.894263217106</v>
      </c>
      <c r="V135" s="288">
        <v>98.526441950588577</v>
      </c>
      <c r="W135" s="288">
        <v>99.480240490613298</v>
      </c>
      <c r="X135" s="288">
        <v>1.1256764280584455</v>
      </c>
      <c r="Y135" s="288">
        <v>98.526441950588577</v>
      </c>
      <c r="Z135" s="288">
        <v>99.480240490613298</v>
      </c>
      <c r="AA135" s="288">
        <v>1.1256764280584455</v>
      </c>
      <c r="AB135" s="288"/>
      <c r="AC135" s="288">
        <v>571.43421734576702</v>
      </c>
    </row>
    <row r="136" spans="1:29" x14ac:dyDescent="0.25">
      <c r="A136" s="70" t="s">
        <v>112</v>
      </c>
      <c r="B136" s="68">
        <v>96.476510067114106</v>
      </c>
      <c r="C136" s="68">
        <v>2.5103486769794499</v>
      </c>
      <c r="D136" s="68">
        <v>96.476510067114106</v>
      </c>
      <c r="E136" s="68">
        <v>2.5103486769794499</v>
      </c>
      <c r="F136" s="68">
        <v>98.417721518987307</v>
      </c>
      <c r="G136" s="68">
        <v>1.5107341053518499</v>
      </c>
      <c r="H136" s="68">
        <v>7707.0865999999996</v>
      </c>
      <c r="I136" s="68">
        <v>24486.914100000002</v>
      </c>
      <c r="J136" s="68">
        <v>97.124600638977597</v>
      </c>
      <c r="K136" s="68">
        <v>1.23758067356541</v>
      </c>
      <c r="L136" s="68">
        <v>1713.7406000000001</v>
      </c>
      <c r="M136" s="68">
        <v>9908.2173999999995</v>
      </c>
      <c r="N136" s="68">
        <v>98.3766233766234</v>
      </c>
      <c r="O136" s="68">
        <v>49009.806177650004</v>
      </c>
      <c r="P136" s="68">
        <v>10305.848</v>
      </c>
      <c r="Q136" s="68">
        <v>93186.676999999996</v>
      </c>
      <c r="R136" s="68">
        <v>97.315436241610698</v>
      </c>
      <c r="S136" s="68">
        <v>20430.108631189501</v>
      </c>
      <c r="T136" s="68">
        <v>1480.2550000000001</v>
      </c>
      <c r="U136" s="68">
        <v>42442.378199999999</v>
      </c>
      <c r="V136" s="68"/>
      <c r="W136" s="68"/>
      <c r="X136" s="68"/>
      <c r="Y136" s="68">
        <v>96.013289036544904</v>
      </c>
      <c r="Z136" s="68">
        <v>97.989846972318304</v>
      </c>
      <c r="AA136" s="68">
        <v>3.2099077500000002</v>
      </c>
      <c r="AB136" s="68">
        <v>96.885813148788898</v>
      </c>
      <c r="AC136" s="68">
        <v>707.79661016949206</v>
      </c>
    </row>
    <row r="137" spans="1:29" x14ac:dyDescent="0.25">
      <c r="A137" s="70" t="s">
        <v>533</v>
      </c>
      <c r="B137" s="68">
        <v>96.476510067114106</v>
      </c>
      <c r="C137" s="68">
        <v>2.5103486769794499</v>
      </c>
      <c r="D137" s="68">
        <v>96.476510067114106</v>
      </c>
      <c r="E137" s="68">
        <v>2.5103486769794499</v>
      </c>
      <c r="F137" s="68">
        <v>98.417721518987307</v>
      </c>
      <c r="G137" s="68">
        <v>1.5107341053518499</v>
      </c>
      <c r="H137" s="68">
        <v>7707.0865999999996</v>
      </c>
      <c r="I137" s="68">
        <v>24486.914100000002</v>
      </c>
      <c r="J137" s="68">
        <v>97.124600638977597</v>
      </c>
      <c r="K137" s="68">
        <v>1.23758067356541</v>
      </c>
      <c r="L137" s="68">
        <v>1713.7406000000001</v>
      </c>
      <c r="M137" s="68">
        <v>9908.2173999999995</v>
      </c>
      <c r="N137" s="68">
        <v>98.3766233766234</v>
      </c>
      <c r="O137" s="68">
        <v>49009.806177650004</v>
      </c>
      <c r="P137" s="68">
        <v>10305.848</v>
      </c>
      <c r="Q137" s="68">
        <v>93186.676999999996</v>
      </c>
      <c r="R137" s="68">
        <v>97.315436241610698</v>
      </c>
      <c r="S137" s="68">
        <v>20430.108631189501</v>
      </c>
      <c r="T137" s="68">
        <v>1480.2550000000001</v>
      </c>
      <c r="U137" s="68">
        <v>42442.378199999999</v>
      </c>
      <c r="V137" s="68"/>
      <c r="W137" s="68"/>
      <c r="X137" s="68"/>
      <c r="Y137" s="68">
        <v>96.013289036544904</v>
      </c>
      <c r="Z137" s="68">
        <v>97.989846972318304</v>
      </c>
      <c r="AA137" s="68">
        <v>3.2099077500000002</v>
      </c>
      <c r="AB137" s="68">
        <v>96.885813148788898</v>
      </c>
      <c r="AC137" s="68">
        <v>707.79661016949206</v>
      </c>
    </row>
    <row r="138" spans="1:29" x14ac:dyDescent="0.25">
      <c r="A138" s="70" t="s">
        <v>113</v>
      </c>
      <c r="B138" s="68">
        <v>94.731185454341301</v>
      </c>
      <c r="C138" s="68">
        <v>3.3953694521037701</v>
      </c>
      <c r="D138" s="68">
        <v>94.731185454341301</v>
      </c>
      <c r="E138" s="68">
        <v>3.3953694521037701</v>
      </c>
      <c r="F138" s="68">
        <v>98.173289516080004</v>
      </c>
      <c r="G138" s="68">
        <v>1.79219117381341</v>
      </c>
      <c r="H138" s="68">
        <v>6983.2821999999996</v>
      </c>
      <c r="I138" s="68">
        <v>19763.9931</v>
      </c>
      <c r="J138" s="68">
        <v>91.642189261281104</v>
      </c>
      <c r="K138" s="68">
        <v>1.7474699015458299</v>
      </c>
      <c r="L138" s="68">
        <v>1375.3405499999999</v>
      </c>
      <c r="M138" s="68">
        <v>7009.1439499999997</v>
      </c>
      <c r="N138" s="68">
        <v>97.206999083149597</v>
      </c>
      <c r="O138" s="68">
        <v>31703.741384761401</v>
      </c>
      <c r="P138" s="68">
        <v>10261.954400000001</v>
      </c>
      <c r="Q138" s="68">
        <v>59839.349349999997</v>
      </c>
      <c r="R138" s="68">
        <v>96.474450655987198</v>
      </c>
      <c r="S138" s="68">
        <v>11555.8040983056</v>
      </c>
      <c r="T138" s="68">
        <v>1290.5965000000001</v>
      </c>
      <c r="U138" s="68">
        <v>24073.28515</v>
      </c>
      <c r="V138" s="68"/>
      <c r="W138" s="68"/>
      <c r="X138" s="68"/>
      <c r="Y138" s="68">
        <v>93.780479401568599</v>
      </c>
      <c r="Z138" s="68">
        <v>95.649844266376505</v>
      </c>
      <c r="AA138" s="68">
        <v>3.6152041916338602</v>
      </c>
      <c r="AB138" s="68">
        <v>83.275123504728299</v>
      </c>
      <c r="AC138" s="68">
        <v>660.82527736059001</v>
      </c>
    </row>
    <row r="139" spans="1:29" x14ac:dyDescent="0.25">
      <c r="A139" s="70" t="s">
        <v>114</v>
      </c>
      <c r="B139" s="68">
        <v>91.043127786579404</v>
      </c>
      <c r="C139" s="68">
        <v>4.6524167420718303</v>
      </c>
      <c r="D139" s="68">
        <v>91.043127786579404</v>
      </c>
      <c r="E139" s="68">
        <v>4.6524167420718303</v>
      </c>
      <c r="F139" s="68">
        <v>97.066981286507399</v>
      </c>
      <c r="G139" s="68">
        <v>3.16759119980517</v>
      </c>
      <c r="H139" s="68">
        <v>3119.2570000000001</v>
      </c>
      <c r="I139" s="68">
        <v>12023.656000000001</v>
      </c>
      <c r="J139" s="68">
        <v>85.687863300950298</v>
      </c>
      <c r="K139" s="68">
        <v>4.2041042470516201</v>
      </c>
      <c r="L139" s="68">
        <v>854.20809999999994</v>
      </c>
      <c r="M139" s="68">
        <v>2863.8454999999999</v>
      </c>
      <c r="N139" s="68">
        <v>95.078256603707501</v>
      </c>
      <c r="O139" s="68">
        <v>10374.3447056363</v>
      </c>
      <c r="P139" s="68">
        <v>3624.7091999999998</v>
      </c>
      <c r="Q139" s="68">
        <v>17645.2588</v>
      </c>
      <c r="R139" s="68">
        <v>94.008520132511805</v>
      </c>
      <c r="S139" s="68">
        <v>2777.8285021982101</v>
      </c>
      <c r="T139" s="68">
        <v>542.30340000000001</v>
      </c>
      <c r="U139" s="68">
        <v>4694.1734999999999</v>
      </c>
      <c r="V139" s="68"/>
      <c r="W139" s="68"/>
      <c r="X139" s="68"/>
      <c r="Y139" s="68">
        <v>89.602793093694899</v>
      </c>
      <c r="Z139" s="68">
        <v>92.153429695464297</v>
      </c>
      <c r="AA139" s="68">
        <v>4.4472409880260804</v>
      </c>
      <c r="AB139" s="68">
        <v>68.126272294126096</v>
      </c>
      <c r="AC139" s="68">
        <v>606.03606503789604</v>
      </c>
    </row>
    <row r="140" spans="1:29" x14ac:dyDescent="0.25">
      <c r="A140" s="70" t="s">
        <v>115</v>
      </c>
      <c r="B140" s="68">
        <v>98.419243122103097</v>
      </c>
      <c r="C140" s="68">
        <v>2.13832216213572</v>
      </c>
      <c r="D140" s="68">
        <v>98.419243122103097</v>
      </c>
      <c r="E140" s="68">
        <v>2.13832216213572</v>
      </c>
      <c r="F140" s="68">
        <v>99.279597745652495</v>
      </c>
      <c r="G140" s="68">
        <v>1.2496015749059699</v>
      </c>
      <c r="H140" s="68">
        <v>10847.3074</v>
      </c>
      <c r="I140" s="68">
        <v>27504.3302</v>
      </c>
      <c r="J140" s="68">
        <v>97.596515221611796</v>
      </c>
      <c r="K140" s="68">
        <v>1.1029626118179401</v>
      </c>
      <c r="L140" s="68">
        <v>1896.473</v>
      </c>
      <c r="M140" s="68">
        <v>11154.4424</v>
      </c>
      <c r="N140" s="68">
        <v>99.335741562591593</v>
      </c>
      <c r="O140" s="68">
        <v>53033.138063886603</v>
      </c>
      <c r="P140" s="68">
        <v>16899.1996</v>
      </c>
      <c r="Q140" s="68">
        <v>102033.4399</v>
      </c>
      <c r="R140" s="68">
        <v>98.940381179462705</v>
      </c>
      <c r="S140" s="68">
        <v>20333.7796944129</v>
      </c>
      <c r="T140" s="68">
        <v>2038.8896</v>
      </c>
      <c r="U140" s="68">
        <v>43452.396800000002</v>
      </c>
      <c r="V140" s="68"/>
      <c r="W140" s="68"/>
      <c r="X140" s="68"/>
      <c r="Y140" s="68">
        <v>97.958165709442198</v>
      </c>
      <c r="Z140" s="68">
        <v>99.146258837288798</v>
      </c>
      <c r="AA140" s="68">
        <v>2.78316739524164</v>
      </c>
      <c r="AB140" s="68">
        <v>98.423974715330502</v>
      </c>
      <c r="AC140" s="68">
        <v>715.61448968328398</v>
      </c>
    </row>
    <row r="141" spans="1:29" x14ac:dyDescent="0.25">
      <c r="A141" s="70" t="s">
        <v>366</v>
      </c>
      <c r="B141" s="68">
        <v>96.476510067114106</v>
      </c>
      <c r="C141" s="68">
        <v>2.5103486769794499</v>
      </c>
      <c r="D141" s="68">
        <v>96.476510067114106</v>
      </c>
      <c r="E141" s="68">
        <v>2.5103486769794499</v>
      </c>
      <c r="F141" s="68">
        <v>98.417721518987307</v>
      </c>
      <c r="G141" s="68">
        <v>1.5107341053518499</v>
      </c>
      <c r="H141" s="68">
        <v>7707.0865999999996</v>
      </c>
      <c r="I141" s="68">
        <v>24486.914100000002</v>
      </c>
      <c r="J141" s="68">
        <v>97.124600638977597</v>
      </c>
      <c r="K141" s="68">
        <v>1.23758067356541</v>
      </c>
      <c r="L141" s="68">
        <v>1713.7406000000001</v>
      </c>
      <c r="M141" s="68">
        <v>9908.2173999999995</v>
      </c>
      <c r="N141" s="68">
        <v>98.3766233766234</v>
      </c>
      <c r="O141" s="68">
        <v>49009.806177650004</v>
      </c>
      <c r="P141" s="68">
        <v>10305.848</v>
      </c>
      <c r="Q141" s="68">
        <v>93186.676999999996</v>
      </c>
      <c r="R141" s="68">
        <v>97.315436241610698</v>
      </c>
      <c r="S141" s="68">
        <v>20430.108631189501</v>
      </c>
      <c r="T141" s="68">
        <v>1480.2550000000001</v>
      </c>
      <c r="U141" s="68">
        <v>42442.378199999999</v>
      </c>
      <c r="V141" s="68"/>
      <c r="W141" s="68"/>
      <c r="X141" s="68"/>
      <c r="Y141" s="68">
        <v>96.013289036544904</v>
      </c>
      <c r="Z141" s="68">
        <v>97.989846972318304</v>
      </c>
      <c r="AA141" s="68">
        <v>3.2099077500000002</v>
      </c>
      <c r="AB141" s="68">
        <v>96.885813148788898</v>
      </c>
      <c r="AC141" s="68">
        <v>707.79661016949206</v>
      </c>
    </row>
    <row r="142" spans="1:29" x14ac:dyDescent="0.25">
      <c r="A142" s="70" t="s">
        <v>534</v>
      </c>
      <c r="B142" s="68">
        <v>96.476510067114106</v>
      </c>
      <c r="C142" s="68">
        <v>2.5103486769794499</v>
      </c>
      <c r="D142" s="68">
        <v>96.476510067114106</v>
      </c>
      <c r="E142" s="68">
        <v>2.5103486769794499</v>
      </c>
      <c r="F142" s="68">
        <v>98.417721518987307</v>
      </c>
      <c r="G142" s="68">
        <v>1.5107341053518499</v>
      </c>
      <c r="H142" s="68">
        <v>7707.0865999999996</v>
      </c>
      <c r="I142" s="68">
        <v>24486.914100000002</v>
      </c>
      <c r="J142" s="68">
        <v>97.124600638977597</v>
      </c>
      <c r="K142" s="68">
        <v>1.23758067356541</v>
      </c>
      <c r="L142" s="68">
        <v>1713.7406000000001</v>
      </c>
      <c r="M142" s="68">
        <v>9908.2173999999995</v>
      </c>
      <c r="N142" s="68">
        <v>98.3766233766234</v>
      </c>
      <c r="O142" s="68">
        <v>49009.806177650004</v>
      </c>
      <c r="P142" s="68">
        <v>10305.848</v>
      </c>
      <c r="Q142" s="68">
        <v>93186.676999999996</v>
      </c>
      <c r="R142" s="68">
        <v>97.315436241610698</v>
      </c>
      <c r="S142" s="68">
        <v>20430.108631189501</v>
      </c>
      <c r="T142" s="68">
        <v>1480.2550000000001</v>
      </c>
      <c r="U142" s="68">
        <v>42442.378199999999</v>
      </c>
      <c r="V142" s="68"/>
      <c r="W142" s="68"/>
      <c r="X142" s="68"/>
      <c r="Y142" s="68">
        <v>96.013289036544904</v>
      </c>
      <c r="Z142" s="68">
        <v>97.989846972318304</v>
      </c>
      <c r="AA142" s="68">
        <v>3.2099077500000002</v>
      </c>
      <c r="AB142" s="68">
        <v>96.885813148788898</v>
      </c>
      <c r="AC142" s="68">
        <v>707.79661016949206</v>
      </c>
    </row>
    <row r="143" spans="1:29" x14ac:dyDescent="0.25">
      <c r="A143" s="70" t="s">
        <v>116</v>
      </c>
      <c r="B143" s="68">
        <v>94.081294321710004</v>
      </c>
      <c r="C143" s="68">
        <v>3.5520702374620998</v>
      </c>
      <c r="D143" s="68">
        <v>94.081294321710004</v>
      </c>
      <c r="E143" s="68">
        <v>3.5520702374620998</v>
      </c>
      <c r="F143" s="68">
        <v>96.607066382053205</v>
      </c>
      <c r="G143" s="68">
        <v>2.0622867678973398</v>
      </c>
      <c r="H143" s="68">
        <v>6622.0896000000002</v>
      </c>
      <c r="I143" s="68">
        <v>17633.785899999999</v>
      </c>
      <c r="J143" s="68">
        <v>87.461644310011707</v>
      </c>
      <c r="K143" s="68">
        <v>1.8898785750189699</v>
      </c>
      <c r="L143" s="68">
        <v>1324.18065</v>
      </c>
      <c r="M143" s="68">
        <v>6280.35725</v>
      </c>
      <c r="N143" s="68">
        <v>95.982328711691295</v>
      </c>
      <c r="O143" s="68">
        <v>31093.9307493868</v>
      </c>
      <c r="P143" s="68">
        <v>9872.9081999999999</v>
      </c>
      <c r="Q143" s="68">
        <v>57349.900500000003</v>
      </c>
      <c r="R143" s="68">
        <v>95.329549299400298</v>
      </c>
      <c r="S143" s="68">
        <v>10884.0726009064</v>
      </c>
      <c r="T143" s="68">
        <v>1338.5998999999999</v>
      </c>
      <c r="U143" s="68">
        <v>23847.997950000001</v>
      </c>
      <c r="V143" s="68"/>
      <c r="W143" s="68"/>
      <c r="X143" s="68"/>
      <c r="Y143" s="68">
        <v>96.030814217381305</v>
      </c>
      <c r="Z143" s="68">
        <v>93.252145235717094</v>
      </c>
      <c r="AA143" s="68">
        <v>3.84598534149116</v>
      </c>
      <c r="AB143" s="68">
        <v>39.876828926931204</v>
      </c>
      <c r="AC143" s="68">
        <v>548.42716907715999</v>
      </c>
    </row>
    <row r="144" spans="1:29" x14ac:dyDescent="0.25">
      <c r="A144" s="70" t="s">
        <v>117</v>
      </c>
      <c r="B144" s="68">
        <v>90.687625951310295</v>
      </c>
      <c r="C144" s="68">
        <v>4.7460079674218596</v>
      </c>
      <c r="D144" s="68">
        <v>90.687625951310295</v>
      </c>
      <c r="E144" s="68">
        <v>4.7460079674218596</v>
      </c>
      <c r="F144" s="68">
        <v>95.382524050177807</v>
      </c>
      <c r="G144" s="68">
        <v>3.4611770657816598</v>
      </c>
      <c r="H144" s="68">
        <v>2700.0308</v>
      </c>
      <c r="I144" s="68">
        <v>11231.705599999999</v>
      </c>
      <c r="J144" s="68">
        <v>77.247154351226499</v>
      </c>
      <c r="K144" s="68">
        <v>4.56880360976671</v>
      </c>
      <c r="L144" s="68">
        <v>724.8845</v>
      </c>
      <c r="M144" s="68">
        <v>2678.8407000000002</v>
      </c>
      <c r="N144" s="68">
        <v>94.633722243094994</v>
      </c>
      <c r="O144" s="68">
        <v>9585.6317684952392</v>
      </c>
      <c r="P144" s="68">
        <v>3548.8168000000001</v>
      </c>
      <c r="Q144" s="68">
        <v>16461.483800000002</v>
      </c>
      <c r="R144" s="68">
        <v>92.901116631113098</v>
      </c>
      <c r="S144" s="68">
        <v>2342.5393920648598</v>
      </c>
      <c r="T144" s="68">
        <v>321.98079999999999</v>
      </c>
      <c r="U144" s="68">
        <v>4446.9328999999998</v>
      </c>
      <c r="V144" s="68"/>
      <c r="W144" s="68"/>
      <c r="X144" s="68"/>
      <c r="Y144" s="68">
        <v>93.419473472200906</v>
      </c>
      <c r="Z144" s="68">
        <v>86.986929618594999</v>
      </c>
      <c r="AA144" s="68">
        <v>4.6049966119898</v>
      </c>
      <c r="AB144" s="68">
        <v>0</v>
      </c>
      <c r="AC144" s="68">
        <v>377.24251392958701</v>
      </c>
    </row>
    <row r="145" spans="1:29" x14ac:dyDescent="0.25">
      <c r="A145" s="70" t="s">
        <v>118</v>
      </c>
      <c r="B145" s="68">
        <v>97.4749626921096</v>
      </c>
      <c r="C145" s="68">
        <v>2.35813250750234</v>
      </c>
      <c r="D145" s="68">
        <v>97.4749626921096</v>
      </c>
      <c r="E145" s="68">
        <v>2.35813250750234</v>
      </c>
      <c r="F145" s="68">
        <v>97.831608713928603</v>
      </c>
      <c r="G145" s="68">
        <v>1.4686915077504299</v>
      </c>
      <c r="H145" s="68">
        <v>10544.1484</v>
      </c>
      <c r="I145" s="68">
        <v>24035.8662</v>
      </c>
      <c r="J145" s="68">
        <v>97.676134268796901</v>
      </c>
      <c r="K145" s="68">
        <v>1.1913365523283701</v>
      </c>
      <c r="L145" s="68">
        <v>1923.4767999999999</v>
      </c>
      <c r="M145" s="68">
        <v>9881.8737999999994</v>
      </c>
      <c r="N145" s="68">
        <v>97.330935180287597</v>
      </c>
      <c r="O145" s="68">
        <v>52602.229730278297</v>
      </c>
      <c r="P145" s="68">
        <v>16196.999599999999</v>
      </c>
      <c r="Q145" s="68">
        <v>98238.317200000005</v>
      </c>
      <c r="R145" s="68">
        <v>97.757981967687599</v>
      </c>
      <c r="S145" s="68">
        <v>19425.6058097479</v>
      </c>
      <c r="T145" s="68">
        <v>2355.2190000000001</v>
      </c>
      <c r="U145" s="68">
        <v>43249.063000000002</v>
      </c>
      <c r="V145" s="68"/>
      <c r="W145" s="68"/>
      <c r="X145" s="68"/>
      <c r="Y145" s="68">
        <v>98.642154962561705</v>
      </c>
      <c r="Z145" s="68">
        <v>99.517360852839204</v>
      </c>
      <c r="AA145" s="68">
        <v>3.08697407099252</v>
      </c>
      <c r="AB145" s="68">
        <v>78.086460216195903</v>
      </c>
      <c r="AC145" s="68">
        <v>712.454819509294</v>
      </c>
    </row>
    <row r="146" spans="1:29" x14ac:dyDescent="0.25">
      <c r="A146" s="70" t="s">
        <v>119</v>
      </c>
      <c r="B146" s="68">
        <v>81.801801801801801</v>
      </c>
      <c r="C146" s="68">
        <v>3.5237737470919899</v>
      </c>
      <c r="D146" s="68">
        <v>81.801801801801801</v>
      </c>
      <c r="E146" s="68">
        <v>3.5237737470919899</v>
      </c>
      <c r="F146" s="68">
        <v>94.463667820069205</v>
      </c>
      <c r="G146" s="68">
        <v>2.4756521906030802</v>
      </c>
      <c r="H146" s="68">
        <v>2042.4212</v>
      </c>
      <c r="I146" s="68">
        <v>22763.084800000001</v>
      </c>
      <c r="J146" s="68">
        <v>84.615384615384599</v>
      </c>
      <c r="K146" s="68">
        <v>1.8835699966413699</v>
      </c>
      <c r="L146" s="68">
        <v>834.85</v>
      </c>
      <c r="M146" s="68">
        <v>10191.601000000001</v>
      </c>
      <c r="N146" s="68">
        <v>94.265232974910404</v>
      </c>
      <c r="O146" s="68">
        <v>10073.164360185399</v>
      </c>
      <c r="P146" s="68">
        <v>1775.6017999999999</v>
      </c>
      <c r="Q146" s="68">
        <v>22229.3776</v>
      </c>
      <c r="R146" s="68">
        <v>87.545787545787505</v>
      </c>
      <c r="S146" s="68">
        <v>7591.7252900662897</v>
      </c>
      <c r="T146" s="68">
        <v>467.2056</v>
      </c>
      <c r="U146" s="68">
        <v>20247.240600000001</v>
      </c>
      <c r="V146" s="68"/>
      <c r="W146" s="68"/>
      <c r="X146" s="68"/>
      <c r="Y146" s="68">
        <v>79.197080291970806</v>
      </c>
      <c r="Z146" s="68">
        <v>86.486111290322597</v>
      </c>
      <c r="AA146" s="68">
        <v>5.0915235000000001</v>
      </c>
      <c r="AB146" s="68">
        <v>89.861751152073694</v>
      </c>
      <c r="AC146" s="68">
        <v>676.95652173913004</v>
      </c>
    </row>
    <row r="147" spans="1:29" x14ac:dyDescent="0.25">
      <c r="A147" s="70" t="s">
        <v>535</v>
      </c>
      <c r="B147" s="68">
        <v>81.801801801801801</v>
      </c>
      <c r="C147" s="68">
        <v>3.5237737470919899</v>
      </c>
      <c r="D147" s="68">
        <v>81.801801801801801</v>
      </c>
      <c r="E147" s="68">
        <v>3.5237737470919899</v>
      </c>
      <c r="F147" s="68">
        <v>94.463667820069205</v>
      </c>
      <c r="G147" s="68">
        <v>2.4756521906030802</v>
      </c>
      <c r="H147" s="68">
        <v>2042.4212</v>
      </c>
      <c r="I147" s="68">
        <v>22763.084800000001</v>
      </c>
      <c r="J147" s="68">
        <v>84.615384615384599</v>
      </c>
      <c r="K147" s="68">
        <v>1.8835699966413699</v>
      </c>
      <c r="L147" s="68">
        <v>834.85</v>
      </c>
      <c r="M147" s="68">
        <v>10191.601000000001</v>
      </c>
      <c r="N147" s="68">
        <v>94.265232974910404</v>
      </c>
      <c r="O147" s="68">
        <v>10073.164360185399</v>
      </c>
      <c r="P147" s="68">
        <v>1775.6017999999999</v>
      </c>
      <c r="Q147" s="68">
        <v>22229.3776</v>
      </c>
      <c r="R147" s="68">
        <v>87.545787545787505</v>
      </c>
      <c r="S147" s="68">
        <v>7591.7252900662897</v>
      </c>
      <c r="T147" s="68">
        <v>467.2056</v>
      </c>
      <c r="U147" s="68">
        <v>20247.240600000001</v>
      </c>
      <c r="V147" s="68"/>
      <c r="W147" s="68"/>
      <c r="X147" s="68"/>
      <c r="Y147" s="68">
        <v>79.197080291970806</v>
      </c>
      <c r="Z147" s="68">
        <v>86.486111290322597</v>
      </c>
      <c r="AA147" s="68">
        <v>5.0915235000000001</v>
      </c>
      <c r="AB147" s="68">
        <v>89.861751152073694</v>
      </c>
      <c r="AC147" s="68">
        <v>676.95652173913004</v>
      </c>
    </row>
    <row r="148" spans="1:29" x14ac:dyDescent="0.25">
      <c r="A148" s="70" t="s">
        <v>120</v>
      </c>
      <c r="B148" s="68">
        <v>90.143270413109207</v>
      </c>
      <c r="C148" s="68">
        <v>3.3867926718174801</v>
      </c>
      <c r="D148" s="68">
        <v>90.143270413109207</v>
      </c>
      <c r="E148" s="68">
        <v>3.3867926718174801</v>
      </c>
      <c r="F148" s="68">
        <v>95.995649457380395</v>
      </c>
      <c r="G148" s="68">
        <v>1.84257509520026</v>
      </c>
      <c r="H148" s="68">
        <v>3477.9018999999998</v>
      </c>
      <c r="I148" s="68">
        <v>25385.604200000002</v>
      </c>
      <c r="J148" s="68">
        <v>81.457089673860295</v>
      </c>
      <c r="K148" s="68">
        <v>1.6269850339181899</v>
      </c>
      <c r="L148" s="68">
        <v>996.88459999999998</v>
      </c>
      <c r="M148" s="68">
        <v>8407.6129999999994</v>
      </c>
      <c r="N148" s="68">
        <v>94.985103167223699</v>
      </c>
      <c r="O148" s="68">
        <v>16164.399449699</v>
      </c>
      <c r="P148" s="68">
        <v>3215.2672499999999</v>
      </c>
      <c r="Q148" s="68">
        <v>32857.712650000001</v>
      </c>
      <c r="R148" s="68">
        <v>94.775317301466899</v>
      </c>
      <c r="S148" s="68">
        <v>8985.0748773491305</v>
      </c>
      <c r="T148" s="68">
        <v>888.74104999999997</v>
      </c>
      <c r="U148" s="68">
        <v>17107.612649999999</v>
      </c>
      <c r="V148" s="68"/>
      <c r="W148" s="68"/>
      <c r="X148" s="68"/>
      <c r="Y148" s="68">
        <v>87.191075152695106</v>
      </c>
      <c r="Z148" s="68">
        <v>91.030478928955802</v>
      </c>
      <c r="AA148" s="68">
        <v>4.2335261621592704</v>
      </c>
      <c r="AB148" s="68">
        <v>78.110108816464702</v>
      </c>
      <c r="AC148" s="68">
        <v>641.95936089380905</v>
      </c>
    </row>
    <row r="149" spans="1:29" x14ac:dyDescent="0.25">
      <c r="A149" s="70" t="s">
        <v>121</v>
      </c>
      <c r="B149" s="68">
        <v>83.253931693770397</v>
      </c>
      <c r="C149" s="68">
        <v>4.2779354559071603</v>
      </c>
      <c r="D149" s="68">
        <v>83.253931693770397</v>
      </c>
      <c r="E149" s="68">
        <v>4.2779354559071603</v>
      </c>
      <c r="F149" s="68">
        <v>93.289631618263002</v>
      </c>
      <c r="G149" s="68">
        <v>3.2366331628921001</v>
      </c>
      <c r="H149" s="68">
        <v>1960.3454999999999</v>
      </c>
      <c r="I149" s="68">
        <v>13474.9985</v>
      </c>
      <c r="J149" s="68">
        <v>70.291348746803294</v>
      </c>
      <c r="K149" s="68">
        <v>5.2020291540716599</v>
      </c>
      <c r="L149" s="68">
        <v>689.9162</v>
      </c>
      <c r="M149" s="68">
        <v>2539.877</v>
      </c>
      <c r="N149" s="68">
        <v>93.157848019895496</v>
      </c>
      <c r="O149" s="68">
        <v>8484.2333534585396</v>
      </c>
      <c r="P149" s="68">
        <v>1916.0943</v>
      </c>
      <c r="Q149" s="68">
        <v>16220.885899999999</v>
      </c>
      <c r="R149" s="68">
        <v>91.798466397228694</v>
      </c>
      <c r="S149" s="68">
        <v>1628.1416941635</v>
      </c>
      <c r="T149" s="68">
        <v>157.01509999999999</v>
      </c>
      <c r="U149" s="68">
        <v>3234.1963000000001</v>
      </c>
      <c r="V149" s="68"/>
      <c r="W149" s="68"/>
      <c r="X149" s="68"/>
      <c r="Y149" s="68">
        <v>81.257048607282897</v>
      </c>
      <c r="Z149" s="68">
        <v>89.117908735279798</v>
      </c>
      <c r="AA149" s="68">
        <v>5.0368562165888902</v>
      </c>
      <c r="AB149" s="68">
        <v>65.409079244698404</v>
      </c>
      <c r="AC149" s="68">
        <v>596.62593017316601</v>
      </c>
    </row>
    <row r="150" spans="1:29" x14ac:dyDescent="0.25">
      <c r="A150" s="70" t="s">
        <v>122</v>
      </c>
      <c r="B150" s="68">
        <v>97.032609132448002</v>
      </c>
      <c r="C150" s="68">
        <v>2.4956498877277902</v>
      </c>
      <c r="D150" s="68">
        <v>97.032609132448002</v>
      </c>
      <c r="E150" s="68">
        <v>2.4956498877277902</v>
      </c>
      <c r="F150" s="68">
        <v>98.701667296497703</v>
      </c>
      <c r="G150" s="68">
        <v>1.28787244955052</v>
      </c>
      <c r="H150" s="68">
        <v>4995.4583000000002</v>
      </c>
      <c r="I150" s="68">
        <v>37296.209900000002</v>
      </c>
      <c r="J150" s="68">
        <v>92.622830600917396</v>
      </c>
      <c r="K150" s="68">
        <v>0.96428767486025802</v>
      </c>
      <c r="L150" s="68">
        <v>1303.8530000000001</v>
      </c>
      <c r="M150" s="68">
        <v>14275.349</v>
      </c>
      <c r="N150" s="68">
        <v>96.812358314551901</v>
      </c>
      <c r="O150" s="68">
        <v>23844.5655459394</v>
      </c>
      <c r="P150" s="68">
        <v>4514.4402</v>
      </c>
      <c r="Q150" s="68">
        <v>49494.539400000001</v>
      </c>
      <c r="R150" s="68">
        <v>97.752168205705104</v>
      </c>
      <c r="S150" s="68">
        <v>16342.008060534699</v>
      </c>
      <c r="T150" s="68">
        <v>1620.4670000000001</v>
      </c>
      <c r="U150" s="68">
        <v>30981.028999999999</v>
      </c>
      <c r="V150" s="68"/>
      <c r="W150" s="68"/>
      <c r="X150" s="68"/>
      <c r="Y150" s="68">
        <v>93.1251016981074</v>
      </c>
      <c r="Z150" s="68">
        <v>92.943049122631805</v>
      </c>
      <c r="AA150" s="68">
        <v>3.4301961077296599</v>
      </c>
      <c r="AB150" s="68">
        <v>90.8111383882311</v>
      </c>
      <c r="AC150" s="68">
        <v>687.29279161445197</v>
      </c>
    </row>
    <row r="151" spans="1:29" x14ac:dyDescent="0.25">
      <c r="A151" s="70" t="s">
        <v>367</v>
      </c>
      <c r="B151" s="68">
        <v>81.801801801801801</v>
      </c>
      <c r="C151" s="68">
        <v>3.5237737470919899</v>
      </c>
      <c r="D151" s="68">
        <v>81.801801801801801</v>
      </c>
      <c r="E151" s="68">
        <v>3.5237737470919899</v>
      </c>
      <c r="F151" s="68">
        <v>94.463667820069205</v>
      </c>
      <c r="G151" s="68">
        <v>2.4756521906030802</v>
      </c>
      <c r="H151" s="68">
        <v>2042.4212</v>
      </c>
      <c r="I151" s="68">
        <v>22763.084800000001</v>
      </c>
      <c r="J151" s="68">
        <v>84.615384615384599</v>
      </c>
      <c r="K151" s="68">
        <v>1.8835699966413699</v>
      </c>
      <c r="L151" s="68">
        <v>834.85</v>
      </c>
      <c r="M151" s="68">
        <v>10191.601000000001</v>
      </c>
      <c r="N151" s="68">
        <v>94.265232974910404</v>
      </c>
      <c r="O151" s="68">
        <v>10073.164360185399</v>
      </c>
      <c r="P151" s="68">
        <v>1775.6017999999999</v>
      </c>
      <c r="Q151" s="68">
        <v>22229.3776</v>
      </c>
      <c r="R151" s="68">
        <v>87.545787545787505</v>
      </c>
      <c r="S151" s="68">
        <v>7591.7252900662897</v>
      </c>
      <c r="T151" s="68">
        <v>467.2056</v>
      </c>
      <c r="U151" s="68">
        <v>20247.240600000001</v>
      </c>
      <c r="V151" s="68"/>
      <c r="W151" s="68"/>
      <c r="X151" s="68"/>
      <c r="Y151" s="68">
        <v>79.197080291970806</v>
      </c>
      <c r="Z151" s="68">
        <v>86.486111290322597</v>
      </c>
      <c r="AA151" s="68">
        <v>5.0915235000000001</v>
      </c>
      <c r="AB151" s="68">
        <v>89.861751152073694</v>
      </c>
      <c r="AC151" s="68">
        <v>676.95652173913004</v>
      </c>
    </row>
    <row r="152" spans="1:29" x14ac:dyDescent="0.25">
      <c r="A152" s="70" t="s">
        <v>536</v>
      </c>
      <c r="B152" s="68">
        <v>81.801801801801801</v>
      </c>
      <c r="C152" s="68">
        <v>3.5237737470919899</v>
      </c>
      <c r="D152" s="68">
        <v>81.801801801801801</v>
      </c>
      <c r="E152" s="68">
        <v>3.5237737470919899</v>
      </c>
      <c r="F152" s="68">
        <v>94.463667820069205</v>
      </c>
      <c r="G152" s="68">
        <v>2.4756521906030802</v>
      </c>
      <c r="H152" s="68">
        <v>2042.4212</v>
      </c>
      <c r="I152" s="68">
        <v>22763.084800000001</v>
      </c>
      <c r="J152" s="68">
        <v>84.615384615384599</v>
      </c>
      <c r="K152" s="68">
        <v>1.8835699966413699</v>
      </c>
      <c r="L152" s="68">
        <v>834.85</v>
      </c>
      <c r="M152" s="68">
        <v>10191.601000000001</v>
      </c>
      <c r="N152" s="68">
        <v>94.265232974910404</v>
      </c>
      <c r="O152" s="68">
        <v>10073.164360185399</v>
      </c>
      <c r="P152" s="68">
        <v>1775.6017999999999</v>
      </c>
      <c r="Q152" s="68">
        <v>22229.3776</v>
      </c>
      <c r="R152" s="68">
        <v>87.545787545787505</v>
      </c>
      <c r="S152" s="68">
        <v>7591.7252900662897</v>
      </c>
      <c r="T152" s="68">
        <v>467.2056</v>
      </c>
      <c r="U152" s="68">
        <v>20247.240600000001</v>
      </c>
      <c r="V152" s="68"/>
      <c r="W152" s="68"/>
      <c r="X152" s="68"/>
      <c r="Y152" s="68">
        <v>79.197080291970806</v>
      </c>
      <c r="Z152" s="68">
        <v>86.486111290322597</v>
      </c>
      <c r="AA152" s="68">
        <v>5.0915235000000001</v>
      </c>
      <c r="AB152" s="68">
        <v>89.861751152073694</v>
      </c>
      <c r="AC152" s="68">
        <v>676.95652173913004</v>
      </c>
    </row>
    <row r="153" spans="1:29" x14ac:dyDescent="0.25">
      <c r="A153" s="70" t="s">
        <v>123</v>
      </c>
      <c r="B153" s="68">
        <v>89.951131647483606</v>
      </c>
      <c r="C153" s="68">
        <v>3.4171502730081298</v>
      </c>
      <c r="D153" s="68">
        <v>89.951131647483606</v>
      </c>
      <c r="E153" s="68">
        <v>3.4171502730081298</v>
      </c>
      <c r="F153" s="68">
        <v>97.3209796719742</v>
      </c>
      <c r="G153" s="68">
        <v>2.0960778558814499</v>
      </c>
      <c r="H153" s="68">
        <v>3767.20795</v>
      </c>
      <c r="I153" s="68">
        <v>21414.227050000001</v>
      </c>
      <c r="J153" s="68">
        <v>80.258735973917595</v>
      </c>
      <c r="K153" s="68">
        <v>2.0151370631475598</v>
      </c>
      <c r="L153" s="68">
        <v>1026.3635999999999</v>
      </c>
      <c r="M153" s="68">
        <v>6859.6751000000004</v>
      </c>
      <c r="N153" s="68">
        <v>96.482480965956</v>
      </c>
      <c r="O153" s="68">
        <v>13551.2463073654</v>
      </c>
      <c r="P153" s="68">
        <v>3926.7716500000001</v>
      </c>
      <c r="Q153" s="68">
        <v>26238.1086</v>
      </c>
      <c r="R153" s="68">
        <v>94.798333371645398</v>
      </c>
      <c r="S153" s="68">
        <v>6579.3220888804799</v>
      </c>
      <c r="T153" s="68">
        <v>876.20735000000002</v>
      </c>
      <c r="U153" s="68">
        <v>13672.409900000001</v>
      </c>
      <c r="V153" s="68"/>
      <c r="W153" s="68"/>
      <c r="X153" s="68"/>
      <c r="Y153" s="68">
        <v>92.581978725698306</v>
      </c>
      <c r="Z153" s="68">
        <v>89.390484503747103</v>
      </c>
      <c r="AA153" s="68">
        <v>4.0507660799054204</v>
      </c>
      <c r="AB153" s="68">
        <v>37.131021142743897</v>
      </c>
      <c r="AC153" s="68">
        <v>536.90965778043096</v>
      </c>
    </row>
    <row r="154" spans="1:29" x14ac:dyDescent="0.25">
      <c r="A154" s="70" t="s">
        <v>124</v>
      </c>
      <c r="B154" s="68">
        <v>82.218315166341796</v>
      </c>
      <c r="C154" s="68">
        <v>4.2309735505031396</v>
      </c>
      <c r="D154" s="68">
        <v>82.218315166341796</v>
      </c>
      <c r="E154" s="68">
        <v>4.2309735505031396</v>
      </c>
      <c r="F154" s="68">
        <v>95.568022748921294</v>
      </c>
      <c r="G154" s="68">
        <v>3.3097125410956898</v>
      </c>
      <c r="H154" s="68">
        <v>2353.4166</v>
      </c>
      <c r="I154" s="68">
        <v>12487.7937</v>
      </c>
      <c r="J154" s="68">
        <v>67.568837989091094</v>
      </c>
      <c r="K154" s="68">
        <v>5.20195127658726</v>
      </c>
      <c r="L154" s="68">
        <v>768.19219999999996</v>
      </c>
      <c r="M154" s="68">
        <v>2661.2561999999998</v>
      </c>
      <c r="N154" s="68">
        <v>95.470983974188201</v>
      </c>
      <c r="O154" s="68">
        <v>8547.7145236249507</v>
      </c>
      <c r="P154" s="68">
        <v>2308.4569999999999</v>
      </c>
      <c r="Q154" s="68">
        <v>15852.642400000001</v>
      </c>
      <c r="R154" s="68">
        <v>91.309838135051095</v>
      </c>
      <c r="S154" s="68">
        <v>1543.17158451562</v>
      </c>
      <c r="T154" s="68">
        <v>164.65979999999999</v>
      </c>
      <c r="U154" s="68">
        <v>3135.7314000000001</v>
      </c>
      <c r="V154" s="68"/>
      <c r="W154" s="68"/>
      <c r="X154" s="68"/>
      <c r="Y154" s="68">
        <v>90.090716705140593</v>
      </c>
      <c r="Z154" s="68">
        <v>87.725048174133505</v>
      </c>
      <c r="AA154" s="68">
        <v>4.5338572581288803</v>
      </c>
      <c r="AB154" s="68">
        <v>0</v>
      </c>
      <c r="AC154" s="68">
        <v>374.88560782555697</v>
      </c>
    </row>
    <row r="155" spans="1:29" x14ac:dyDescent="0.25">
      <c r="A155" s="70" t="s">
        <v>125</v>
      </c>
      <c r="B155" s="68">
        <v>97.683948128625403</v>
      </c>
      <c r="C155" s="68">
        <v>2.6033269955131102</v>
      </c>
      <c r="D155" s="68">
        <v>97.683948128625403</v>
      </c>
      <c r="E155" s="68">
        <v>2.6033269955131102</v>
      </c>
      <c r="F155" s="68">
        <v>99.073936595027106</v>
      </c>
      <c r="G155" s="68">
        <v>1.53369060999176</v>
      </c>
      <c r="H155" s="68">
        <v>5180.9993000000004</v>
      </c>
      <c r="I155" s="68">
        <v>30340.660400000001</v>
      </c>
      <c r="J155" s="68">
        <v>92.948633958744196</v>
      </c>
      <c r="K155" s="68">
        <v>1.2496051809531601</v>
      </c>
      <c r="L155" s="68">
        <v>1284.5350000000001</v>
      </c>
      <c r="M155" s="68">
        <v>11058.093999999999</v>
      </c>
      <c r="N155" s="68">
        <v>97.4939779577238</v>
      </c>
      <c r="O155" s="68">
        <v>18554.7780911058</v>
      </c>
      <c r="P155" s="68">
        <v>5545.0862999999999</v>
      </c>
      <c r="Q155" s="68">
        <v>36623.574800000002</v>
      </c>
      <c r="R155" s="68">
        <v>98.286828608239702</v>
      </c>
      <c r="S155" s="68">
        <v>11615.4725932453</v>
      </c>
      <c r="T155" s="68">
        <v>1587.7548999999999</v>
      </c>
      <c r="U155" s="68">
        <v>24209.088400000001</v>
      </c>
      <c r="V155" s="68"/>
      <c r="W155" s="68"/>
      <c r="X155" s="68"/>
      <c r="Y155" s="68">
        <v>95.073240746255905</v>
      </c>
      <c r="Z155" s="68">
        <v>91.055920833360602</v>
      </c>
      <c r="AA155" s="68">
        <v>3.56767490168196</v>
      </c>
      <c r="AB155" s="68">
        <v>72.709643250781198</v>
      </c>
      <c r="AC155" s="68">
        <v>692.15969584421703</v>
      </c>
    </row>
    <row r="156" spans="1:29" x14ac:dyDescent="0.25">
      <c r="A156" s="70" t="s">
        <v>126</v>
      </c>
      <c r="B156" s="68">
        <v>70.599999999999994</v>
      </c>
      <c r="C156" s="68">
        <v>3.4279083897764702</v>
      </c>
      <c r="D156" s="68">
        <v>70.599999999999994</v>
      </c>
      <c r="E156" s="68">
        <v>3.4279083897764702</v>
      </c>
      <c r="F156" s="68">
        <v>75.769230769230802</v>
      </c>
      <c r="G156" s="68">
        <v>2.5634671162284399</v>
      </c>
      <c r="H156" s="68">
        <v>1009.4734999999999</v>
      </c>
      <c r="I156" s="68">
        <v>25010.492999999999</v>
      </c>
      <c r="J156" s="68">
        <v>61.478599221789899</v>
      </c>
      <c r="K156" s="68">
        <v>1.5840096763481</v>
      </c>
      <c r="L156" s="68">
        <v>666.65300000000002</v>
      </c>
      <c r="M156" s="68">
        <v>11901.8145</v>
      </c>
      <c r="N156" s="68">
        <v>80.952380952381006</v>
      </c>
      <c r="O156" s="68">
        <v>9736.1325078502905</v>
      </c>
      <c r="P156" s="68">
        <v>1114.4764</v>
      </c>
      <c r="Q156" s="68">
        <v>26231.391</v>
      </c>
      <c r="R156" s="68">
        <v>81.048387096774206</v>
      </c>
      <c r="S156" s="68">
        <v>6026.5673906676402</v>
      </c>
      <c r="T156" s="68">
        <v>176.3922</v>
      </c>
      <c r="U156" s="68">
        <v>20989.7634</v>
      </c>
      <c r="V156" s="68"/>
      <c r="W156" s="68"/>
      <c r="X156" s="68"/>
      <c r="Y156" s="68">
        <v>59.760956175298801</v>
      </c>
      <c r="Z156" s="68">
        <v>95.790217666666706</v>
      </c>
      <c r="AA156" s="68">
        <v>4.1961297499999999</v>
      </c>
      <c r="AB156" s="68">
        <v>96</v>
      </c>
      <c r="AC156" s="68">
        <v>709.41176470588198</v>
      </c>
    </row>
    <row r="157" spans="1:29" x14ac:dyDescent="0.25">
      <c r="A157" s="70" t="s">
        <v>537</v>
      </c>
      <c r="B157" s="68">
        <v>70.599999999999994</v>
      </c>
      <c r="C157" s="68">
        <v>3.4279083897764702</v>
      </c>
      <c r="D157" s="68">
        <v>70.599999999999994</v>
      </c>
      <c r="E157" s="68">
        <v>3.4279083897764702</v>
      </c>
      <c r="F157" s="68">
        <v>75.769230769230802</v>
      </c>
      <c r="G157" s="68">
        <v>2.5634671162284399</v>
      </c>
      <c r="H157" s="68">
        <v>1009.4734999999999</v>
      </c>
      <c r="I157" s="68">
        <v>25010.492999999999</v>
      </c>
      <c r="J157" s="68">
        <v>61.478599221789899</v>
      </c>
      <c r="K157" s="68">
        <v>1.5840096763481</v>
      </c>
      <c r="L157" s="68">
        <v>666.65300000000002</v>
      </c>
      <c r="M157" s="68">
        <v>11901.8145</v>
      </c>
      <c r="N157" s="68">
        <v>80.952380952381006</v>
      </c>
      <c r="O157" s="68">
        <v>9736.1325078502905</v>
      </c>
      <c r="P157" s="68">
        <v>1114.4764</v>
      </c>
      <c r="Q157" s="68">
        <v>26231.391</v>
      </c>
      <c r="R157" s="68">
        <v>81.048387096774206</v>
      </c>
      <c r="S157" s="68">
        <v>6026.5673906676402</v>
      </c>
      <c r="T157" s="68">
        <v>176.3922</v>
      </c>
      <c r="U157" s="68">
        <v>20989.7634</v>
      </c>
      <c r="V157" s="68"/>
      <c r="W157" s="68"/>
      <c r="X157" s="68"/>
      <c r="Y157" s="68">
        <v>59.760956175298801</v>
      </c>
      <c r="Z157" s="68">
        <v>95.790217666666706</v>
      </c>
      <c r="AA157" s="68">
        <v>4.1961297499999999</v>
      </c>
      <c r="AB157" s="68">
        <v>96</v>
      </c>
      <c r="AC157" s="68">
        <v>709.41176470588198</v>
      </c>
    </row>
    <row r="158" spans="1:29" x14ac:dyDescent="0.25">
      <c r="A158" s="70" t="s">
        <v>127</v>
      </c>
      <c r="B158" s="68">
        <v>91.787647731236504</v>
      </c>
      <c r="C158" s="68">
        <v>3.2373233717671202</v>
      </c>
      <c r="D158" s="68">
        <v>91.787647731236504</v>
      </c>
      <c r="E158" s="68">
        <v>3.2373233717671202</v>
      </c>
      <c r="F158" s="68">
        <v>94.853745345293504</v>
      </c>
      <c r="G158" s="68">
        <v>2.4217954962396102</v>
      </c>
      <c r="H158" s="68">
        <v>2388.7177999999999</v>
      </c>
      <c r="I158" s="68">
        <v>20912.486099999998</v>
      </c>
      <c r="J158" s="68">
        <v>87.920652172324495</v>
      </c>
      <c r="K158" s="68">
        <v>1.8786492711387599</v>
      </c>
      <c r="L158" s="68">
        <v>1037.2768000000001</v>
      </c>
      <c r="M158" s="68">
        <v>7685.8150999999998</v>
      </c>
      <c r="N158" s="68">
        <v>95.532664103022995</v>
      </c>
      <c r="O158" s="68">
        <v>11991.8200249321</v>
      </c>
      <c r="P158" s="68">
        <v>2641.0871000000002</v>
      </c>
      <c r="Q158" s="68">
        <v>22884.769649999998</v>
      </c>
      <c r="R158" s="68">
        <v>95.799911352356403</v>
      </c>
      <c r="S158" s="68">
        <v>6071.7216809346801</v>
      </c>
      <c r="T158" s="68">
        <v>616.85199999999998</v>
      </c>
      <c r="U158" s="68">
        <v>12404.927600000001</v>
      </c>
      <c r="V158" s="68"/>
      <c r="W158" s="68"/>
      <c r="X158" s="68"/>
      <c r="Y158" s="68">
        <v>88.6141777172095</v>
      </c>
      <c r="Z158" s="68">
        <v>88.297584778894603</v>
      </c>
      <c r="AA158" s="68">
        <v>4.5563550302739504</v>
      </c>
      <c r="AB158" s="68">
        <v>82.174724495553406</v>
      </c>
      <c r="AC158" s="68">
        <v>656.54146936636198</v>
      </c>
    </row>
    <row r="159" spans="1:29" x14ac:dyDescent="0.25">
      <c r="A159" s="70" t="s">
        <v>128</v>
      </c>
      <c r="B159" s="68">
        <v>86.446651196863399</v>
      </c>
      <c r="C159" s="68">
        <v>4.2809234089990902</v>
      </c>
      <c r="D159" s="68">
        <v>86.446651196863399</v>
      </c>
      <c r="E159" s="68">
        <v>4.2809234089990902</v>
      </c>
      <c r="F159" s="68">
        <v>91.500515493915003</v>
      </c>
      <c r="G159" s="68">
        <v>3.5136062751575001</v>
      </c>
      <c r="H159" s="68">
        <v>1967.7298000000001</v>
      </c>
      <c r="I159" s="68">
        <v>13534.2006</v>
      </c>
      <c r="J159" s="68">
        <v>81.576277934078803</v>
      </c>
      <c r="K159" s="68">
        <v>5.0993899983297002</v>
      </c>
      <c r="L159" s="68">
        <v>789.83600000000001</v>
      </c>
      <c r="M159" s="68">
        <v>2624.1909999999998</v>
      </c>
      <c r="N159" s="68">
        <v>92.633952114201406</v>
      </c>
      <c r="O159" s="68">
        <v>9285.7209738803194</v>
      </c>
      <c r="P159" s="68">
        <v>1988.91</v>
      </c>
      <c r="Q159" s="68">
        <v>17014.012500000001</v>
      </c>
      <c r="R159" s="68">
        <v>92.784350531650105</v>
      </c>
      <c r="S159" s="68">
        <v>2000.5003355394899</v>
      </c>
      <c r="T159" s="68">
        <v>247.58240000000001</v>
      </c>
      <c r="U159" s="68">
        <v>3658.8033999999998</v>
      </c>
      <c r="V159" s="68"/>
      <c r="W159" s="68"/>
      <c r="X159" s="68"/>
      <c r="Y159" s="68">
        <v>84.100139784633399</v>
      </c>
      <c r="Z159" s="68">
        <v>92.155430800661406</v>
      </c>
      <c r="AA159" s="68">
        <v>5.6537312492314404</v>
      </c>
      <c r="AB159" s="68">
        <v>67.723363205019297</v>
      </c>
      <c r="AC159" s="68">
        <v>604.27614272884205</v>
      </c>
    </row>
    <row r="160" spans="1:29" x14ac:dyDescent="0.25">
      <c r="A160" s="70" t="s">
        <v>129</v>
      </c>
      <c r="B160" s="68">
        <v>97.128644265609594</v>
      </c>
      <c r="C160" s="68">
        <v>2.1937233345351501</v>
      </c>
      <c r="D160" s="68">
        <v>97.128644265609594</v>
      </c>
      <c r="E160" s="68">
        <v>2.1937233345351501</v>
      </c>
      <c r="F160" s="68">
        <v>98.206975196671905</v>
      </c>
      <c r="G160" s="68">
        <v>1.84765804113348</v>
      </c>
      <c r="H160" s="68">
        <v>2809.7058000000002</v>
      </c>
      <c r="I160" s="68">
        <v>28290.7716</v>
      </c>
      <c r="J160" s="68">
        <v>94.2650264105703</v>
      </c>
      <c r="K160" s="68">
        <v>1.1514200461093</v>
      </c>
      <c r="L160" s="68">
        <v>1284.7175999999999</v>
      </c>
      <c r="M160" s="68">
        <v>12747.439200000001</v>
      </c>
      <c r="N160" s="68">
        <v>98.431376091844598</v>
      </c>
      <c r="O160" s="68">
        <v>14697.9190759838</v>
      </c>
      <c r="P160" s="68">
        <v>3293.2642000000001</v>
      </c>
      <c r="Q160" s="68">
        <v>28755.5268</v>
      </c>
      <c r="R160" s="68">
        <v>98.815472173062602</v>
      </c>
      <c r="S160" s="68">
        <v>10142.9430263299</v>
      </c>
      <c r="T160" s="68">
        <v>986.12159999999994</v>
      </c>
      <c r="U160" s="68">
        <v>21151.051800000001</v>
      </c>
      <c r="V160" s="68"/>
      <c r="W160" s="68"/>
      <c r="X160" s="68"/>
      <c r="Y160" s="68">
        <v>93.128215649785602</v>
      </c>
      <c r="Z160" s="68">
        <v>84.439738757127699</v>
      </c>
      <c r="AA160" s="68">
        <v>3.4589788113164599</v>
      </c>
      <c r="AB160" s="68">
        <v>96.626085786087501</v>
      </c>
      <c r="AC160" s="68">
        <v>708.80679600388203</v>
      </c>
    </row>
    <row r="161" spans="1:29" x14ac:dyDescent="0.25">
      <c r="A161" s="70" t="s">
        <v>368</v>
      </c>
      <c r="B161" s="68">
        <v>70.599999999999994</v>
      </c>
      <c r="C161" s="68">
        <v>3.4279083897764702</v>
      </c>
      <c r="D161" s="68">
        <v>70.599999999999994</v>
      </c>
      <c r="E161" s="68">
        <v>3.4279083897764702</v>
      </c>
      <c r="F161" s="68">
        <v>75.769230769230802</v>
      </c>
      <c r="G161" s="68">
        <v>2.5634671162284399</v>
      </c>
      <c r="H161" s="68">
        <v>1009.4734999999999</v>
      </c>
      <c r="I161" s="68">
        <v>25010.492999999999</v>
      </c>
      <c r="J161" s="68">
        <v>61.478599221789899</v>
      </c>
      <c r="K161" s="68">
        <v>1.5840096763481</v>
      </c>
      <c r="L161" s="68">
        <v>666.65300000000002</v>
      </c>
      <c r="M161" s="68">
        <v>11901.8145</v>
      </c>
      <c r="N161" s="68">
        <v>80.952380952381006</v>
      </c>
      <c r="O161" s="68">
        <v>9736.1325078502905</v>
      </c>
      <c r="P161" s="68">
        <v>1114.4764</v>
      </c>
      <c r="Q161" s="68">
        <v>26231.391</v>
      </c>
      <c r="R161" s="68">
        <v>81.048387096774206</v>
      </c>
      <c r="S161" s="68">
        <v>6026.5673906676402</v>
      </c>
      <c r="T161" s="68">
        <v>176.3922</v>
      </c>
      <c r="U161" s="68">
        <v>20989.7634</v>
      </c>
      <c r="V161" s="68"/>
      <c r="W161" s="68"/>
      <c r="X161" s="68"/>
      <c r="Y161" s="68">
        <v>59.760956175298801</v>
      </c>
      <c r="Z161" s="68">
        <v>95.790217666666706</v>
      </c>
      <c r="AA161" s="68">
        <v>4.1961297499999999</v>
      </c>
      <c r="AB161" s="68">
        <v>96</v>
      </c>
      <c r="AC161" s="68">
        <v>709.41176470588198</v>
      </c>
    </row>
    <row r="162" spans="1:29" x14ac:dyDescent="0.25">
      <c r="A162" s="70" t="s">
        <v>538</v>
      </c>
      <c r="B162" s="68">
        <v>70.599999999999994</v>
      </c>
      <c r="C162" s="68">
        <v>3.4279083897764702</v>
      </c>
      <c r="D162" s="68">
        <v>70.599999999999994</v>
      </c>
      <c r="E162" s="68">
        <v>3.4279083897764702</v>
      </c>
      <c r="F162" s="68">
        <v>75.769230769230802</v>
      </c>
      <c r="G162" s="68">
        <v>2.5634671162284399</v>
      </c>
      <c r="H162" s="68">
        <v>1009.4734999999999</v>
      </c>
      <c r="I162" s="68">
        <v>25010.492999999999</v>
      </c>
      <c r="J162" s="68">
        <v>61.478599221789899</v>
      </c>
      <c r="K162" s="68">
        <v>1.5840096763481</v>
      </c>
      <c r="L162" s="68">
        <v>666.65300000000002</v>
      </c>
      <c r="M162" s="68">
        <v>11901.8145</v>
      </c>
      <c r="N162" s="68">
        <v>80.952380952381006</v>
      </c>
      <c r="O162" s="68">
        <v>9736.1325078502905</v>
      </c>
      <c r="P162" s="68">
        <v>1114.4764</v>
      </c>
      <c r="Q162" s="68">
        <v>26231.391</v>
      </c>
      <c r="R162" s="68">
        <v>81.048387096774206</v>
      </c>
      <c r="S162" s="68">
        <v>6026.5673906676402</v>
      </c>
      <c r="T162" s="68">
        <v>176.3922</v>
      </c>
      <c r="U162" s="68">
        <v>20989.7634</v>
      </c>
      <c r="V162" s="68"/>
      <c r="W162" s="68"/>
      <c r="X162" s="68"/>
      <c r="Y162" s="68">
        <v>59.760956175298801</v>
      </c>
      <c r="Z162" s="68">
        <v>95.790217666666706</v>
      </c>
      <c r="AA162" s="68">
        <v>4.1961297499999999</v>
      </c>
      <c r="AB162" s="68">
        <v>96</v>
      </c>
      <c r="AC162" s="68">
        <v>709.41176470588198</v>
      </c>
    </row>
    <row r="163" spans="1:29" x14ac:dyDescent="0.25">
      <c r="A163" s="70" t="s">
        <v>130</v>
      </c>
      <c r="B163" s="68">
        <v>76.239544974679504</v>
      </c>
      <c r="C163" s="68">
        <v>4.3580124320600904</v>
      </c>
      <c r="D163" s="68">
        <v>76.239544974679504</v>
      </c>
      <c r="E163" s="68">
        <v>4.3580124320600904</v>
      </c>
      <c r="F163" s="68">
        <v>82.894830918687305</v>
      </c>
      <c r="G163" s="68">
        <v>4.1082720159150403</v>
      </c>
      <c r="H163" s="68">
        <v>855.49170000000004</v>
      </c>
      <c r="I163" s="68">
        <v>16407.373599999999</v>
      </c>
      <c r="J163" s="68">
        <v>63.257467651087801</v>
      </c>
      <c r="K163" s="68">
        <v>3.3379979833522802</v>
      </c>
      <c r="L163" s="68">
        <v>688.38220000000001</v>
      </c>
      <c r="M163" s="68">
        <v>6809.2655999999997</v>
      </c>
      <c r="N163" s="68">
        <v>88.693742966637998</v>
      </c>
      <c r="O163" s="68">
        <v>7740.0163820623202</v>
      </c>
      <c r="P163" s="68">
        <v>712.60519999999997</v>
      </c>
      <c r="Q163" s="68">
        <v>18938.372299999999</v>
      </c>
      <c r="R163" s="68">
        <v>89.072541886690402</v>
      </c>
      <c r="S163" s="68">
        <v>3588.9048700838798</v>
      </c>
      <c r="T163" s="68">
        <v>148.2139</v>
      </c>
      <c r="U163" s="68">
        <v>11354.14435</v>
      </c>
      <c r="V163" s="68"/>
      <c r="W163" s="68"/>
      <c r="X163" s="68"/>
      <c r="Y163" s="68">
        <v>72.463325491974302</v>
      </c>
      <c r="Z163" s="68">
        <v>79.631702610632303</v>
      </c>
      <c r="AA163" s="68">
        <v>5.7510623467762301</v>
      </c>
      <c r="AB163" s="68">
        <v>17.464082553713599</v>
      </c>
      <c r="AC163" s="68">
        <v>467.81338032862999</v>
      </c>
    </row>
    <row r="164" spans="1:29" x14ac:dyDescent="0.25">
      <c r="A164" s="70" t="s">
        <v>131</v>
      </c>
      <c r="B164" s="68">
        <v>72.4765421854583</v>
      </c>
      <c r="C164" s="68">
        <v>4.7994794160543801</v>
      </c>
      <c r="D164" s="68">
        <v>72.4765421854583</v>
      </c>
      <c r="E164" s="68">
        <v>4.7994794160543801</v>
      </c>
      <c r="F164" s="68">
        <v>79.747595794737407</v>
      </c>
      <c r="G164" s="68">
        <v>5.7903524934747299</v>
      </c>
      <c r="H164" s="68">
        <v>821.10339999999997</v>
      </c>
      <c r="I164" s="68">
        <v>10510.369199999999</v>
      </c>
      <c r="J164" s="68">
        <v>57.620133240260003</v>
      </c>
      <c r="K164" s="68">
        <v>6.0582298412543301</v>
      </c>
      <c r="L164" s="68">
        <v>725.58659999999998</v>
      </c>
      <c r="M164" s="68">
        <v>2845.3620000000001</v>
      </c>
      <c r="N164" s="68">
        <v>86.480942921335</v>
      </c>
      <c r="O164" s="68">
        <v>6402.5665194511303</v>
      </c>
      <c r="P164" s="68">
        <v>636.80380000000002</v>
      </c>
      <c r="Q164" s="68">
        <v>14405.334999999999</v>
      </c>
      <c r="R164" s="68">
        <v>85.911034418628105</v>
      </c>
      <c r="S164" s="68">
        <v>1587.1513188573299</v>
      </c>
      <c r="T164" s="68">
        <v>138.03399999999999</v>
      </c>
      <c r="U164" s="68">
        <v>3718.1205</v>
      </c>
      <c r="V164" s="68"/>
      <c r="W164" s="68"/>
      <c r="X164" s="68"/>
      <c r="Y164" s="68">
        <v>70.343794512116901</v>
      </c>
      <c r="Z164" s="68">
        <v>80.518439633805997</v>
      </c>
      <c r="AA164" s="68">
        <v>5.8452344668170504</v>
      </c>
      <c r="AB164" s="68">
        <v>0</v>
      </c>
      <c r="AC164" s="68">
        <v>378.66710401570703</v>
      </c>
    </row>
    <row r="165" spans="1:29" x14ac:dyDescent="0.25">
      <c r="A165" s="70" t="s">
        <v>132</v>
      </c>
      <c r="B165" s="68">
        <v>80.002547763900694</v>
      </c>
      <c r="C165" s="68">
        <v>3.91654544806579</v>
      </c>
      <c r="D165" s="68">
        <v>80.002547763900694</v>
      </c>
      <c r="E165" s="68">
        <v>3.91654544806579</v>
      </c>
      <c r="F165" s="68">
        <v>86.042066042637202</v>
      </c>
      <c r="G165" s="68">
        <v>3.1834802939601499</v>
      </c>
      <c r="H165" s="68">
        <v>889.88</v>
      </c>
      <c r="I165" s="68">
        <v>22304.378000000001</v>
      </c>
      <c r="J165" s="68">
        <v>68.894802061915698</v>
      </c>
      <c r="K165" s="68">
        <v>2.3036335619867101</v>
      </c>
      <c r="L165" s="68">
        <v>651.17780000000005</v>
      </c>
      <c r="M165" s="68">
        <v>10773.1692</v>
      </c>
      <c r="N165" s="68">
        <v>90.906543011940897</v>
      </c>
      <c r="O165" s="68">
        <v>9077.4662446735001</v>
      </c>
      <c r="P165" s="68">
        <v>788.40660000000003</v>
      </c>
      <c r="Q165" s="68">
        <v>23471.409599999999</v>
      </c>
      <c r="R165" s="68">
        <v>92.234049354752599</v>
      </c>
      <c r="S165" s="68">
        <v>5590.6584213104297</v>
      </c>
      <c r="T165" s="68">
        <v>158.3938</v>
      </c>
      <c r="U165" s="68">
        <v>18990.1682</v>
      </c>
      <c r="V165" s="68"/>
      <c r="W165" s="68"/>
      <c r="X165" s="68"/>
      <c r="Y165" s="68">
        <v>74.582856471831803</v>
      </c>
      <c r="Z165" s="68">
        <v>78.744965587458694</v>
      </c>
      <c r="AA165" s="68">
        <v>5.6568902267354</v>
      </c>
      <c r="AB165" s="68">
        <v>34.198014843199402</v>
      </c>
      <c r="AC165" s="68">
        <v>553.23256837312499</v>
      </c>
    </row>
    <row r="166" spans="1:29" x14ac:dyDescent="0.25">
      <c r="A166" s="70" t="s">
        <v>133</v>
      </c>
      <c r="B166" s="68">
        <v>99.2616033755274</v>
      </c>
      <c r="C166" s="68">
        <v>2.0128750000000002</v>
      </c>
      <c r="D166" s="68">
        <v>99.2616033755274</v>
      </c>
      <c r="E166" s="68">
        <v>2.0128750000000002</v>
      </c>
      <c r="F166" s="68">
        <v>99.578503688092695</v>
      </c>
      <c r="G166" s="68">
        <v>1.3817430481088</v>
      </c>
      <c r="H166" s="68"/>
      <c r="I166" s="68"/>
      <c r="J166" s="68">
        <v>98.735511064278199</v>
      </c>
      <c r="K166" s="68">
        <v>0.96809393654653597</v>
      </c>
      <c r="L166" s="68"/>
      <c r="M166" s="68"/>
      <c r="N166" s="68">
        <v>99.049630411826797</v>
      </c>
      <c r="O166" s="68">
        <v>42621.750999999997</v>
      </c>
      <c r="P166" s="68"/>
      <c r="Q166" s="68"/>
      <c r="R166" s="68">
        <v>98.734177215189902</v>
      </c>
      <c r="S166" s="68">
        <v>22875.336749999999</v>
      </c>
      <c r="T166" s="68"/>
      <c r="U166" s="68"/>
      <c r="V166" s="68"/>
      <c r="W166" s="68"/>
      <c r="X166" s="68"/>
      <c r="Y166" s="68">
        <v>97.995780590717303</v>
      </c>
      <c r="Z166" s="68">
        <v>99.758580839612506</v>
      </c>
      <c r="AA166" s="68">
        <v>1.4406257499999999</v>
      </c>
      <c r="AB166" s="68">
        <v>99.8923573735199</v>
      </c>
      <c r="AC166" s="68">
        <v>720</v>
      </c>
    </row>
    <row r="167" spans="1:29" x14ac:dyDescent="0.25">
      <c r="A167" s="70" t="s">
        <v>539</v>
      </c>
      <c r="B167" s="68">
        <v>99.2616033755274</v>
      </c>
      <c r="C167" s="68">
        <v>2.0128750000000002</v>
      </c>
      <c r="D167" s="68">
        <v>99.2616033755274</v>
      </c>
      <c r="E167" s="68">
        <v>2.0128750000000002</v>
      </c>
      <c r="F167" s="68">
        <v>99.578503688092695</v>
      </c>
      <c r="G167" s="68">
        <v>1.3817430481088</v>
      </c>
      <c r="H167" s="68"/>
      <c r="I167" s="68"/>
      <c r="J167" s="68">
        <v>98.735511064278199</v>
      </c>
      <c r="K167" s="68">
        <v>0.96809393654653597</v>
      </c>
      <c r="L167" s="68"/>
      <c r="M167" s="68"/>
      <c r="N167" s="68">
        <v>99.049630411826797</v>
      </c>
      <c r="O167" s="68">
        <v>42621.750999999997</v>
      </c>
      <c r="P167" s="68"/>
      <c r="Q167" s="68"/>
      <c r="R167" s="68">
        <v>98.734177215189902</v>
      </c>
      <c r="S167" s="68">
        <v>22875.336749999999</v>
      </c>
      <c r="T167" s="68"/>
      <c r="U167" s="68"/>
      <c r="V167" s="68"/>
      <c r="W167" s="68"/>
      <c r="X167" s="68"/>
      <c r="Y167" s="68">
        <v>97.995780590717303</v>
      </c>
      <c r="Z167" s="68">
        <v>99.758580839612506</v>
      </c>
      <c r="AA167" s="68">
        <v>1.4406257499999999</v>
      </c>
      <c r="AB167" s="68">
        <v>99.8923573735199</v>
      </c>
      <c r="AC167" s="68">
        <v>720</v>
      </c>
    </row>
    <row r="168" spans="1:29" x14ac:dyDescent="0.25">
      <c r="A168" s="70" t="s">
        <v>134</v>
      </c>
      <c r="B168" s="68">
        <v>99.724005846948799</v>
      </c>
      <c r="C168" s="68">
        <v>2.020012396007</v>
      </c>
      <c r="D168" s="68">
        <v>99.724005846948799</v>
      </c>
      <c r="E168" s="68">
        <v>2.020012396007</v>
      </c>
      <c r="F168" s="68">
        <v>99.766672655323305</v>
      </c>
      <c r="G168" s="68">
        <v>1.5881458237227</v>
      </c>
      <c r="H168" s="68">
        <v>9711.3255000000008</v>
      </c>
      <c r="I168" s="68">
        <v>20443.090499999998</v>
      </c>
      <c r="J168" s="68">
        <v>98.986222493449105</v>
      </c>
      <c r="K168" s="68">
        <v>1.30467261502897</v>
      </c>
      <c r="L168" s="68">
        <v>3069.2175000000002</v>
      </c>
      <c r="M168" s="68">
        <v>7934.7105000000001</v>
      </c>
      <c r="N168" s="68">
        <v>99.702459563652695</v>
      </c>
      <c r="O168" s="68">
        <v>24590.6340266261</v>
      </c>
      <c r="P168" s="68">
        <v>15003.130999999999</v>
      </c>
      <c r="Q168" s="68">
        <v>64845.208500000001</v>
      </c>
      <c r="R168" s="68">
        <v>99.480234697511904</v>
      </c>
      <c r="S168" s="68">
        <v>14481.8528211046</v>
      </c>
      <c r="T168" s="68">
        <v>3551.8314999999998</v>
      </c>
      <c r="U168" s="68">
        <v>23341.78</v>
      </c>
      <c r="V168" s="68"/>
      <c r="W168" s="68"/>
      <c r="X168" s="68"/>
      <c r="Y168" s="68">
        <v>97.7310138158754</v>
      </c>
      <c r="Z168" s="68">
        <v>98.798840533057202</v>
      </c>
      <c r="AA168" s="68">
        <v>3.03983533890483</v>
      </c>
      <c r="AB168" s="68">
        <v>85.333130771907804</v>
      </c>
      <c r="AC168" s="68">
        <v>667.32823035810804</v>
      </c>
    </row>
    <row r="169" spans="1:29" x14ac:dyDescent="0.25">
      <c r="A169" s="70" t="s">
        <v>135</v>
      </c>
      <c r="B169" s="68">
        <v>99.515262573832203</v>
      </c>
      <c r="C169" s="68">
        <v>2.55132012599999</v>
      </c>
      <c r="D169" s="68">
        <v>99.515262573832203</v>
      </c>
      <c r="E169" s="68">
        <v>2.55132012599999</v>
      </c>
      <c r="F169" s="68">
        <v>99.596252969676101</v>
      </c>
      <c r="G169" s="68">
        <v>2.60787591598422</v>
      </c>
      <c r="H169" s="68">
        <v>4775.098</v>
      </c>
      <c r="I169" s="68">
        <v>13497.227999999999</v>
      </c>
      <c r="J169" s="68">
        <v>98.355335003675194</v>
      </c>
      <c r="K169" s="68">
        <v>2.8761437824315599</v>
      </c>
      <c r="L169" s="68">
        <v>1033.001</v>
      </c>
      <c r="M169" s="68">
        <v>4045.5039999999999</v>
      </c>
      <c r="N169" s="68">
        <v>99.480483190381193</v>
      </c>
      <c r="O169" s="68">
        <v>12130.174589845001</v>
      </c>
      <c r="P169" s="68">
        <v>5376.5029999999997</v>
      </c>
      <c r="Q169" s="68">
        <v>19002.650000000001</v>
      </c>
      <c r="R169" s="68">
        <v>99.050459227501605</v>
      </c>
      <c r="S169" s="68">
        <v>3423.52978042208</v>
      </c>
      <c r="T169" s="68">
        <v>1192.223</v>
      </c>
      <c r="U169" s="68">
        <v>5053.9799999999996</v>
      </c>
      <c r="V169" s="68"/>
      <c r="W169" s="68"/>
      <c r="X169" s="68"/>
      <c r="Y169" s="68">
        <v>97.151131855306403</v>
      </c>
      <c r="Z169" s="68">
        <v>98.453799807228194</v>
      </c>
      <c r="AA169" s="68">
        <v>3.4537507557144398</v>
      </c>
      <c r="AB169" s="68">
        <v>84.634477409981997</v>
      </c>
      <c r="AC169" s="68">
        <v>664.78688551450705</v>
      </c>
    </row>
    <row r="170" spans="1:29" x14ac:dyDescent="0.25">
      <c r="A170" s="70" t="s">
        <v>136</v>
      </c>
      <c r="B170" s="68">
        <v>99.932749120065495</v>
      </c>
      <c r="C170" s="68">
        <v>1.488704666014</v>
      </c>
      <c r="D170" s="68">
        <v>99.932749120065495</v>
      </c>
      <c r="E170" s="68">
        <v>1.488704666014</v>
      </c>
      <c r="F170" s="68">
        <v>99.937092340970494</v>
      </c>
      <c r="G170" s="68">
        <v>1.1417136357540101</v>
      </c>
      <c r="H170" s="68">
        <v>14647.553</v>
      </c>
      <c r="I170" s="68">
        <v>27388.953000000001</v>
      </c>
      <c r="J170" s="68">
        <v>99.617109983223003</v>
      </c>
      <c r="K170" s="68">
        <v>0.84369399602908701</v>
      </c>
      <c r="L170" s="68">
        <v>5105.4340000000002</v>
      </c>
      <c r="M170" s="68">
        <v>11823.916999999999</v>
      </c>
      <c r="N170" s="68">
        <v>99.924435936924098</v>
      </c>
      <c r="O170" s="68">
        <v>37051.093463407196</v>
      </c>
      <c r="P170" s="68">
        <v>24629.758999999998</v>
      </c>
      <c r="Q170" s="68">
        <v>110687.76700000001</v>
      </c>
      <c r="R170" s="68">
        <v>99.910010167522202</v>
      </c>
      <c r="S170" s="68">
        <v>25540.175861787098</v>
      </c>
      <c r="T170" s="68">
        <v>5911.44</v>
      </c>
      <c r="U170" s="68">
        <v>41629.58</v>
      </c>
      <c r="V170" s="68"/>
      <c r="W170" s="68"/>
      <c r="X170" s="68"/>
      <c r="Y170" s="68">
        <v>99.7497062365955</v>
      </c>
      <c r="Z170" s="68">
        <v>100.00000067500601</v>
      </c>
      <c r="AA170" s="68">
        <v>1.5989077509646801</v>
      </c>
      <c r="AB170" s="68">
        <v>87.765291698325299</v>
      </c>
      <c r="AC170" s="68">
        <v>676.17519219354801</v>
      </c>
    </row>
    <row r="171" spans="1:29" x14ac:dyDescent="0.25">
      <c r="A171" s="70" t="s">
        <v>369</v>
      </c>
      <c r="B171" s="68">
        <v>99.2616033755274</v>
      </c>
      <c r="C171" s="68">
        <v>2.0128750000000002</v>
      </c>
      <c r="D171" s="68">
        <v>99.2616033755274</v>
      </c>
      <c r="E171" s="68">
        <v>2.0128750000000002</v>
      </c>
      <c r="F171" s="68">
        <v>99.578503688092695</v>
      </c>
      <c r="G171" s="68">
        <v>1.3817430481088</v>
      </c>
      <c r="H171" s="68"/>
      <c r="I171" s="68"/>
      <c r="J171" s="68">
        <v>98.735511064278199</v>
      </c>
      <c r="K171" s="68">
        <v>0.96809393654653597</v>
      </c>
      <c r="L171" s="68"/>
      <c r="M171" s="68"/>
      <c r="N171" s="68">
        <v>99.049630411826797</v>
      </c>
      <c r="O171" s="68">
        <v>42621.750999999997</v>
      </c>
      <c r="P171" s="68"/>
      <c r="Q171" s="68"/>
      <c r="R171" s="68">
        <v>98.734177215189902</v>
      </c>
      <c r="S171" s="68">
        <v>22875.336749999999</v>
      </c>
      <c r="T171" s="68"/>
      <c r="U171" s="68"/>
      <c r="V171" s="68"/>
      <c r="W171" s="68"/>
      <c r="X171" s="68"/>
      <c r="Y171" s="68">
        <v>97.995780590717303</v>
      </c>
      <c r="Z171" s="68">
        <v>99.758580839612506</v>
      </c>
      <c r="AA171" s="68">
        <v>1.4406257499999999</v>
      </c>
      <c r="AB171" s="68">
        <v>99.8923573735199</v>
      </c>
      <c r="AC171" s="68">
        <v>720</v>
      </c>
    </row>
    <row r="172" spans="1:29" x14ac:dyDescent="0.25">
      <c r="A172" s="70" t="s">
        <v>540</v>
      </c>
      <c r="B172" s="68">
        <v>99.2616033755274</v>
      </c>
      <c r="C172" s="68">
        <v>2.0128750000000002</v>
      </c>
      <c r="D172" s="68">
        <v>99.2616033755274</v>
      </c>
      <c r="E172" s="68">
        <v>2.0128750000000002</v>
      </c>
      <c r="F172" s="68">
        <v>99.578503688092695</v>
      </c>
      <c r="G172" s="68">
        <v>1.3817430481088</v>
      </c>
      <c r="H172" s="68"/>
      <c r="I172" s="68"/>
      <c r="J172" s="68">
        <v>98.735511064278199</v>
      </c>
      <c r="K172" s="68">
        <v>0.96809393654653597</v>
      </c>
      <c r="L172" s="68"/>
      <c r="M172" s="68"/>
      <c r="N172" s="68">
        <v>99.049630411826797</v>
      </c>
      <c r="O172" s="68">
        <v>42621.750999999997</v>
      </c>
      <c r="P172" s="68"/>
      <c r="Q172" s="68"/>
      <c r="R172" s="68">
        <v>98.734177215189902</v>
      </c>
      <c r="S172" s="68">
        <v>22875.336749999999</v>
      </c>
      <c r="T172" s="68"/>
      <c r="U172" s="68"/>
      <c r="V172" s="68"/>
      <c r="W172" s="68"/>
      <c r="X172" s="68"/>
      <c r="Y172" s="68">
        <v>97.995780590717303</v>
      </c>
      <c r="Z172" s="68">
        <v>99.758580839612506</v>
      </c>
      <c r="AA172" s="68">
        <v>1.4406257499999999</v>
      </c>
      <c r="AB172" s="68">
        <v>99.8923573735199</v>
      </c>
      <c r="AC172" s="68">
        <v>720</v>
      </c>
    </row>
    <row r="173" spans="1:29" x14ac:dyDescent="0.25">
      <c r="A173" s="70" t="s">
        <v>137</v>
      </c>
      <c r="B173" s="68">
        <v>99.150074308517105</v>
      </c>
      <c r="C173" s="68">
        <v>2.2022927297114001</v>
      </c>
      <c r="D173" s="68">
        <v>99.150074308517105</v>
      </c>
      <c r="E173" s="68">
        <v>2.2022927297114001</v>
      </c>
      <c r="F173" s="68">
        <v>99.666714184042704</v>
      </c>
      <c r="G173" s="68">
        <v>1.7256667565232799</v>
      </c>
      <c r="H173" s="68">
        <v>9436.3734999999997</v>
      </c>
      <c r="I173" s="68">
        <v>19135.048500000001</v>
      </c>
      <c r="J173" s="68">
        <v>97.802979090377093</v>
      </c>
      <c r="K173" s="68">
        <v>1.4768607747720901</v>
      </c>
      <c r="L173" s="68">
        <v>2487.9605000000001</v>
      </c>
      <c r="M173" s="68">
        <v>7670.88</v>
      </c>
      <c r="N173" s="68">
        <v>99.240336729180001</v>
      </c>
      <c r="O173" s="68">
        <v>34048.9767782817</v>
      </c>
      <c r="P173" s="68">
        <v>14772.249</v>
      </c>
      <c r="Q173" s="68">
        <v>63211.991999999998</v>
      </c>
      <c r="R173" s="68">
        <v>98.826622180062799</v>
      </c>
      <c r="S173" s="68">
        <v>12809.477592376599</v>
      </c>
      <c r="T173" s="68">
        <v>3250.4690000000001</v>
      </c>
      <c r="U173" s="68">
        <v>22915.7585</v>
      </c>
      <c r="V173" s="68"/>
      <c r="W173" s="68"/>
      <c r="X173" s="68"/>
      <c r="Y173" s="68">
        <v>97.890946777687304</v>
      </c>
      <c r="Z173" s="68">
        <v>99.025543798390899</v>
      </c>
      <c r="AA173" s="68">
        <v>2.4838310182284702</v>
      </c>
      <c r="AB173" s="68">
        <v>76.439549168510695</v>
      </c>
      <c r="AC173" s="68">
        <v>635.18237700663803</v>
      </c>
    </row>
    <row r="174" spans="1:29" x14ac:dyDescent="0.25">
      <c r="A174" s="70" t="s">
        <v>138</v>
      </c>
      <c r="B174" s="68">
        <v>98.463963369030793</v>
      </c>
      <c r="C174" s="68">
        <v>2.7506711981994498</v>
      </c>
      <c r="D174" s="68">
        <v>98.463963369030793</v>
      </c>
      <c r="E174" s="68">
        <v>2.7506711981994498</v>
      </c>
      <c r="F174" s="68">
        <v>99.465184465506297</v>
      </c>
      <c r="G174" s="68">
        <v>2.6793115563545902</v>
      </c>
      <c r="H174" s="68">
        <v>4484.0870000000004</v>
      </c>
      <c r="I174" s="68">
        <v>12968.040999999999</v>
      </c>
      <c r="J174" s="68">
        <v>95.9991211923017</v>
      </c>
      <c r="K174" s="68">
        <v>3.3835571114115801</v>
      </c>
      <c r="L174" s="68">
        <v>679.36099999999999</v>
      </c>
      <c r="M174" s="68">
        <v>3992.7730000000001</v>
      </c>
      <c r="N174" s="68">
        <v>98.797507591243004</v>
      </c>
      <c r="O174" s="68">
        <v>11841.925511986101</v>
      </c>
      <c r="P174" s="68">
        <v>5168.5200000000004</v>
      </c>
      <c r="Q174" s="68">
        <v>19332.524000000001</v>
      </c>
      <c r="R174" s="68">
        <v>97.793956722985399</v>
      </c>
      <c r="S174" s="68">
        <v>2843.7689107112401</v>
      </c>
      <c r="T174" s="68">
        <v>798.97799999999995</v>
      </c>
      <c r="U174" s="68">
        <v>4999.4570000000003</v>
      </c>
      <c r="V174" s="68"/>
      <c r="W174" s="68"/>
      <c r="X174" s="68"/>
      <c r="Y174" s="68">
        <v>96.040804649400798</v>
      </c>
      <c r="Z174" s="68">
        <v>98.097664620303405</v>
      </c>
      <c r="AA174" s="68">
        <v>3.5007161717658901</v>
      </c>
      <c r="AB174" s="68">
        <v>61.668133565642201</v>
      </c>
      <c r="AC174" s="68">
        <v>582.00528083631195</v>
      </c>
    </row>
    <row r="175" spans="1:29" x14ac:dyDescent="0.25">
      <c r="A175" s="70" t="s">
        <v>541</v>
      </c>
      <c r="B175" s="68">
        <v>99.836185248003403</v>
      </c>
      <c r="C175" s="68">
        <v>1.6539142612233599</v>
      </c>
      <c r="D175" s="68">
        <v>99.836185248003403</v>
      </c>
      <c r="E175" s="68">
        <v>1.6539142612233599</v>
      </c>
      <c r="F175" s="68">
        <v>99.868243902579096</v>
      </c>
      <c r="G175" s="68">
        <v>1.2726821986994401</v>
      </c>
      <c r="H175" s="68">
        <v>14388.66</v>
      </c>
      <c r="I175" s="68">
        <v>25302.056</v>
      </c>
      <c r="J175" s="68">
        <v>99.6068369884524</v>
      </c>
      <c r="K175" s="68">
        <v>0.94457530742422502</v>
      </c>
      <c r="L175" s="68">
        <v>4296.5600000000004</v>
      </c>
      <c r="M175" s="68">
        <v>11348.986999999999</v>
      </c>
      <c r="N175" s="68">
        <v>99.683165867116998</v>
      </c>
      <c r="O175" s="68">
        <v>56256.0280445772</v>
      </c>
      <c r="P175" s="68">
        <v>24375.977999999999</v>
      </c>
      <c r="Q175" s="68">
        <v>107091.46</v>
      </c>
      <c r="R175" s="68">
        <v>99.859287637140199</v>
      </c>
      <c r="S175" s="68">
        <v>22775.186274042</v>
      </c>
      <c r="T175" s="68">
        <v>5701.96</v>
      </c>
      <c r="U175" s="68">
        <v>40832.06</v>
      </c>
      <c r="V175" s="68"/>
      <c r="W175" s="68"/>
      <c r="X175" s="68"/>
      <c r="Y175" s="68">
        <v>99.741088905973896</v>
      </c>
      <c r="Z175" s="68">
        <v>99.953422976478393</v>
      </c>
      <c r="AA175" s="68">
        <v>1.46694586469104</v>
      </c>
      <c r="AB175" s="68">
        <v>91.210964771379096</v>
      </c>
      <c r="AC175" s="68">
        <v>688.35947317696503</v>
      </c>
    </row>
    <row r="176" spans="1:29" x14ac:dyDescent="0.25">
      <c r="A176" s="70" t="s">
        <v>139</v>
      </c>
      <c r="B176" s="68">
        <v>98.369565217391298</v>
      </c>
      <c r="C176" s="68">
        <v>2.5575000000000001</v>
      </c>
      <c r="D176" s="68">
        <v>98.369565217391298</v>
      </c>
      <c r="E176" s="68">
        <v>2.5575000000000001</v>
      </c>
      <c r="F176" s="68">
        <v>98.478260869565204</v>
      </c>
      <c r="G176" s="68">
        <v>1.40795639735032</v>
      </c>
      <c r="H176" s="68"/>
      <c r="I176" s="68"/>
      <c r="J176" s="68">
        <v>98.260869565217405</v>
      </c>
      <c r="K176" s="68">
        <v>0.96888523585723396</v>
      </c>
      <c r="L176" s="68"/>
      <c r="M176" s="68"/>
      <c r="N176" s="68">
        <v>97.2826086956522</v>
      </c>
      <c r="O176" s="68">
        <v>40699.682249999998</v>
      </c>
      <c r="P176" s="68"/>
      <c r="Q176" s="68"/>
      <c r="R176" s="68">
        <v>96.086956521739097</v>
      </c>
      <c r="S176" s="68">
        <v>22058.483250000001</v>
      </c>
      <c r="T176" s="68"/>
      <c r="U176" s="68"/>
      <c r="V176" s="68"/>
      <c r="W176" s="68"/>
      <c r="X176" s="68"/>
      <c r="Y176" s="68">
        <v>95</v>
      </c>
      <c r="Z176" s="68">
        <v>99.507105263157897</v>
      </c>
      <c r="AA176" s="68">
        <v>1.44672625</v>
      </c>
      <c r="AB176" s="68">
        <v>100</v>
      </c>
      <c r="AC176" s="68">
        <v>720</v>
      </c>
    </row>
    <row r="177" spans="1:29" x14ac:dyDescent="0.25">
      <c r="A177" s="70" t="s">
        <v>542</v>
      </c>
      <c r="B177" s="68">
        <v>98.369565217391298</v>
      </c>
      <c r="C177" s="68">
        <v>2.5575000000000001</v>
      </c>
      <c r="D177" s="68">
        <v>98.369565217391298</v>
      </c>
      <c r="E177" s="68">
        <v>2.5575000000000001</v>
      </c>
      <c r="F177" s="68">
        <v>98.478260869565204</v>
      </c>
      <c r="G177" s="68">
        <v>1.40795639735032</v>
      </c>
      <c r="H177" s="68"/>
      <c r="I177" s="68"/>
      <c r="J177" s="68">
        <v>98.260869565217405</v>
      </c>
      <c r="K177" s="68">
        <v>0.96888523585723396</v>
      </c>
      <c r="L177" s="68"/>
      <c r="M177" s="68"/>
      <c r="N177" s="68">
        <v>97.2826086956522</v>
      </c>
      <c r="O177" s="68">
        <v>40699.682249999998</v>
      </c>
      <c r="P177" s="68"/>
      <c r="Q177" s="68"/>
      <c r="R177" s="68">
        <v>96.086956521739097</v>
      </c>
      <c r="S177" s="68">
        <v>22058.483250000001</v>
      </c>
      <c r="T177" s="68"/>
      <c r="U177" s="68"/>
      <c r="V177" s="68"/>
      <c r="W177" s="68"/>
      <c r="X177" s="68"/>
      <c r="Y177" s="68">
        <v>95</v>
      </c>
      <c r="Z177" s="68">
        <v>99.507105263157897</v>
      </c>
      <c r="AA177" s="68">
        <v>1.44672625</v>
      </c>
      <c r="AB177" s="68">
        <v>100</v>
      </c>
      <c r="AC177" s="68">
        <v>720</v>
      </c>
    </row>
    <row r="178" spans="1:29" x14ac:dyDescent="0.25">
      <c r="A178" s="70" t="s">
        <v>140</v>
      </c>
      <c r="B178" s="68">
        <v>99.166274092924994</v>
      </c>
      <c r="C178" s="68">
        <v>2.82274552732799</v>
      </c>
      <c r="D178" s="68">
        <v>99.166274092924994</v>
      </c>
      <c r="E178" s="68">
        <v>2.82274552732799</v>
      </c>
      <c r="F178" s="68">
        <v>98.931499237594807</v>
      </c>
      <c r="G178" s="68">
        <v>1.76631499498758</v>
      </c>
      <c r="H178" s="68">
        <v>9308.8330000000005</v>
      </c>
      <c r="I178" s="68">
        <v>18521.600999999999</v>
      </c>
      <c r="J178" s="68">
        <v>98.583507390257097</v>
      </c>
      <c r="K178" s="68">
        <v>1.53623715739226</v>
      </c>
      <c r="L178" s="68">
        <v>3143.2325000000001</v>
      </c>
      <c r="M178" s="68">
        <v>6742.3204999999998</v>
      </c>
      <c r="N178" s="68">
        <v>98.325685932824101</v>
      </c>
      <c r="O178" s="68">
        <v>22273.481361620401</v>
      </c>
      <c r="P178" s="68">
        <v>14893.322</v>
      </c>
      <c r="Q178" s="68">
        <v>45735.752</v>
      </c>
      <c r="R178" s="68">
        <v>98.423717995469801</v>
      </c>
      <c r="S178" s="68">
        <v>12769.5890424476</v>
      </c>
      <c r="T178" s="68">
        <v>5242.9825000000001</v>
      </c>
      <c r="U178" s="68">
        <v>22112.555499999999</v>
      </c>
      <c r="V178" s="68"/>
      <c r="W178" s="68"/>
      <c r="X178" s="68"/>
      <c r="Y178" s="68">
        <v>87.764800879228602</v>
      </c>
      <c r="Z178" s="68">
        <v>97.799801233723002</v>
      </c>
      <c r="AA178" s="68">
        <v>3.3668433001781999</v>
      </c>
      <c r="AB178" s="68">
        <v>85.287933514575897</v>
      </c>
      <c r="AC178" s="68">
        <v>666.881220001413</v>
      </c>
    </row>
    <row r="179" spans="1:29" x14ac:dyDescent="0.25">
      <c r="A179" s="70" t="s">
        <v>141</v>
      </c>
      <c r="B179" s="68">
        <v>99.243673595337199</v>
      </c>
      <c r="C179" s="68">
        <v>3.7457594764200599</v>
      </c>
      <c r="D179" s="68">
        <v>99.243673595337199</v>
      </c>
      <c r="E179" s="68">
        <v>3.7457594764200599</v>
      </c>
      <c r="F179" s="68">
        <v>99.262880267765993</v>
      </c>
      <c r="G179" s="68">
        <v>3.4441116057752699</v>
      </c>
      <c r="H179" s="68">
        <v>4048.9009999999998</v>
      </c>
      <c r="I179" s="68">
        <v>9956.1509999999998</v>
      </c>
      <c r="J179" s="68">
        <v>98.672238325659293</v>
      </c>
      <c r="K179" s="68">
        <v>5.4830618966861699</v>
      </c>
      <c r="L179" s="68">
        <v>866.45399999999995</v>
      </c>
      <c r="M179" s="68">
        <v>2016.53</v>
      </c>
      <c r="N179" s="68">
        <v>97.962415947602395</v>
      </c>
      <c r="O179" s="68">
        <v>12134.6277938679</v>
      </c>
      <c r="P179" s="68">
        <v>5380.7879999999996</v>
      </c>
      <c r="Q179" s="68">
        <v>18316.205000000002</v>
      </c>
      <c r="R179" s="68">
        <v>98.260987758799601</v>
      </c>
      <c r="S179" s="68">
        <v>2265.8425893457102</v>
      </c>
      <c r="T179" s="68">
        <v>1008.444</v>
      </c>
      <c r="U179" s="68">
        <v>3333.6239999999998</v>
      </c>
      <c r="V179" s="68"/>
      <c r="W179" s="68"/>
      <c r="X179" s="68"/>
      <c r="Y179" s="68">
        <v>87.954428312486996</v>
      </c>
      <c r="Z179" s="68">
        <v>97.197239447980294</v>
      </c>
      <c r="AA179" s="68">
        <v>3.8423431672186998</v>
      </c>
      <c r="AB179" s="68">
        <v>84.533881216070299</v>
      </c>
      <c r="AC179" s="68">
        <v>664.78688551450705</v>
      </c>
    </row>
    <row r="180" spans="1:29" x14ac:dyDescent="0.25">
      <c r="A180" s="70" t="s">
        <v>142</v>
      </c>
      <c r="B180" s="68">
        <v>99.088874590512802</v>
      </c>
      <c r="C180" s="68">
        <v>1.8997315782359201</v>
      </c>
      <c r="D180" s="68">
        <v>99.088874590512802</v>
      </c>
      <c r="E180" s="68">
        <v>1.8997315782359201</v>
      </c>
      <c r="F180" s="68">
        <v>98.600118207423606</v>
      </c>
      <c r="G180" s="68">
        <v>1.1877186619665401</v>
      </c>
      <c r="H180" s="68">
        <v>14568.764999999999</v>
      </c>
      <c r="I180" s="68">
        <v>27087.050999999999</v>
      </c>
      <c r="J180" s="68">
        <v>98.4947764548549</v>
      </c>
      <c r="K180" s="68">
        <v>0.89325394324801899</v>
      </c>
      <c r="L180" s="68">
        <v>5420.0110000000004</v>
      </c>
      <c r="M180" s="68">
        <v>11468.111000000001</v>
      </c>
      <c r="N180" s="68">
        <v>98.688955918045906</v>
      </c>
      <c r="O180" s="68">
        <v>32412.334929372799</v>
      </c>
      <c r="P180" s="68">
        <v>24405.856</v>
      </c>
      <c r="Q180" s="68">
        <v>73155.298999999999</v>
      </c>
      <c r="R180" s="68">
        <v>98.58644823214</v>
      </c>
      <c r="S180" s="68">
        <v>23273.3354955494</v>
      </c>
      <c r="T180" s="68">
        <v>9477.5210000000006</v>
      </c>
      <c r="U180" s="68">
        <v>40891.487000000001</v>
      </c>
      <c r="V180" s="68"/>
      <c r="W180" s="68"/>
      <c r="X180" s="68"/>
      <c r="Y180" s="68">
        <v>87.104667458447906</v>
      </c>
      <c r="Z180" s="68">
        <v>99.8974469488967</v>
      </c>
      <c r="AA180" s="68">
        <v>1.7115271446176199</v>
      </c>
      <c r="AB180" s="68">
        <v>87.9129499202011</v>
      </c>
      <c r="AC180" s="68">
        <v>674.17204372529704</v>
      </c>
    </row>
    <row r="181" spans="1:29" x14ac:dyDescent="0.25">
      <c r="A181" s="70" t="s">
        <v>370</v>
      </c>
      <c r="B181" s="68">
        <v>98.369565217391298</v>
      </c>
      <c r="C181" s="68">
        <v>2.5575000000000001</v>
      </c>
      <c r="D181" s="68">
        <v>98.369565217391298</v>
      </c>
      <c r="E181" s="68">
        <v>2.5575000000000001</v>
      </c>
      <c r="F181" s="68">
        <v>98.478260869565204</v>
      </c>
      <c r="G181" s="68">
        <v>1.40795639735032</v>
      </c>
      <c r="H181" s="68"/>
      <c r="I181" s="68"/>
      <c r="J181" s="68">
        <v>98.260869565217405</v>
      </c>
      <c r="K181" s="68">
        <v>0.96888523585723396</v>
      </c>
      <c r="L181" s="68"/>
      <c r="M181" s="68"/>
      <c r="N181" s="68">
        <v>97.2826086956522</v>
      </c>
      <c r="O181" s="68">
        <v>40699.682249999998</v>
      </c>
      <c r="P181" s="68"/>
      <c r="Q181" s="68"/>
      <c r="R181" s="68">
        <v>96.086956521739097</v>
      </c>
      <c r="S181" s="68">
        <v>22058.483250000001</v>
      </c>
      <c r="T181" s="68"/>
      <c r="U181" s="68"/>
      <c r="V181" s="68"/>
      <c r="W181" s="68"/>
      <c r="X181" s="68"/>
      <c r="Y181" s="68">
        <v>95</v>
      </c>
      <c r="Z181" s="68">
        <v>99.507105263157897</v>
      </c>
      <c r="AA181" s="68">
        <v>1.44672625</v>
      </c>
      <c r="AB181" s="68">
        <v>100</v>
      </c>
      <c r="AC181" s="68">
        <v>720</v>
      </c>
    </row>
    <row r="182" spans="1:29" x14ac:dyDescent="0.25">
      <c r="A182" s="70" t="s">
        <v>543</v>
      </c>
      <c r="B182" s="68">
        <v>98.369565217391298</v>
      </c>
      <c r="C182" s="68">
        <v>2.5575000000000001</v>
      </c>
      <c r="D182" s="68">
        <v>98.369565217391298</v>
      </c>
      <c r="E182" s="68">
        <v>2.5575000000000001</v>
      </c>
      <c r="F182" s="68">
        <v>98.478260869565204</v>
      </c>
      <c r="G182" s="68">
        <v>1.40795639735032</v>
      </c>
      <c r="H182" s="68"/>
      <c r="I182" s="68"/>
      <c r="J182" s="68">
        <v>98.260869565217405</v>
      </c>
      <c r="K182" s="68">
        <v>0.96888523585723396</v>
      </c>
      <c r="L182" s="68"/>
      <c r="M182" s="68"/>
      <c r="N182" s="68">
        <v>97.2826086956522</v>
      </c>
      <c r="O182" s="68">
        <v>40699.682249999998</v>
      </c>
      <c r="P182" s="68"/>
      <c r="Q182" s="68"/>
      <c r="R182" s="68">
        <v>96.086956521739097</v>
      </c>
      <c r="S182" s="68">
        <v>22058.483250000001</v>
      </c>
      <c r="T182" s="68"/>
      <c r="U182" s="68"/>
      <c r="V182" s="68"/>
      <c r="W182" s="68"/>
      <c r="X182" s="68"/>
      <c r="Y182" s="68">
        <v>95</v>
      </c>
      <c r="Z182" s="68">
        <v>99.507105263157897</v>
      </c>
      <c r="AA182" s="68">
        <v>1.44672625</v>
      </c>
      <c r="AB182" s="68">
        <v>100</v>
      </c>
      <c r="AC182" s="68">
        <v>720</v>
      </c>
    </row>
    <row r="183" spans="1:29" x14ac:dyDescent="0.25">
      <c r="A183" s="70" t="s">
        <v>143</v>
      </c>
      <c r="B183" s="68">
        <v>98.673930673815093</v>
      </c>
      <c r="C183" s="68">
        <v>3.1345994103255501</v>
      </c>
      <c r="D183" s="68">
        <v>98.673930673815093</v>
      </c>
      <c r="E183" s="68">
        <v>3.1345994103255501</v>
      </c>
      <c r="F183" s="68">
        <v>98.372670969000097</v>
      </c>
      <c r="G183" s="68">
        <v>1.9242447511101499</v>
      </c>
      <c r="H183" s="68">
        <v>8757.7389999999996</v>
      </c>
      <c r="I183" s="68">
        <v>17231.624500000002</v>
      </c>
      <c r="J183" s="68">
        <v>97.264322958780099</v>
      </c>
      <c r="K183" s="68">
        <v>1.6566991804499001</v>
      </c>
      <c r="L183" s="68">
        <v>2509.4115000000002</v>
      </c>
      <c r="M183" s="68">
        <v>6669.3469999999998</v>
      </c>
      <c r="N183" s="68">
        <v>96.657756484228798</v>
      </c>
      <c r="O183" s="68">
        <v>30973.732887473601</v>
      </c>
      <c r="P183" s="68">
        <v>15153.808000000001</v>
      </c>
      <c r="Q183" s="68">
        <v>53306.536</v>
      </c>
      <c r="R183" s="68">
        <v>97.332276064326905</v>
      </c>
      <c r="S183" s="68">
        <v>12417.174689241199</v>
      </c>
      <c r="T183" s="68">
        <v>3711.32</v>
      </c>
      <c r="U183" s="68">
        <v>21658.464499999998</v>
      </c>
      <c r="V183" s="68"/>
      <c r="W183" s="68"/>
      <c r="X183" s="68"/>
      <c r="Y183" s="68">
        <v>89.933184772593705</v>
      </c>
      <c r="Z183" s="68">
        <v>99.434863337028901</v>
      </c>
      <c r="AA183" s="68">
        <v>2.92450129257749</v>
      </c>
      <c r="AB183" s="68">
        <v>76.319575780538301</v>
      </c>
      <c r="AC183" s="68">
        <v>634.96087741148995</v>
      </c>
    </row>
    <row r="184" spans="1:29" x14ac:dyDescent="0.25">
      <c r="A184" s="70" t="s">
        <v>144</v>
      </c>
      <c r="B184" s="68">
        <v>98.324752198680599</v>
      </c>
      <c r="C184" s="68">
        <v>4.0678164118281899</v>
      </c>
      <c r="D184" s="68">
        <v>98.324752198680599</v>
      </c>
      <c r="E184" s="68">
        <v>4.0678164118281899</v>
      </c>
      <c r="F184" s="68">
        <v>98.504832719103106</v>
      </c>
      <c r="G184" s="68">
        <v>3.51077993459106</v>
      </c>
      <c r="H184" s="68">
        <v>3760.8989999999999</v>
      </c>
      <c r="I184" s="68">
        <v>9814.5139999999992</v>
      </c>
      <c r="J184" s="68">
        <v>96.075047029991893</v>
      </c>
      <c r="K184" s="68">
        <v>5.79527906054303</v>
      </c>
      <c r="L184" s="68">
        <v>745.11699999999996</v>
      </c>
      <c r="M184" s="68">
        <v>1978.694</v>
      </c>
      <c r="N184" s="68">
        <v>96.741573501900504</v>
      </c>
      <c r="O184" s="68">
        <v>11057.142793965601</v>
      </c>
      <c r="P184" s="68">
        <v>5183.5420000000004</v>
      </c>
      <c r="Q184" s="68">
        <v>17794.335999999999</v>
      </c>
      <c r="R184" s="68">
        <v>96.858181709056396</v>
      </c>
      <c r="S184" s="68">
        <v>2014.2667813130499</v>
      </c>
      <c r="T184" s="68">
        <v>769.63400000000001</v>
      </c>
      <c r="U184" s="68">
        <v>3153.252</v>
      </c>
      <c r="V184" s="68"/>
      <c r="W184" s="68"/>
      <c r="X184" s="68"/>
      <c r="Y184" s="68">
        <v>86.618498145446907</v>
      </c>
      <c r="Z184" s="68">
        <v>98.963644692991195</v>
      </c>
      <c r="AA184" s="68">
        <v>4.13948682999838</v>
      </c>
      <c r="AB184" s="68">
        <v>61.557586620546601</v>
      </c>
      <c r="AC184" s="68">
        <v>582.00528083631195</v>
      </c>
    </row>
    <row r="185" spans="1:29" x14ac:dyDescent="0.25">
      <c r="A185" s="70" t="s">
        <v>544</v>
      </c>
      <c r="B185" s="68">
        <v>99.023109148949601</v>
      </c>
      <c r="C185" s="68">
        <v>2.2013824088229201</v>
      </c>
      <c r="D185" s="68">
        <v>99.023109148949601</v>
      </c>
      <c r="E185" s="68">
        <v>2.2013824088229201</v>
      </c>
      <c r="F185" s="68">
        <v>98.240509218897003</v>
      </c>
      <c r="G185" s="68">
        <v>1.32532513783353</v>
      </c>
      <c r="H185" s="68">
        <v>13754.579</v>
      </c>
      <c r="I185" s="68">
        <v>24648.735000000001</v>
      </c>
      <c r="J185" s="68">
        <v>98.453598887568305</v>
      </c>
      <c r="K185" s="68">
        <v>0.96649591336609897</v>
      </c>
      <c r="L185" s="68">
        <v>4273.7060000000001</v>
      </c>
      <c r="M185" s="68">
        <v>11360</v>
      </c>
      <c r="N185" s="68">
        <v>96.573939466556993</v>
      </c>
      <c r="O185" s="68">
        <v>50890.322980981597</v>
      </c>
      <c r="P185" s="68">
        <v>25124.074000000001</v>
      </c>
      <c r="Q185" s="68">
        <v>88818.736000000004</v>
      </c>
      <c r="R185" s="68">
        <v>97.806370419597499</v>
      </c>
      <c r="S185" s="68">
        <v>22820.082597169399</v>
      </c>
      <c r="T185" s="68">
        <v>6653.0060000000003</v>
      </c>
      <c r="U185" s="68">
        <v>40163.677000000003</v>
      </c>
      <c r="V185" s="68"/>
      <c r="W185" s="68"/>
      <c r="X185" s="68"/>
      <c r="Y185" s="68">
        <v>93.247871399740504</v>
      </c>
      <c r="Z185" s="68">
        <v>99.906081981066706</v>
      </c>
      <c r="AA185" s="68">
        <v>1.7095157551566</v>
      </c>
      <c r="AB185" s="68">
        <v>91.081564940530001</v>
      </c>
      <c r="AC185" s="68">
        <v>687.91647398666896</v>
      </c>
    </row>
    <row r="186" spans="1:29" x14ac:dyDescent="0.25">
      <c r="A186" s="70" t="s">
        <v>145</v>
      </c>
      <c r="B186" s="68">
        <v>99.365079365079396</v>
      </c>
      <c r="C186" s="68">
        <v>2.0990000000000002</v>
      </c>
      <c r="D186" s="68">
        <v>99.365079365079396</v>
      </c>
      <c r="E186" s="68">
        <v>2.0990000000000002</v>
      </c>
      <c r="F186" s="68">
        <v>99.894179894179899</v>
      </c>
      <c r="G186" s="68">
        <v>1.3863645020850299</v>
      </c>
      <c r="H186" s="68"/>
      <c r="I186" s="68"/>
      <c r="J186" s="68">
        <v>99.576719576719597</v>
      </c>
      <c r="K186" s="68">
        <v>0.90095549453625301</v>
      </c>
      <c r="L186" s="68"/>
      <c r="M186" s="68"/>
      <c r="N186" s="68">
        <v>99.682539682539698</v>
      </c>
      <c r="O186" s="68">
        <v>20653.734499999999</v>
      </c>
      <c r="P186" s="68"/>
      <c r="Q186" s="68"/>
      <c r="R186" s="68">
        <v>99.682539682539698</v>
      </c>
      <c r="S186" s="68">
        <v>14523.124750000001</v>
      </c>
      <c r="T186" s="68"/>
      <c r="U186" s="68"/>
      <c r="V186" s="68"/>
      <c r="W186" s="68"/>
      <c r="X186" s="68"/>
      <c r="Y186" s="68">
        <v>96.825396825396794</v>
      </c>
      <c r="Z186" s="68">
        <v>97.036756967213094</v>
      </c>
      <c r="AA186" s="68">
        <v>1.3531055000000001</v>
      </c>
      <c r="AB186" s="68">
        <v>100</v>
      </c>
      <c r="AC186" s="68">
        <v>720</v>
      </c>
    </row>
    <row r="187" spans="1:29" x14ac:dyDescent="0.25">
      <c r="A187" s="70" t="s">
        <v>545</v>
      </c>
      <c r="B187" s="68">
        <v>99.365079365079396</v>
      </c>
      <c r="C187" s="68">
        <v>2.0990000000000002</v>
      </c>
      <c r="D187" s="68">
        <v>99.365079365079396</v>
      </c>
      <c r="E187" s="68">
        <v>2.0990000000000002</v>
      </c>
      <c r="F187" s="68">
        <v>99.894179894179899</v>
      </c>
      <c r="G187" s="68">
        <v>1.3863645020850299</v>
      </c>
      <c r="H187" s="68"/>
      <c r="I187" s="68"/>
      <c r="J187" s="68">
        <v>99.576719576719597</v>
      </c>
      <c r="K187" s="68">
        <v>0.90095549453625301</v>
      </c>
      <c r="L187" s="68"/>
      <c r="M187" s="68"/>
      <c r="N187" s="68">
        <v>99.682539682539698</v>
      </c>
      <c r="O187" s="68">
        <v>20653.734499999999</v>
      </c>
      <c r="P187" s="68"/>
      <c r="Q187" s="68"/>
      <c r="R187" s="68">
        <v>99.682539682539698</v>
      </c>
      <c r="S187" s="68">
        <v>14523.124750000001</v>
      </c>
      <c r="T187" s="68"/>
      <c r="U187" s="68"/>
      <c r="V187" s="68"/>
      <c r="W187" s="68"/>
      <c r="X187" s="68"/>
      <c r="Y187" s="68">
        <v>96.825396825396794</v>
      </c>
      <c r="Z187" s="68">
        <v>97.036756967213094</v>
      </c>
      <c r="AA187" s="68">
        <v>1.3531055000000001</v>
      </c>
      <c r="AB187" s="68">
        <v>100</v>
      </c>
      <c r="AC187" s="68">
        <v>720</v>
      </c>
    </row>
    <row r="188" spans="1:29" x14ac:dyDescent="0.25">
      <c r="A188" s="70" t="s">
        <v>146</v>
      </c>
      <c r="B188" s="68">
        <v>99.365450773069597</v>
      </c>
      <c r="C188" s="68">
        <v>2.3344044902857899</v>
      </c>
      <c r="D188" s="68">
        <v>99.365450773069597</v>
      </c>
      <c r="E188" s="68">
        <v>2.3344044902857899</v>
      </c>
      <c r="F188" s="68">
        <v>99.337794569542893</v>
      </c>
      <c r="G188" s="68">
        <v>1.6474343840877601</v>
      </c>
      <c r="H188" s="68">
        <v>6260.8379999999997</v>
      </c>
      <c r="I188" s="68">
        <v>25435.404500000001</v>
      </c>
      <c r="J188" s="68">
        <v>98.771933493668897</v>
      </c>
      <c r="K188" s="68">
        <v>1.282070745478</v>
      </c>
      <c r="L188" s="68">
        <v>3906.2370000000001</v>
      </c>
      <c r="M188" s="68">
        <v>8431.1175000000003</v>
      </c>
      <c r="N188" s="68">
        <v>99.265374660709099</v>
      </c>
      <c r="O188" s="68">
        <v>15900.404117764099</v>
      </c>
      <c r="P188" s="68">
        <v>7462.4989999999998</v>
      </c>
      <c r="Q188" s="68">
        <v>31289.335500000001</v>
      </c>
      <c r="R188" s="68">
        <v>98.474394462202397</v>
      </c>
      <c r="S188" s="68">
        <v>9585.2156301894101</v>
      </c>
      <c r="T188" s="68">
        <v>5960.97</v>
      </c>
      <c r="U188" s="68">
        <v>14006.58</v>
      </c>
      <c r="V188" s="68"/>
      <c r="W188" s="68"/>
      <c r="X188" s="68"/>
      <c r="Y188" s="68">
        <v>91.966573898619004</v>
      </c>
      <c r="Z188" s="68">
        <v>97.640458696382595</v>
      </c>
      <c r="AA188" s="68">
        <v>2.3272772321377002</v>
      </c>
      <c r="AB188" s="68">
        <v>85.390401949191101</v>
      </c>
      <c r="AC188" s="68">
        <v>667.45885381589005</v>
      </c>
    </row>
    <row r="189" spans="1:29" x14ac:dyDescent="0.25">
      <c r="A189" s="70" t="s">
        <v>147</v>
      </c>
      <c r="B189" s="68">
        <v>98.780420974844603</v>
      </c>
      <c r="C189" s="68">
        <v>3.0235319161747798</v>
      </c>
      <c r="D189" s="68">
        <v>98.780420974844603</v>
      </c>
      <c r="E189" s="68">
        <v>3.0235319161747798</v>
      </c>
      <c r="F189" s="68">
        <v>98.865316852521005</v>
      </c>
      <c r="G189" s="68">
        <v>2.2850973934260499</v>
      </c>
      <c r="H189" s="68">
        <v>4377.0730000000003</v>
      </c>
      <c r="I189" s="68">
        <v>17137.865000000002</v>
      </c>
      <c r="J189" s="68">
        <v>97.609256324659299</v>
      </c>
      <c r="K189" s="68">
        <v>3.56835212188401</v>
      </c>
      <c r="L189" s="68">
        <v>1059.5730000000001</v>
      </c>
      <c r="M189" s="68">
        <v>3688.65</v>
      </c>
      <c r="N189" s="68">
        <v>98.727872184811304</v>
      </c>
      <c r="O189" s="68">
        <v>12626.5575853961</v>
      </c>
      <c r="P189" s="68">
        <v>4522.643</v>
      </c>
      <c r="Q189" s="68">
        <v>21057.436000000002</v>
      </c>
      <c r="R189" s="68">
        <v>97.243210831201694</v>
      </c>
      <c r="S189" s="68">
        <v>2793.04183496418</v>
      </c>
      <c r="T189" s="68">
        <v>1395.078</v>
      </c>
      <c r="U189" s="68">
        <v>4442.6499999999996</v>
      </c>
      <c r="V189" s="68"/>
      <c r="W189" s="68"/>
      <c r="X189" s="68"/>
      <c r="Y189" s="68">
        <v>89.931497470569397</v>
      </c>
      <c r="Z189" s="68">
        <v>96.9626668444713</v>
      </c>
      <c r="AA189" s="68">
        <v>2.5430742514818099</v>
      </c>
      <c r="AB189" s="68">
        <v>84.635491269196393</v>
      </c>
      <c r="AC189" s="68">
        <v>664.78688551450705</v>
      </c>
    </row>
    <row r="190" spans="1:29" x14ac:dyDescent="0.25">
      <c r="A190" s="70" t="s">
        <v>148</v>
      </c>
      <c r="B190" s="68">
        <v>99.950480571294605</v>
      </c>
      <c r="C190" s="68">
        <v>1.64527706439681</v>
      </c>
      <c r="D190" s="68">
        <v>99.950480571294605</v>
      </c>
      <c r="E190" s="68">
        <v>1.64527706439681</v>
      </c>
      <c r="F190" s="68">
        <v>99.810272286564896</v>
      </c>
      <c r="G190" s="68">
        <v>1.2880111600522901</v>
      </c>
      <c r="H190" s="68">
        <v>8144.6030000000001</v>
      </c>
      <c r="I190" s="68">
        <v>33732.944000000003</v>
      </c>
      <c r="J190" s="68">
        <v>99.934610662678494</v>
      </c>
      <c r="K190" s="68">
        <v>0.78141182814740096</v>
      </c>
      <c r="L190" s="68">
        <v>6752.9009999999998</v>
      </c>
      <c r="M190" s="68">
        <v>13173.584999999999</v>
      </c>
      <c r="N190" s="68">
        <v>99.802877136606895</v>
      </c>
      <c r="O190" s="68">
        <v>19174.2506501321</v>
      </c>
      <c r="P190" s="68">
        <v>10402.355</v>
      </c>
      <c r="Q190" s="68">
        <v>41521.235000000001</v>
      </c>
      <c r="R190" s="68">
        <v>99.705578093203002</v>
      </c>
      <c r="S190" s="68">
        <v>16377.3894254146</v>
      </c>
      <c r="T190" s="68">
        <v>10526.861999999999</v>
      </c>
      <c r="U190" s="68">
        <v>23570.51</v>
      </c>
      <c r="V190" s="68"/>
      <c r="W190" s="68"/>
      <c r="X190" s="68"/>
      <c r="Y190" s="68">
        <v>99.051107717982106</v>
      </c>
      <c r="Z190" s="68">
        <v>99.999996270092097</v>
      </c>
      <c r="AA190" s="68">
        <v>1.5760419170462201</v>
      </c>
      <c r="AB190" s="68">
        <v>88.018406563320994</v>
      </c>
      <c r="AC190" s="68">
        <v>676.76054368586699</v>
      </c>
    </row>
    <row r="191" spans="1:29" x14ac:dyDescent="0.25">
      <c r="A191" s="70" t="s">
        <v>371</v>
      </c>
      <c r="B191" s="68">
        <v>99.365079365079396</v>
      </c>
      <c r="C191" s="68">
        <v>2.0990000000000002</v>
      </c>
      <c r="D191" s="68">
        <v>99.365079365079396</v>
      </c>
      <c r="E191" s="68">
        <v>2.0990000000000002</v>
      </c>
      <c r="F191" s="68">
        <v>99.894179894179899</v>
      </c>
      <c r="G191" s="68">
        <v>1.3863645020850299</v>
      </c>
      <c r="H191" s="68"/>
      <c r="I191" s="68"/>
      <c r="J191" s="68">
        <v>99.576719576719597</v>
      </c>
      <c r="K191" s="68">
        <v>0.90095549453625301</v>
      </c>
      <c r="L191" s="68"/>
      <c r="M191" s="68"/>
      <c r="N191" s="68">
        <v>99.682539682539698</v>
      </c>
      <c r="O191" s="68">
        <v>20653.734499999999</v>
      </c>
      <c r="P191" s="68"/>
      <c r="Q191" s="68"/>
      <c r="R191" s="68">
        <v>99.682539682539698</v>
      </c>
      <c r="S191" s="68">
        <v>14523.124750000001</v>
      </c>
      <c r="T191" s="68"/>
      <c r="U191" s="68"/>
      <c r="V191" s="68"/>
      <c r="W191" s="68"/>
      <c r="X191" s="68"/>
      <c r="Y191" s="68">
        <v>96.825396825396794</v>
      </c>
      <c r="Z191" s="68">
        <v>97.036756967213094</v>
      </c>
      <c r="AA191" s="68">
        <v>1.3531055000000001</v>
      </c>
      <c r="AB191" s="68">
        <v>100</v>
      </c>
      <c r="AC191" s="68">
        <v>720</v>
      </c>
    </row>
    <row r="192" spans="1:29" x14ac:dyDescent="0.25">
      <c r="A192" s="70" t="s">
        <v>546</v>
      </c>
      <c r="B192" s="68">
        <v>99.365079365079396</v>
      </c>
      <c r="C192" s="68">
        <v>2.0990000000000002</v>
      </c>
      <c r="D192" s="68">
        <v>99.365079365079396</v>
      </c>
      <c r="E192" s="68">
        <v>2.0990000000000002</v>
      </c>
      <c r="F192" s="68">
        <v>99.894179894179899</v>
      </c>
      <c r="G192" s="68">
        <v>1.3863645020850299</v>
      </c>
      <c r="H192" s="68"/>
      <c r="I192" s="68"/>
      <c r="J192" s="68">
        <v>99.576719576719597</v>
      </c>
      <c r="K192" s="68">
        <v>0.90095549453625301</v>
      </c>
      <c r="L192" s="68"/>
      <c r="M192" s="68"/>
      <c r="N192" s="68">
        <v>99.682539682539698</v>
      </c>
      <c r="O192" s="68">
        <v>20653.734499999999</v>
      </c>
      <c r="P192" s="68"/>
      <c r="Q192" s="68"/>
      <c r="R192" s="68">
        <v>99.682539682539698</v>
      </c>
      <c r="S192" s="68">
        <v>14523.124750000001</v>
      </c>
      <c r="T192" s="68"/>
      <c r="U192" s="68"/>
      <c r="V192" s="68"/>
      <c r="W192" s="68"/>
      <c r="X192" s="68"/>
      <c r="Y192" s="68">
        <v>96.825396825396794</v>
      </c>
      <c r="Z192" s="68">
        <v>97.036756967213094</v>
      </c>
      <c r="AA192" s="68">
        <v>1.3531055000000001</v>
      </c>
      <c r="AB192" s="68">
        <v>100</v>
      </c>
      <c r="AC192" s="68">
        <v>720</v>
      </c>
    </row>
    <row r="193" spans="1:29" x14ac:dyDescent="0.25">
      <c r="A193" s="70" t="s">
        <v>149</v>
      </c>
      <c r="B193" s="68">
        <v>99.620120757423194</v>
      </c>
      <c r="C193" s="68">
        <v>2.3641558565902798</v>
      </c>
      <c r="D193" s="68">
        <v>99.620120757423194</v>
      </c>
      <c r="E193" s="68">
        <v>2.3641558565902798</v>
      </c>
      <c r="F193" s="68">
        <v>99.828547803485407</v>
      </c>
      <c r="G193" s="68">
        <v>1.57566881723084</v>
      </c>
      <c r="H193" s="68">
        <v>7231.9750000000004</v>
      </c>
      <c r="I193" s="68">
        <v>24860.529500000001</v>
      </c>
      <c r="J193" s="68">
        <v>99.084310170941393</v>
      </c>
      <c r="K193" s="68">
        <v>1.29452559180898</v>
      </c>
      <c r="L193" s="68">
        <v>3248.6970000000001</v>
      </c>
      <c r="M193" s="68">
        <v>8421.5974999999999</v>
      </c>
      <c r="N193" s="68">
        <v>99.7159946228401</v>
      </c>
      <c r="O193" s="68">
        <v>18547.612527953999</v>
      </c>
      <c r="P193" s="68">
        <v>8021.4785000000002</v>
      </c>
      <c r="Q193" s="68">
        <v>30821.7585</v>
      </c>
      <c r="R193" s="68">
        <v>99.252309291905505</v>
      </c>
      <c r="S193" s="68">
        <v>9876.3740408807698</v>
      </c>
      <c r="T193" s="68">
        <v>4094.3314999999998</v>
      </c>
      <c r="U193" s="68">
        <v>13810.937</v>
      </c>
      <c r="V193" s="68"/>
      <c r="W193" s="68"/>
      <c r="X193" s="68"/>
      <c r="Y193" s="68">
        <v>96.794704581996996</v>
      </c>
      <c r="Z193" s="68">
        <v>99.227359245169495</v>
      </c>
      <c r="AA193" s="68">
        <v>2.0907618563915902</v>
      </c>
      <c r="AB193" s="68">
        <v>76.541189043916106</v>
      </c>
      <c r="AC193" s="68">
        <v>635.66810546560203</v>
      </c>
    </row>
    <row r="194" spans="1:29" x14ac:dyDescent="0.25">
      <c r="A194" s="70" t="s">
        <v>150</v>
      </c>
      <c r="B194" s="68">
        <v>99.368648044257995</v>
      </c>
      <c r="C194" s="68">
        <v>2.97845187792004</v>
      </c>
      <c r="D194" s="68">
        <v>99.368648044257995</v>
      </c>
      <c r="E194" s="68">
        <v>2.97845187792004</v>
      </c>
      <c r="F194" s="68">
        <v>99.715782034457206</v>
      </c>
      <c r="G194" s="68">
        <v>2.1588659274634399</v>
      </c>
      <c r="H194" s="68">
        <v>5425.2460000000001</v>
      </c>
      <c r="I194" s="68">
        <v>16857.355</v>
      </c>
      <c r="J194" s="68">
        <v>98.349661447363502</v>
      </c>
      <c r="K194" s="68">
        <v>3.5048859986585099</v>
      </c>
      <c r="L194" s="68">
        <v>1036.5550000000001</v>
      </c>
      <c r="M194" s="68">
        <v>3694.971</v>
      </c>
      <c r="N194" s="68">
        <v>99.431989245680199</v>
      </c>
      <c r="O194" s="68">
        <v>13500.7277862556</v>
      </c>
      <c r="P194" s="68">
        <v>5817.7669999999998</v>
      </c>
      <c r="Q194" s="68">
        <v>21192.812999999998</v>
      </c>
      <c r="R194" s="68">
        <v>98.579538929839799</v>
      </c>
      <c r="S194" s="68">
        <v>2831.5459275377598</v>
      </c>
      <c r="T194" s="68">
        <v>1242.713</v>
      </c>
      <c r="U194" s="68">
        <v>4360.9949999999999</v>
      </c>
      <c r="V194" s="68"/>
      <c r="W194" s="68"/>
      <c r="X194" s="68"/>
      <c r="Y194" s="68">
        <v>97.738284919678904</v>
      </c>
      <c r="Z194" s="68">
        <v>98.837083164613105</v>
      </c>
      <c r="AA194" s="68">
        <v>2.66278175720627</v>
      </c>
      <c r="AB194" s="68">
        <v>61.618024229603002</v>
      </c>
      <c r="AC194" s="68">
        <v>582.00528083631195</v>
      </c>
    </row>
    <row r="195" spans="1:29" x14ac:dyDescent="0.25">
      <c r="A195" s="70" t="s">
        <v>547</v>
      </c>
      <c r="B195" s="68">
        <v>99.871593470588394</v>
      </c>
      <c r="C195" s="68">
        <v>1.7498598352605199</v>
      </c>
      <c r="D195" s="68">
        <v>99.871593470588394</v>
      </c>
      <c r="E195" s="68">
        <v>1.7498598352605199</v>
      </c>
      <c r="F195" s="68">
        <v>99.941313572513494</v>
      </c>
      <c r="G195" s="68">
        <v>1.2405468713601999</v>
      </c>
      <c r="H195" s="68">
        <v>9038.7039999999997</v>
      </c>
      <c r="I195" s="68">
        <v>32863.703999999998</v>
      </c>
      <c r="J195" s="68">
        <v>99.818958894519298</v>
      </c>
      <c r="K195" s="68">
        <v>0.79387034253916799</v>
      </c>
      <c r="L195" s="68">
        <v>5460.8389999999999</v>
      </c>
      <c r="M195" s="68">
        <v>13148.224</v>
      </c>
      <c r="N195" s="68">
        <v>100</v>
      </c>
      <c r="O195" s="68">
        <v>23594.4972696525</v>
      </c>
      <c r="P195" s="68">
        <v>10225.19</v>
      </c>
      <c r="Q195" s="68">
        <v>40450.703999999998</v>
      </c>
      <c r="R195" s="68">
        <v>99.925079653971196</v>
      </c>
      <c r="S195" s="68">
        <v>16921.2021542238</v>
      </c>
      <c r="T195" s="68">
        <v>6945.95</v>
      </c>
      <c r="U195" s="68">
        <v>23260.879000000001</v>
      </c>
      <c r="V195" s="68"/>
      <c r="W195" s="68"/>
      <c r="X195" s="68"/>
      <c r="Y195" s="68">
        <v>95.851124244315002</v>
      </c>
      <c r="Z195" s="68">
        <v>99.6176353257259</v>
      </c>
      <c r="AA195" s="68">
        <v>1.5187419555769099</v>
      </c>
      <c r="AB195" s="68">
        <v>91.464353858229202</v>
      </c>
      <c r="AC195" s="68">
        <v>689.33093009489096</v>
      </c>
    </row>
    <row r="196" spans="1:29" x14ac:dyDescent="0.25">
      <c r="A196" s="70" t="s">
        <v>151</v>
      </c>
      <c r="B196" s="68">
        <v>85.548136980400599</v>
      </c>
      <c r="C196" s="68">
        <v>3.4147368421052602</v>
      </c>
      <c r="D196" s="68">
        <v>85.548136980400599</v>
      </c>
      <c r="E196" s="68">
        <v>3.4147368421052602</v>
      </c>
      <c r="F196" s="68">
        <v>89.037945573016501</v>
      </c>
      <c r="G196" s="68">
        <v>2.74988369011513</v>
      </c>
      <c r="H196" s="68">
        <v>996.25</v>
      </c>
      <c r="I196" s="68">
        <v>16026.5</v>
      </c>
      <c r="J196" s="68">
        <v>80.650277557494107</v>
      </c>
      <c r="K196" s="68">
        <v>2.19031268469787</v>
      </c>
      <c r="L196" s="68">
        <v>707.5</v>
      </c>
      <c r="M196" s="68">
        <v>8996.5</v>
      </c>
      <c r="N196" s="68">
        <v>91.096721974908903</v>
      </c>
      <c r="O196" s="68">
        <v>13210.210526315799</v>
      </c>
      <c r="P196" s="68">
        <v>1014</v>
      </c>
      <c r="Q196" s="68">
        <v>40091.5</v>
      </c>
      <c r="R196" s="68">
        <v>88.589473684210503</v>
      </c>
      <c r="S196" s="68">
        <v>7088.6842105263204</v>
      </c>
      <c r="T196" s="68">
        <v>520.25</v>
      </c>
      <c r="U196" s="68">
        <v>24499.5</v>
      </c>
      <c r="V196" s="68"/>
      <c r="W196" s="68"/>
      <c r="X196" s="68"/>
      <c r="Y196" s="68">
        <v>70.476973684210506</v>
      </c>
      <c r="Z196" s="68">
        <v>93.183850641773603</v>
      </c>
      <c r="AA196" s="68">
        <v>3.94157894736842</v>
      </c>
      <c r="AB196" s="68">
        <v>80.630105017502899</v>
      </c>
      <c r="AC196" s="68">
        <v>638.12684210526299</v>
      </c>
    </row>
    <row r="197" spans="1:29" x14ac:dyDescent="0.25">
      <c r="A197" s="70" t="s">
        <v>548</v>
      </c>
      <c r="B197" s="68">
        <v>85.548136980400599</v>
      </c>
      <c r="C197" s="68">
        <v>3.4147368421052602</v>
      </c>
      <c r="D197" s="68">
        <v>85.548136980400599</v>
      </c>
      <c r="E197" s="68">
        <v>3.4147368421052602</v>
      </c>
      <c r="F197" s="68">
        <v>89.037945573016501</v>
      </c>
      <c r="G197" s="68">
        <v>2.74988369011513</v>
      </c>
      <c r="H197" s="68">
        <v>996.25</v>
      </c>
      <c r="I197" s="68">
        <v>16026.5</v>
      </c>
      <c r="J197" s="68">
        <v>80.650277557494107</v>
      </c>
      <c r="K197" s="68">
        <v>2.19031268469787</v>
      </c>
      <c r="L197" s="68">
        <v>707.5</v>
      </c>
      <c r="M197" s="68">
        <v>8996.5</v>
      </c>
      <c r="N197" s="68">
        <v>91.096721974908903</v>
      </c>
      <c r="O197" s="68">
        <v>13210.210526315799</v>
      </c>
      <c r="P197" s="68">
        <v>1014</v>
      </c>
      <c r="Q197" s="68">
        <v>40091.5</v>
      </c>
      <c r="R197" s="68">
        <v>88.589473684210503</v>
      </c>
      <c r="S197" s="68">
        <v>7088.6842105263204</v>
      </c>
      <c r="T197" s="68">
        <v>520.25</v>
      </c>
      <c r="U197" s="68">
        <v>24499.5</v>
      </c>
      <c r="V197" s="68"/>
      <c r="W197" s="68"/>
      <c r="X197" s="68"/>
      <c r="Y197" s="68">
        <v>70.476973684210506</v>
      </c>
      <c r="Z197" s="68">
        <v>93.183850641773603</v>
      </c>
      <c r="AA197" s="68">
        <v>3.94157894736842</v>
      </c>
      <c r="AB197" s="68">
        <v>80.630105017502899</v>
      </c>
      <c r="AC197" s="68">
        <v>638.12684210526299</v>
      </c>
    </row>
    <row r="198" spans="1:29" x14ac:dyDescent="0.25">
      <c r="A198" s="70" t="s">
        <v>152</v>
      </c>
      <c r="B198" s="68">
        <v>95.116799465748201</v>
      </c>
      <c r="C198" s="68">
        <v>2.5540332418903802</v>
      </c>
      <c r="D198" s="68">
        <v>95.116799465748201</v>
      </c>
      <c r="E198" s="68">
        <v>2.5540332418903802</v>
      </c>
      <c r="F198" s="68">
        <v>99.081273930214095</v>
      </c>
      <c r="G198" s="68">
        <v>3.05360114058562</v>
      </c>
      <c r="H198" s="68">
        <v>2021.5</v>
      </c>
      <c r="I198" s="68">
        <v>15949.5</v>
      </c>
      <c r="J198" s="68">
        <v>96.376737428157398</v>
      </c>
      <c r="K198" s="68">
        <v>2.15614669366922</v>
      </c>
      <c r="L198" s="68">
        <v>1190.5</v>
      </c>
      <c r="M198" s="68">
        <v>5894</v>
      </c>
      <c r="N198" s="68">
        <v>98.683344977610403</v>
      </c>
      <c r="O198" s="68">
        <v>10694.694610151801</v>
      </c>
      <c r="P198" s="68">
        <v>2670.5</v>
      </c>
      <c r="Q198" s="68">
        <v>27853</v>
      </c>
      <c r="R198" s="68">
        <v>98.2047397214764</v>
      </c>
      <c r="S198" s="68">
        <v>7776.4946064517499</v>
      </c>
      <c r="T198" s="68">
        <v>1445</v>
      </c>
      <c r="U198" s="68">
        <v>18938</v>
      </c>
      <c r="V198" s="68">
        <v>97.857574343062694</v>
      </c>
      <c r="W198" s="68">
        <v>98.570403584229396</v>
      </c>
      <c r="X198" s="68">
        <v>2.5</v>
      </c>
      <c r="Y198" s="68">
        <v>93.119323007960304</v>
      </c>
      <c r="Z198" s="68">
        <v>92.639119605350103</v>
      </c>
      <c r="AA198" s="68">
        <v>2.8815607038464202</v>
      </c>
      <c r="AB198" s="68">
        <v>56.473602563755101</v>
      </c>
      <c r="AC198" s="68">
        <v>563.30509003592795</v>
      </c>
    </row>
    <row r="199" spans="1:29" x14ac:dyDescent="0.25">
      <c r="A199" s="70" t="s">
        <v>153</v>
      </c>
      <c r="B199" s="68">
        <v>93.454231600302094</v>
      </c>
      <c r="C199" s="68">
        <v>2.62727174412889</v>
      </c>
      <c r="D199" s="68">
        <v>93.454231600302094</v>
      </c>
      <c r="E199" s="68">
        <v>2.62727174412889</v>
      </c>
      <c r="F199" s="68">
        <v>98.713473540885204</v>
      </c>
      <c r="G199" s="68">
        <v>4.10389968675831</v>
      </c>
      <c r="H199" s="68">
        <v>936</v>
      </c>
      <c r="I199" s="68">
        <v>11437</v>
      </c>
      <c r="J199" s="68">
        <v>95.113421851688301</v>
      </c>
      <c r="K199" s="68">
        <v>5.3291449724087201</v>
      </c>
      <c r="L199" s="68">
        <v>638</v>
      </c>
      <c r="M199" s="68">
        <v>2244</v>
      </c>
      <c r="N199" s="68">
        <v>98.954964044826696</v>
      </c>
      <c r="O199" s="68">
        <v>6650.4361395218502</v>
      </c>
      <c r="P199" s="68">
        <v>813</v>
      </c>
      <c r="Q199" s="68">
        <v>13908</v>
      </c>
      <c r="R199" s="68">
        <v>98.521372897111306</v>
      </c>
      <c r="S199" s="68">
        <v>1728.7015587587</v>
      </c>
      <c r="T199" s="68">
        <v>516</v>
      </c>
      <c r="U199" s="68">
        <v>2553</v>
      </c>
      <c r="V199" s="68">
        <v>97.613882863340606</v>
      </c>
      <c r="W199" s="68">
        <v>97.998355555555605</v>
      </c>
      <c r="X199" s="68">
        <v>2.16</v>
      </c>
      <c r="Y199" s="68">
        <v>94.013167473234503</v>
      </c>
      <c r="Z199" s="68">
        <v>92.771259075255799</v>
      </c>
      <c r="AA199" s="68">
        <v>2.6176525802240098</v>
      </c>
      <c r="AB199" s="68">
        <v>21.861531363769998</v>
      </c>
      <c r="AC199" s="68">
        <v>438.70151290957199</v>
      </c>
    </row>
    <row r="200" spans="1:29" x14ac:dyDescent="0.25">
      <c r="A200" s="70" t="s">
        <v>154</v>
      </c>
      <c r="B200" s="68">
        <v>96.779367331194294</v>
      </c>
      <c r="C200" s="68">
        <v>2.4807947396518801</v>
      </c>
      <c r="D200" s="68">
        <v>96.779367331194294</v>
      </c>
      <c r="E200" s="68">
        <v>2.4807947396518801</v>
      </c>
      <c r="F200" s="68">
        <v>99.449074319542902</v>
      </c>
      <c r="G200" s="68">
        <v>2.4313525010092301</v>
      </c>
      <c r="H200" s="68">
        <v>3107</v>
      </c>
      <c r="I200" s="68">
        <v>20462</v>
      </c>
      <c r="J200" s="68">
        <v>97.640053004626495</v>
      </c>
      <c r="K200" s="68">
        <v>1.35147314893703</v>
      </c>
      <c r="L200" s="68">
        <v>1743</v>
      </c>
      <c r="M200" s="68">
        <v>9544</v>
      </c>
      <c r="N200" s="68">
        <v>98.411725910394097</v>
      </c>
      <c r="O200" s="68">
        <v>14738.953080781699</v>
      </c>
      <c r="P200" s="68">
        <v>4528</v>
      </c>
      <c r="Q200" s="68">
        <v>41798</v>
      </c>
      <c r="R200" s="68">
        <v>97.888106545841595</v>
      </c>
      <c r="S200" s="68">
        <v>13824.2876541448</v>
      </c>
      <c r="T200" s="68">
        <v>2374</v>
      </c>
      <c r="U200" s="68">
        <v>35323</v>
      </c>
      <c r="V200" s="68">
        <v>98.101265822784796</v>
      </c>
      <c r="W200" s="68">
        <v>99.142451612903201</v>
      </c>
      <c r="X200" s="68">
        <v>2.84</v>
      </c>
      <c r="Y200" s="68">
        <v>92.225478542686105</v>
      </c>
      <c r="Z200" s="68">
        <v>92.506980135444294</v>
      </c>
      <c r="AA200" s="68">
        <v>3.1454688274688301</v>
      </c>
      <c r="AB200" s="68">
        <v>91.085673763740203</v>
      </c>
      <c r="AC200" s="68">
        <v>687.90866716228504</v>
      </c>
    </row>
    <row r="201" spans="1:29" x14ac:dyDescent="0.25">
      <c r="A201" s="70" t="s">
        <v>372</v>
      </c>
      <c r="B201" s="68">
        <v>88.627132412672594</v>
      </c>
      <c r="C201" s="68">
        <v>3.3442857142857099</v>
      </c>
      <c r="D201" s="68">
        <v>88.627132412672594</v>
      </c>
      <c r="E201" s="68">
        <v>3.3442857142857099</v>
      </c>
      <c r="F201" s="68">
        <v>92.781954887218006</v>
      </c>
      <c r="G201" s="68">
        <v>2.5383559824708999</v>
      </c>
      <c r="H201" s="68">
        <v>937</v>
      </c>
      <c r="I201" s="68">
        <v>16265</v>
      </c>
      <c r="J201" s="68">
        <v>84.871993793638495</v>
      </c>
      <c r="K201" s="68">
        <v>2.0981303281987498</v>
      </c>
      <c r="L201" s="68">
        <v>716</v>
      </c>
      <c r="M201" s="68">
        <v>9232</v>
      </c>
      <c r="N201" s="68">
        <v>94.048551292090806</v>
      </c>
      <c r="O201" s="68">
        <v>14310.642857142901</v>
      </c>
      <c r="P201" s="68">
        <v>852</v>
      </c>
      <c r="Q201" s="68">
        <v>42677</v>
      </c>
      <c r="R201" s="68">
        <v>91.801948051948102</v>
      </c>
      <c r="S201" s="68">
        <v>7632.8571428571404</v>
      </c>
      <c r="T201" s="68">
        <v>580</v>
      </c>
      <c r="U201" s="68">
        <v>25480</v>
      </c>
      <c r="V201" s="68"/>
      <c r="W201" s="68"/>
      <c r="X201" s="68"/>
      <c r="Y201" s="68">
        <v>72.474144789180599</v>
      </c>
      <c r="Z201" s="68">
        <v>94.191226281950804</v>
      </c>
      <c r="AA201" s="68">
        <v>3.8214285714285698</v>
      </c>
      <c r="AB201" s="68">
        <v>86.498353457738702</v>
      </c>
      <c r="AC201" s="68">
        <v>651.96285714285705</v>
      </c>
    </row>
    <row r="202" spans="1:29" x14ac:dyDescent="0.25">
      <c r="A202" s="70" t="s">
        <v>549</v>
      </c>
      <c r="B202" s="68">
        <v>88.627132412672594</v>
      </c>
      <c r="C202" s="68">
        <v>3.3442857142857099</v>
      </c>
      <c r="D202" s="68">
        <v>88.627132412672594</v>
      </c>
      <c r="E202" s="68">
        <v>3.3442857142857099</v>
      </c>
      <c r="F202" s="68">
        <v>92.781954887218006</v>
      </c>
      <c r="G202" s="68">
        <v>2.5383559824708999</v>
      </c>
      <c r="H202" s="68">
        <v>937</v>
      </c>
      <c r="I202" s="68">
        <v>16265</v>
      </c>
      <c r="J202" s="68">
        <v>84.871993793638495</v>
      </c>
      <c r="K202" s="68">
        <v>2.0981303281987498</v>
      </c>
      <c r="L202" s="68">
        <v>716</v>
      </c>
      <c r="M202" s="68">
        <v>9232</v>
      </c>
      <c r="N202" s="68">
        <v>94.048551292090806</v>
      </c>
      <c r="O202" s="68">
        <v>14310.642857142901</v>
      </c>
      <c r="P202" s="68">
        <v>852</v>
      </c>
      <c r="Q202" s="68">
        <v>42677</v>
      </c>
      <c r="R202" s="68">
        <v>91.801948051948102</v>
      </c>
      <c r="S202" s="68">
        <v>7632.8571428571404</v>
      </c>
      <c r="T202" s="68">
        <v>580</v>
      </c>
      <c r="U202" s="68">
        <v>25480</v>
      </c>
      <c r="V202" s="68"/>
      <c r="W202" s="68"/>
      <c r="X202" s="68"/>
      <c r="Y202" s="68">
        <v>72.474144789180599</v>
      </c>
      <c r="Z202" s="68">
        <v>94.191226281950804</v>
      </c>
      <c r="AA202" s="68">
        <v>3.8214285714285698</v>
      </c>
      <c r="AB202" s="68">
        <v>86.498353457738702</v>
      </c>
      <c r="AC202" s="68">
        <v>651.96285714285705</v>
      </c>
    </row>
    <row r="203" spans="1:29" x14ac:dyDescent="0.25">
      <c r="A203" s="70" t="s">
        <v>155</v>
      </c>
      <c r="B203" s="68">
        <v>93.515346661440603</v>
      </c>
      <c r="C203" s="68">
        <v>2.9682843927454101</v>
      </c>
      <c r="D203" s="68">
        <v>93.515346661440603</v>
      </c>
      <c r="E203" s="68">
        <v>2.9682843927454101</v>
      </c>
      <c r="F203" s="68">
        <v>97.877034593364897</v>
      </c>
      <c r="G203" s="68">
        <v>3.3976108966010301</v>
      </c>
      <c r="H203" s="68">
        <v>1165</v>
      </c>
      <c r="I203" s="68">
        <v>16794.5</v>
      </c>
      <c r="J203" s="68">
        <v>92.210868419905495</v>
      </c>
      <c r="K203" s="68">
        <v>2.6268141851234299</v>
      </c>
      <c r="L203" s="68">
        <v>654</v>
      </c>
      <c r="M203" s="68">
        <v>5719.5</v>
      </c>
      <c r="N203" s="68">
        <v>97.575433638309207</v>
      </c>
      <c r="O203" s="68">
        <v>9248.6142011020092</v>
      </c>
      <c r="P203" s="68">
        <v>937.5</v>
      </c>
      <c r="Q203" s="68">
        <v>23362</v>
      </c>
      <c r="R203" s="68">
        <v>97.1137081853404</v>
      </c>
      <c r="S203" s="68">
        <v>6223.3702854430803</v>
      </c>
      <c r="T203" s="68">
        <v>494.5</v>
      </c>
      <c r="U203" s="68">
        <v>17083.5</v>
      </c>
      <c r="V203" s="68">
        <v>99.156091835552701</v>
      </c>
      <c r="W203" s="68">
        <v>99.185134778752897</v>
      </c>
      <c r="X203" s="68">
        <v>2.0600937432774602</v>
      </c>
      <c r="Y203" s="68">
        <v>80.043801472438901</v>
      </c>
      <c r="Z203" s="68">
        <v>87.029644896029296</v>
      </c>
      <c r="AA203" s="68">
        <v>3.4417631811007698</v>
      </c>
      <c r="AB203" s="68">
        <v>73.007842941061298</v>
      </c>
      <c r="AC203" s="68">
        <v>622.82845619945397</v>
      </c>
    </row>
    <row r="204" spans="1:29" x14ac:dyDescent="0.25">
      <c r="A204" s="70" t="s">
        <v>156</v>
      </c>
      <c r="B204" s="68">
        <v>92.948037787670998</v>
      </c>
      <c r="C204" s="68">
        <v>2.9345563050792198</v>
      </c>
      <c r="D204" s="68">
        <v>92.948037787670998</v>
      </c>
      <c r="E204" s="68">
        <v>2.9345563050792198</v>
      </c>
      <c r="F204" s="68">
        <v>97.942171998211705</v>
      </c>
      <c r="G204" s="68">
        <v>4.63020101729371</v>
      </c>
      <c r="H204" s="68">
        <v>1131</v>
      </c>
      <c r="I204" s="68">
        <v>11604</v>
      </c>
      <c r="J204" s="68">
        <v>90.476288141181598</v>
      </c>
      <c r="K204" s="68">
        <v>6.0533737597297597</v>
      </c>
      <c r="L204" s="68">
        <v>574</v>
      </c>
      <c r="M204" s="68">
        <v>2145</v>
      </c>
      <c r="N204" s="68">
        <v>97.9859102234999</v>
      </c>
      <c r="O204" s="68">
        <v>5810.24002325333</v>
      </c>
      <c r="P204" s="68">
        <v>869</v>
      </c>
      <c r="Q204" s="68">
        <v>12521</v>
      </c>
      <c r="R204" s="68">
        <v>97.664497709653702</v>
      </c>
      <c r="S204" s="68">
        <v>1471.91186200776</v>
      </c>
      <c r="T204" s="68">
        <v>406</v>
      </c>
      <c r="U204" s="68">
        <v>2479</v>
      </c>
      <c r="V204" s="68">
        <v>100</v>
      </c>
      <c r="W204" s="68">
        <v>98.369569426287796</v>
      </c>
      <c r="X204" s="68">
        <v>1.96971554334696</v>
      </c>
      <c r="Y204" s="68">
        <v>79.087502267144501</v>
      </c>
      <c r="Z204" s="68">
        <v>86.435070983250299</v>
      </c>
      <c r="AA204" s="68">
        <v>3.4016710664517298</v>
      </c>
      <c r="AB204" s="68">
        <v>56.251204984322499</v>
      </c>
      <c r="AC204" s="68">
        <v>562.50433794356104</v>
      </c>
    </row>
    <row r="205" spans="1:29" x14ac:dyDescent="0.25">
      <c r="A205" s="70" t="s">
        <v>157</v>
      </c>
      <c r="B205" s="68">
        <v>94.082655535210293</v>
      </c>
      <c r="C205" s="68">
        <v>3.0020124804116</v>
      </c>
      <c r="D205" s="68">
        <v>94.082655535210293</v>
      </c>
      <c r="E205" s="68">
        <v>3.0020124804116</v>
      </c>
      <c r="F205" s="68">
        <v>97.811897188518103</v>
      </c>
      <c r="G205" s="68">
        <v>2.6832989713519599</v>
      </c>
      <c r="H205" s="68">
        <v>1199</v>
      </c>
      <c r="I205" s="68">
        <v>21985</v>
      </c>
      <c r="J205" s="68">
        <v>93.945448698629306</v>
      </c>
      <c r="K205" s="68">
        <v>1.6773417596006399</v>
      </c>
      <c r="L205" s="68">
        <v>734</v>
      </c>
      <c r="M205" s="68">
        <v>9294</v>
      </c>
      <c r="N205" s="68">
        <v>97.164957053118599</v>
      </c>
      <c r="O205" s="68">
        <v>12686.9883789507</v>
      </c>
      <c r="P205" s="68">
        <v>1006</v>
      </c>
      <c r="Q205" s="68">
        <v>34203</v>
      </c>
      <c r="R205" s="68">
        <v>96.562918661026998</v>
      </c>
      <c r="S205" s="68">
        <v>10974.8287088784</v>
      </c>
      <c r="T205" s="68">
        <v>583</v>
      </c>
      <c r="U205" s="68">
        <v>31688</v>
      </c>
      <c r="V205" s="68">
        <v>98.312183671105402</v>
      </c>
      <c r="W205" s="68">
        <v>100.000700131218</v>
      </c>
      <c r="X205" s="68">
        <v>2.1504719432079602</v>
      </c>
      <c r="Y205" s="68">
        <v>81.0001006777333</v>
      </c>
      <c r="Z205" s="68">
        <v>87.624218808808294</v>
      </c>
      <c r="AA205" s="68">
        <v>3.4818552957498099</v>
      </c>
      <c r="AB205" s="68">
        <v>89.764480897800098</v>
      </c>
      <c r="AC205" s="68">
        <v>683.15257445534701</v>
      </c>
    </row>
    <row r="206" spans="1:29" x14ac:dyDescent="0.25">
      <c r="A206" s="70" t="s">
        <v>158</v>
      </c>
      <c r="B206" s="68">
        <v>84.911242603550306</v>
      </c>
      <c r="C206" s="68">
        <v>3.4747368421052598</v>
      </c>
      <c r="D206" s="68">
        <v>84.911242603550306</v>
      </c>
      <c r="E206" s="68">
        <v>3.4747368421052598</v>
      </c>
      <c r="F206" s="68">
        <v>85.708812260536405</v>
      </c>
      <c r="G206" s="68">
        <v>2.0931683700914498</v>
      </c>
      <c r="H206" s="68">
        <v>1689.5</v>
      </c>
      <c r="I206" s="68">
        <v>18647.25</v>
      </c>
      <c r="J206" s="68">
        <v>75.785288270377706</v>
      </c>
      <c r="K206" s="68">
        <v>1.83443333961908</v>
      </c>
      <c r="L206" s="68">
        <v>737.25</v>
      </c>
      <c r="M206" s="68">
        <v>9378.25</v>
      </c>
      <c r="N206" s="68">
        <v>82.597938144329902</v>
      </c>
      <c r="O206" s="68">
        <v>14969.3157894737</v>
      </c>
      <c r="P206" s="68">
        <v>1492</v>
      </c>
      <c r="Q206" s="68">
        <v>32809.25</v>
      </c>
      <c r="R206" s="68">
        <v>89.170896785110003</v>
      </c>
      <c r="S206" s="68">
        <v>6394.4736842105303</v>
      </c>
      <c r="T206" s="68">
        <v>324.25</v>
      </c>
      <c r="U206" s="68">
        <v>18777</v>
      </c>
      <c r="V206" s="68"/>
      <c r="W206" s="68"/>
      <c r="X206" s="68"/>
      <c r="Y206" s="68">
        <v>77.371048252911805</v>
      </c>
      <c r="Z206" s="68">
        <v>99.005481607243894</v>
      </c>
      <c r="AA206" s="68">
        <v>4.0642105263157902</v>
      </c>
      <c r="AB206" s="68">
        <v>82.580645161290306</v>
      </c>
      <c r="AC206" s="68">
        <v>645.78736842105297</v>
      </c>
    </row>
    <row r="207" spans="1:29" x14ac:dyDescent="0.25">
      <c r="A207" s="70" t="s">
        <v>550</v>
      </c>
      <c r="B207" s="68">
        <v>84.911242603550306</v>
      </c>
      <c r="C207" s="68">
        <v>3.4747368421052598</v>
      </c>
      <c r="D207" s="68">
        <v>84.911242603550306</v>
      </c>
      <c r="E207" s="68">
        <v>3.4747368421052598</v>
      </c>
      <c r="F207" s="68">
        <v>85.708812260536405</v>
      </c>
      <c r="G207" s="68">
        <v>2.0931683700914498</v>
      </c>
      <c r="H207" s="68">
        <v>1689.5</v>
      </c>
      <c r="I207" s="68">
        <v>18647.25</v>
      </c>
      <c r="J207" s="68">
        <v>75.785288270377706</v>
      </c>
      <c r="K207" s="68">
        <v>1.83443333961908</v>
      </c>
      <c r="L207" s="68">
        <v>737.25</v>
      </c>
      <c r="M207" s="68">
        <v>9378.25</v>
      </c>
      <c r="N207" s="68">
        <v>82.597938144329902</v>
      </c>
      <c r="O207" s="68">
        <v>14969.3157894737</v>
      </c>
      <c r="P207" s="68">
        <v>1492</v>
      </c>
      <c r="Q207" s="68">
        <v>32809.25</v>
      </c>
      <c r="R207" s="68">
        <v>89.170896785110003</v>
      </c>
      <c r="S207" s="68">
        <v>6394.4736842105303</v>
      </c>
      <c r="T207" s="68">
        <v>324.25</v>
      </c>
      <c r="U207" s="68">
        <v>18777</v>
      </c>
      <c r="V207" s="68"/>
      <c r="W207" s="68"/>
      <c r="X207" s="68"/>
      <c r="Y207" s="68">
        <v>77.371048252911805</v>
      </c>
      <c r="Z207" s="68">
        <v>99.005481607243894</v>
      </c>
      <c r="AA207" s="68">
        <v>4.0642105263157902</v>
      </c>
      <c r="AB207" s="68">
        <v>82.580645161290306</v>
      </c>
      <c r="AC207" s="68">
        <v>645.78736842105297</v>
      </c>
    </row>
    <row r="208" spans="1:29" x14ac:dyDescent="0.25">
      <c r="A208" s="70" t="s">
        <v>159</v>
      </c>
      <c r="B208" s="68">
        <v>89.259695429627101</v>
      </c>
      <c r="C208" s="68">
        <v>2.7192277061562802</v>
      </c>
      <c r="D208" s="68">
        <v>89.259695429627101</v>
      </c>
      <c r="E208" s="68">
        <v>2.7192277061562802</v>
      </c>
      <c r="F208" s="68">
        <v>97.114859211175997</v>
      </c>
      <c r="G208" s="68">
        <v>2.1077778162005099</v>
      </c>
      <c r="H208" s="68">
        <v>5776.5</v>
      </c>
      <c r="I208" s="68">
        <v>19063</v>
      </c>
      <c r="J208" s="68">
        <v>94.395907491919004</v>
      </c>
      <c r="K208" s="68">
        <v>1.80162279685895</v>
      </c>
      <c r="L208" s="68">
        <v>1998</v>
      </c>
      <c r="M208" s="68">
        <v>6410</v>
      </c>
      <c r="N208" s="68">
        <v>95.163688562175594</v>
      </c>
      <c r="O208" s="68">
        <v>17521.6356072499</v>
      </c>
      <c r="P208" s="68">
        <v>6139</v>
      </c>
      <c r="Q208" s="68">
        <v>28047.5</v>
      </c>
      <c r="R208" s="68">
        <v>96.480283154344704</v>
      </c>
      <c r="S208" s="68">
        <v>8356.1778417349797</v>
      </c>
      <c r="T208" s="68">
        <v>2480</v>
      </c>
      <c r="U208" s="68">
        <v>12243</v>
      </c>
      <c r="V208" s="68">
        <v>99.0362811791383</v>
      </c>
      <c r="W208" s="68">
        <v>99.337474934534896</v>
      </c>
      <c r="X208" s="68">
        <v>2.6850000000000001</v>
      </c>
      <c r="Y208" s="68">
        <v>98.185372217116594</v>
      </c>
      <c r="Z208" s="68">
        <v>96.121234556819104</v>
      </c>
      <c r="AA208" s="68">
        <v>3.2961584870156302</v>
      </c>
      <c r="AB208" s="68">
        <v>57.361290276519902</v>
      </c>
      <c r="AC208" s="68">
        <v>566.50103158249499</v>
      </c>
    </row>
    <row r="209" spans="1:29" x14ac:dyDescent="0.25">
      <c r="A209" s="70" t="s">
        <v>160</v>
      </c>
      <c r="B209" s="68">
        <v>82.166624895702995</v>
      </c>
      <c r="C209" s="68">
        <v>2.8943767449481701</v>
      </c>
      <c r="D209" s="68">
        <v>82.166624895702995</v>
      </c>
      <c r="E209" s="68">
        <v>2.8943767449481701</v>
      </c>
      <c r="F209" s="68">
        <v>97.4227999360035</v>
      </c>
      <c r="G209" s="68">
        <v>3.3324186762787602</v>
      </c>
      <c r="H209" s="68">
        <v>3475</v>
      </c>
      <c r="I209" s="68">
        <v>11516</v>
      </c>
      <c r="J209" s="68">
        <v>92.795115039231106</v>
      </c>
      <c r="K209" s="68">
        <v>4.7067114161733796</v>
      </c>
      <c r="L209" s="68">
        <v>791</v>
      </c>
      <c r="M209" s="68">
        <v>2806</v>
      </c>
      <c r="N209" s="68">
        <v>96.349363853758902</v>
      </c>
      <c r="O209" s="68">
        <v>9286.2944177515601</v>
      </c>
      <c r="P209" s="68">
        <v>3678</v>
      </c>
      <c r="Q209" s="68">
        <v>16356</v>
      </c>
      <c r="R209" s="68">
        <v>96.122796277352904</v>
      </c>
      <c r="S209" s="68">
        <v>1950.87118489976</v>
      </c>
      <c r="T209" s="68">
        <v>566</v>
      </c>
      <c r="U209" s="68">
        <v>3226</v>
      </c>
      <c r="V209" s="68">
        <v>99.092970521542</v>
      </c>
      <c r="W209" s="68">
        <v>99.088764302059502</v>
      </c>
      <c r="X209" s="68">
        <v>2.77</v>
      </c>
      <c r="Y209" s="68">
        <v>98.2159634114103</v>
      </c>
      <c r="Z209" s="68">
        <v>94.563295488971406</v>
      </c>
      <c r="AA209" s="68">
        <v>3.6742258693687302</v>
      </c>
      <c r="AB209" s="68">
        <v>21.861531363769998</v>
      </c>
      <c r="AC209" s="68">
        <v>438.70151290957199</v>
      </c>
    </row>
    <row r="210" spans="1:29" x14ac:dyDescent="0.25">
      <c r="A210" s="70" t="s">
        <v>161</v>
      </c>
      <c r="B210" s="68">
        <v>96.352765963551207</v>
      </c>
      <c r="C210" s="68">
        <v>2.54407866736438</v>
      </c>
      <c r="D210" s="68">
        <v>96.352765963551207</v>
      </c>
      <c r="E210" s="68">
        <v>2.54407866736438</v>
      </c>
      <c r="F210" s="68">
        <v>96.806918486348494</v>
      </c>
      <c r="G210" s="68">
        <v>1.54134439195142</v>
      </c>
      <c r="H210" s="68">
        <v>8078</v>
      </c>
      <c r="I210" s="68">
        <v>26610</v>
      </c>
      <c r="J210" s="68">
        <v>95.996699944606902</v>
      </c>
      <c r="K210" s="68">
        <v>1.1140227733361401</v>
      </c>
      <c r="L210" s="68">
        <v>3205</v>
      </c>
      <c r="M210" s="68">
        <v>10014</v>
      </c>
      <c r="N210" s="68">
        <v>93.978013270592299</v>
      </c>
      <c r="O210" s="68">
        <v>25756.9767967482</v>
      </c>
      <c r="P210" s="68">
        <v>8600</v>
      </c>
      <c r="Q210" s="68">
        <v>39739</v>
      </c>
      <c r="R210" s="68">
        <v>96.837770031336404</v>
      </c>
      <c r="S210" s="68">
        <v>14761.4844985702</v>
      </c>
      <c r="T210" s="68">
        <v>4394</v>
      </c>
      <c r="U210" s="68">
        <v>21260</v>
      </c>
      <c r="V210" s="68">
        <v>98.979591836734699</v>
      </c>
      <c r="W210" s="68">
        <v>99.586185567010304</v>
      </c>
      <c r="X210" s="68">
        <v>2.6</v>
      </c>
      <c r="Y210" s="68">
        <v>98.154781022822803</v>
      </c>
      <c r="Z210" s="68">
        <v>97.679173624666902</v>
      </c>
      <c r="AA210" s="68">
        <v>2.9180911046625302</v>
      </c>
      <c r="AB210" s="68">
        <v>92.861049189269707</v>
      </c>
      <c r="AC210" s="68">
        <v>694.30055025541901</v>
      </c>
    </row>
    <row r="211" spans="1:29" x14ac:dyDescent="0.25">
      <c r="A211" s="70" t="s">
        <v>373</v>
      </c>
      <c r="B211" s="68">
        <v>87.540584415584405</v>
      </c>
      <c r="C211" s="68">
        <v>3.4214285714285699</v>
      </c>
      <c r="D211" s="68">
        <v>87.540584415584405</v>
      </c>
      <c r="E211" s="68">
        <v>3.4214285714285699</v>
      </c>
      <c r="F211" s="68">
        <v>89.135254988913502</v>
      </c>
      <c r="G211" s="68">
        <v>1.9600207358964601</v>
      </c>
      <c r="H211" s="68">
        <v>1727</v>
      </c>
      <c r="I211" s="68">
        <v>18677</v>
      </c>
      <c r="J211" s="68">
        <v>78.384615384615401</v>
      </c>
      <c r="K211" s="68">
        <v>1.80080707208693</v>
      </c>
      <c r="L211" s="68">
        <v>755</v>
      </c>
      <c r="M211" s="68">
        <v>9365</v>
      </c>
      <c r="N211" s="68">
        <v>82.725832012678296</v>
      </c>
      <c r="O211" s="68">
        <v>15877.642857142901</v>
      </c>
      <c r="P211" s="68">
        <v>1648</v>
      </c>
      <c r="Q211" s="68">
        <v>32976</v>
      </c>
      <c r="R211" s="68">
        <v>91.503267973856197</v>
      </c>
      <c r="S211" s="68">
        <v>6540.7857142857101</v>
      </c>
      <c r="T211" s="68">
        <v>366</v>
      </c>
      <c r="U211" s="68">
        <v>19102</v>
      </c>
      <c r="V211" s="68"/>
      <c r="W211" s="68"/>
      <c r="X211" s="68"/>
      <c r="Y211" s="68">
        <v>79.871692060946302</v>
      </c>
      <c r="Z211" s="68">
        <v>99.082127079747593</v>
      </c>
      <c r="AA211" s="68">
        <v>3.9621428571428599</v>
      </c>
      <c r="AB211" s="68">
        <v>86.847389558232905</v>
      </c>
      <c r="AC211" s="68">
        <v>655.26928571428596</v>
      </c>
    </row>
    <row r="212" spans="1:29" x14ac:dyDescent="0.25">
      <c r="A212" s="70" t="s">
        <v>551</v>
      </c>
      <c r="B212" s="68">
        <v>87.540584415584405</v>
      </c>
      <c r="C212" s="68">
        <v>3.4214285714285699</v>
      </c>
      <c r="D212" s="68">
        <v>87.540584415584405</v>
      </c>
      <c r="E212" s="68">
        <v>3.4214285714285699</v>
      </c>
      <c r="F212" s="68">
        <v>89.135254988913502</v>
      </c>
      <c r="G212" s="68">
        <v>1.9600207358964601</v>
      </c>
      <c r="H212" s="68">
        <v>1727</v>
      </c>
      <c r="I212" s="68">
        <v>18677</v>
      </c>
      <c r="J212" s="68">
        <v>78.384615384615401</v>
      </c>
      <c r="K212" s="68">
        <v>1.80080707208693</v>
      </c>
      <c r="L212" s="68">
        <v>755</v>
      </c>
      <c r="M212" s="68">
        <v>9365</v>
      </c>
      <c r="N212" s="68">
        <v>82.725832012678296</v>
      </c>
      <c r="O212" s="68">
        <v>15877.642857142901</v>
      </c>
      <c r="P212" s="68">
        <v>1648</v>
      </c>
      <c r="Q212" s="68">
        <v>32976</v>
      </c>
      <c r="R212" s="68">
        <v>91.503267973856197</v>
      </c>
      <c r="S212" s="68">
        <v>6540.7857142857101</v>
      </c>
      <c r="T212" s="68">
        <v>366</v>
      </c>
      <c r="U212" s="68">
        <v>19102</v>
      </c>
      <c r="V212" s="68"/>
      <c r="W212" s="68"/>
      <c r="X212" s="68"/>
      <c r="Y212" s="68">
        <v>79.871692060946302</v>
      </c>
      <c r="Z212" s="68">
        <v>99.082127079747593</v>
      </c>
      <c r="AA212" s="68">
        <v>3.9621428571428599</v>
      </c>
      <c r="AB212" s="68">
        <v>86.847389558232905</v>
      </c>
      <c r="AC212" s="68">
        <v>655.26928571428596</v>
      </c>
    </row>
    <row r="213" spans="1:29" x14ac:dyDescent="0.25">
      <c r="A213" s="70" t="s">
        <v>162</v>
      </c>
      <c r="B213" s="68">
        <v>92.018051386656595</v>
      </c>
      <c r="C213" s="68">
        <v>2.8600680749723399</v>
      </c>
      <c r="D213" s="68">
        <v>92.018051386656595</v>
      </c>
      <c r="E213" s="68">
        <v>2.8600680749723399</v>
      </c>
      <c r="F213" s="68">
        <v>98.158500558452701</v>
      </c>
      <c r="G213" s="68">
        <v>2.2166993735283498</v>
      </c>
      <c r="H213" s="68">
        <v>4561</v>
      </c>
      <c r="I213" s="68">
        <v>19009</v>
      </c>
      <c r="J213" s="68">
        <v>91.347150312724196</v>
      </c>
      <c r="K213" s="68">
        <v>1.7544048189161501</v>
      </c>
      <c r="L213" s="68">
        <v>1989</v>
      </c>
      <c r="M213" s="68">
        <v>6290</v>
      </c>
      <c r="N213" s="68">
        <v>91.319342887482605</v>
      </c>
      <c r="O213" s="68">
        <v>13984.5165722117</v>
      </c>
      <c r="P213" s="68">
        <v>5425</v>
      </c>
      <c r="Q213" s="68">
        <v>24548</v>
      </c>
      <c r="R213" s="68">
        <v>95.698564403815098</v>
      </c>
      <c r="S213" s="68">
        <v>7007.74664258954</v>
      </c>
      <c r="T213" s="68">
        <v>2209</v>
      </c>
      <c r="U213" s="68">
        <v>10852</v>
      </c>
      <c r="V213" s="68">
        <v>99.185192117085407</v>
      </c>
      <c r="W213" s="68">
        <v>99.999578045917801</v>
      </c>
      <c r="X213" s="68">
        <v>2.6511624000926699</v>
      </c>
      <c r="Y213" s="68">
        <v>96.759158245491903</v>
      </c>
      <c r="Z213" s="68">
        <v>94.890303127430599</v>
      </c>
      <c r="AA213" s="68">
        <v>4.1376500794769697</v>
      </c>
      <c r="AB213" s="68">
        <v>77.174956028385196</v>
      </c>
      <c r="AC213" s="68">
        <v>637.829612747635</v>
      </c>
    </row>
    <row r="214" spans="1:29" x14ac:dyDescent="0.25">
      <c r="A214" s="70" t="s">
        <v>163</v>
      </c>
      <c r="B214" s="68">
        <v>86.486297158613198</v>
      </c>
      <c r="C214" s="68">
        <v>3.13271825274238</v>
      </c>
      <c r="D214" s="68">
        <v>86.486297158613198</v>
      </c>
      <c r="E214" s="68">
        <v>3.13271825274238</v>
      </c>
      <c r="F214" s="68">
        <v>98.085090009582302</v>
      </c>
      <c r="G214" s="68">
        <v>3.4018052338050699</v>
      </c>
      <c r="H214" s="68">
        <v>2652</v>
      </c>
      <c r="I214" s="68">
        <v>11851</v>
      </c>
      <c r="J214" s="68">
        <v>88.280195044032993</v>
      </c>
      <c r="K214" s="68">
        <v>5.2827815825785098</v>
      </c>
      <c r="L214" s="68">
        <v>547</v>
      </c>
      <c r="M214" s="68">
        <v>2627</v>
      </c>
      <c r="N214" s="68">
        <v>94.136486777366699</v>
      </c>
      <c r="O214" s="68">
        <v>8938.8404563045206</v>
      </c>
      <c r="P214" s="68">
        <v>3007</v>
      </c>
      <c r="Q214" s="68">
        <v>15120</v>
      </c>
      <c r="R214" s="68">
        <v>95.057835711677001</v>
      </c>
      <c r="S214" s="68">
        <v>1686.7752009391199</v>
      </c>
      <c r="T214" s="68">
        <v>394</v>
      </c>
      <c r="U214" s="68">
        <v>3076</v>
      </c>
      <c r="V214" s="68">
        <v>98.3703842341707</v>
      </c>
      <c r="W214" s="68">
        <v>99.999156091835602</v>
      </c>
      <c r="X214" s="68">
        <v>2.7878070857672399</v>
      </c>
      <c r="Y214" s="68">
        <v>94.955472092208197</v>
      </c>
      <c r="Z214" s="68">
        <v>93.230838151817693</v>
      </c>
      <c r="AA214" s="68">
        <v>5.0953094827537804</v>
      </c>
      <c r="AB214" s="68">
        <v>56.251204984322499</v>
      </c>
      <c r="AC214" s="68">
        <v>562.50433794356104</v>
      </c>
    </row>
    <row r="215" spans="1:29" x14ac:dyDescent="0.25">
      <c r="A215" s="70" t="s">
        <v>164</v>
      </c>
      <c r="B215" s="68">
        <v>97.549805614700006</v>
      </c>
      <c r="C215" s="68">
        <v>2.5874178972022999</v>
      </c>
      <c r="D215" s="68">
        <v>97.549805614700006</v>
      </c>
      <c r="E215" s="68">
        <v>2.5874178972022999</v>
      </c>
      <c r="F215" s="68">
        <v>98.231911107323199</v>
      </c>
      <c r="G215" s="68">
        <v>1.64397769565897</v>
      </c>
      <c r="H215" s="68">
        <v>6470</v>
      </c>
      <c r="I215" s="68">
        <v>26167</v>
      </c>
      <c r="J215" s="68">
        <v>94.414105581415399</v>
      </c>
      <c r="K215" s="68">
        <v>1.0518636825669301</v>
      </c>
      <c r="L215" s="68">
        <v>3431</v>
      </c>
      <c r="M215" s="68">
        <v>9953</v>
      </c>
      <c r="N215" s="68">
        <v>88.502198997598498</v>
      </c>
      <c r="O215" s="68">
        <v>19030.192688118899</v>
      </c>
      <c r="P215" s="68">
        <v>7843</v>
      </c>
      <c r="Q215" s="68">
        <v>33976</v>
      </c>
      <c r="R215" s="68">
        <v>96.339293095953195</v>
      </c>
      <c r="S215" s="68">
        <v>12328.718084239999</v>
      </c>
      <c r="T215" s="68">
        <v>4024</v>
      </c>
      <c r="U215" s="68">
        <v>18628</v>
      </c>
      <c r="V215" s="68">
        <v>100</v>
      </c>
      <c r="W215" s="68">
        <v>100</v>
      </c>
      <c r="X215" s="68">
        <v>2.5145177144180999</v>
      </c>
      <c r="Y215" s="68">
        <v>98.562844398775695</v>
      </c>
      <c r="Z215" s="68">
        <v>96.549768103043505</v>
      </c>
      <c r="AA215" s="68">
        <v>3.17999067620016</v>
      </c>
      <c r="AB215" s="68">
        <v>98.098707072447993</v>
      </c>
      <c r="AC215" s="68">
        <v>713.15488755170895</v>
      </c>
    </row>
    <row r="216" spans="1:29" x14ac:dyDescent="0.25">
      <c r="A216" s="70" t="s">
        <v>165</v>
      </c>
      <c r="B216" s="68">
        <v>94.923131927064702</v>
      </c>
      <c r="C216" s="68">
        <v>2.8778947368421099</v>
      </c>
      <c r="D216" s="68">
        <v>94.923131927064702</v>
      </c>
      <c r="E216" s="68">
        <v>2.8778947368421099</v>
      </c>
      <c r="F216" s="68">
        <v>98.379869010685994</v>
      </c>
      <c r="G216" s="68">
        <v>1.6576637982448701</v>
      </c>
      <c r="H216" s="68">
        <v>4562.25</v>
      </c>
      <c r="I216" s="68">
        <v>26725</v>
      </c>
      <c r="J216" s="68">
        <v>90.877315623907705</v>
      </c>
      <c r="K216" s="68">
        <v>1.31211222012409</v>
      </c>
      <c r="L216" s="68">
        <v>1325.75</v>
      </c>
      <c r="M216" s="68">
        <v>10844.25</v>
      </c>
      <c r="N216" s="68">
        <v>97.2183098591549</v>
      </c>
      <c r="O216" s="68">
        <v>22381.578947368402</v>
      </c>
      <c r="P216" s="68">
        <v>5111.5</v>
      </c>
      <c r="Q216" s="68">
        <v>51386.75</v>
      </c>
      <c r="R216" s="68">
        <v>95.658414065303205</v>
      </c>
      <c r="S216" s="68">
        <v>10907.6842105263</v>
      </c>
      <c r="T216" s="68">
        <v>1097.75</v>
      </c>
      <c r="U216" s="68">
        <v>22195.5</v>
      </c>
      <c r="V216" s="68"/>
      <c r="W216" s="68"/>
      <c r="X216" s="68"/>
      <c r="Y216" s="68">
        <v>86.509635974304103</v>
      </c>
      <c r="Z216" s="68">
        <v>93.8812363210005</v>
      </c>
      <c r="AA216" s="68">
        <v>3.26526315789474</v>
      </c>
      <c r="AB216" s="68">
        <v>88.902640264026402</v>
      </c>
      <c r="AC216" s="68">
        <v>678.41473684210496</v>
      </c>
    </row>
    <row r="217" spans="1:29" x14ac:dyDescent="0.25">
      <c r="A217" s="70" t="s">
        <v>552</v>
      </c>
      <c r="B217" s="68">
        <v>94.923131927064702</v>
      </c>
      <c r="C217" s="68">
        <v>2.8778947368421099</v>
      </c>
      <c r="D217" s="68">
        <v>94.923131927064702</v>
      </c>
      <c r="E217" s="68">
        <v>2.8778947368421099</v>
      </c>
      <c r="F217" s="68">
        <v>98.379869010685994</v>
      </c>
      <c r="G217" s="68">
        <v>1.6576637982448701</v>
      </c>
      <c r="H217" s="68">
        <v>4562.25</v>
      </c>
      <c r="I217" s="68">
        <v>26725</v>
      </c>
      <c r="J217" s="68">
        <v>90.877315623907705</v>
      </c>
      <c r="K217" s="68">
        <v>1.31211222012409</v>
      </c>
      <c r="L217" s="68">
        <v>1325.75</v>
      </c>
      <c r="M217" s="68">
        <v>10844.25</v>
      </c>
      <c r="N217" s="68">
        <v>97.2183098591549</v>
      </c>
      <c r="O217" s="68">
        <v>22381.578947368402</v>
      </c>
      <c r="P217" s="68">
        <v>5111.5</v>
      </c>
      <c r="Q217" s="68">
        <v>51386.75</v>
      </c>
      <c r="R217" s="68">
        <v>95.658414065303205</v>
      </c>
      <c r="S217" s="68">
        <v>10907.6842105263</v>
      </c>
      <c r="T217" s="68">
        <v>1097.75</v>
      </c>
      <c r="U217" s="68">
        <v>22195.5</v>
      </c>
      <c r="V217" s="68"/>
      <c r="W217" s="68"/>
      <c r="X217" s="68"/>
      <c r="Y217" s="68">
        <v>86.509635974304103</v>
      </c>
      <c r="Z217" s="68">
        <v>93.8812363210005</v>
      </c>
      <c r="AA217" s="68">
        <v>3.26526315789474</v>
      </c>
      <c r="AB217" s="68">
        <v>88.902640264026402</v>
      </c>
      <c r="AC217" s="68">
        <v>678.41473684210496</v>
      </c>
    </row>
    <row r="218" spans="1:29" x14ac:dyDescent="0.25">
      <c r="A218" s="70" t="s">
        <v>166</v>
      </c>
      <c r="B218" s="68">
        <v>97.540878948650999</v>
      </c>
      <c r="C218" s="68">
        <v>2.2873891478891499</v>
      </c>
      <c r="D218" s="68">
        <v>97.540878948650999</v>
      </c>
      <c r="E218" s="68">
        <v>2.2873891478891499</v>
      </c>
      <c r="F218" s="68">
        <v>99.36018076677</v>
      </c>
      <c r="G218" s="68">
        <v>1.52309230852989</v>
      </c>
      <c r="H218" s="68">
        <v>7579.5</v>
      </c>
      <c r="I218" s="68">
        <v>23474.5</v>
      </c>
      <c r="J218" s="68">
        <v>97.558464409905497</v>
      </c>
      <c r="K218" s="68">
        <v>1.4710220625489701</v>
      </c>
      <c r="L218" s="68">
        <v>2350</v>
      </c>
      <c r="M218" s="68">
        <v>7452</v>
      </c>
      <c r="N218" s="68">
        <v>99.545502209332895</v>
      </c>
      <c r="O218" s="68">
        <v>24114.124488738798</v>
      </c>
      <c r="P218" s="68">
        <v>7958.5</v>
      </c>
      <c r="Q218" s="68">
        <v>48042.5</v>
      </c>
      <c r="R218" s="68">
        <v>99.265209050947803</v>
      </c>
      <c r="S218" s="68">
        <v>10913.4890638462</v>
      </c>
      <c r="T218" s="68">
        <v>2701</v>
      </c>
      <c r="U218" s="68">
        <v>22902</v>
      </c>
      <c r="V218" s="68">
        <v>99.188899125264697</v>
      </c>
      <c r="W218" s="68">
        <v>99.640994072443604</v>
      </c>
      <c r="X218" s="68">
        <v>2.2650000000000001</v>
      </c>
      <c r="Y218" s="68">
        <v>98.560122045798394</v>
      </c>
      <c r="Z218" s="68">
        <v>95.880824626812696</v>
      </c>
      <c r="AA218" s="68">
        <v>2.72771548557263</v>
      </c>
      <c r="AB218" s="68">
        <v>59.3345743627684</v>
      </c>
      <c r="AC218" s="68">
        <v>573.60476442212303</v>
      </c>
    </row>
    <row r="219" spans="1:29" x14ac:dyDescent="0.25">
      <c r="A219" s="70" t="s">
        <v>167</v>
      </c>
      <c r="B219" s="68">
        <v>95.421190237978394</v>
      </c>
      <c r="C219" s="68">
        <v>2.2116259771974098</v>
      </c>
      <c r="D219" s="68">
        <v>95.421190237978394</v>
      </c>
      <c r="E219" s="68">
        <v>2.2116259771974098</v>
      </c>
      <c r="F219" s="68">
        <v>98.853882962979796</v>
      </c>
      <c r="G219" s="68">
        <v>2.4877373602473001</v>
      </c>
      <c r="H219" s="68">
        <v>4961</v>
      </c>
      <c r="I219" s="68">
        <v>15434</v>
      </c>
      <c r="J219" s="68">
        <v>95.322277355215206</v>
      </c>
      <c r="K219" s="68">
        <v>3.4834026280400998</v>
      </c>
      <c r="L219" s="68">
        <v>891</v>
      </c>
      <c r="M219" s="68">
        <v>3656</v>
      </c>
      <c r="N219" s="68">
        <v>99.188282666168007</v>
      </c>
      <c r="O219" s="68">
        <v>12396.0452214452</v>
      </c>
      <c r="P219" s="68">
        <v>5031</v>
      </c>
      <c r="Q219" s="68">
        <v>19473</v>
      </c>
      <c r="R219" s="68">
        <v>98.754347033667898</v>
      </c>
      <c r="S219" s="68">
        <v>2597.03502212074</v>
      </c>
      <c r="T219" s="68">
        <v>663</v>
      </c>
      <c r="U219" s="68">
        <v>4249</v>
      </c>
      <c r="V219" s="68">
        <v>98.578199052132703</v>
      </c>
      <c r="W219" s="68">
        <v>99.281586538461497</v>
      </c>
      <c r="X219" s="68">
        <v>2.11</v>
      </c>
      <c r="Y219" s="68">
        <v>98.373413088707593</v>
      </c>
      <c r="Z219" s="68">
        <v>94.512351780864094</v>
      </c>
      <c r="AA219" s="68">
        <v>2.7964227835656401</v>
      </c>
      <c r="AB219" s="68">
        <v>21.861531363769998</v>
      </c>
      <c r="AC219" s="68">
        <v>438.70151290957199</v>
      </c>
    </row>
    <row r="220" spans="1:29" x14ac:dyDescent="0.25">
      <c r="A220" s="70" t="s">
        <v>168</v>
      </c>
      <c r="B220" s="68">
        <v>99.660567659323604</v>
      </c>
      <c r="C220" s="68">
        <v>2.36315231858089</v>
      </c>
      <c r="D220" s="68">
        <v>99.660567659323604</v>
      </c>
      <c r="E220" s="68">
        <v>2.36315231858089</v>
      </c>
      <c r="F220" s="68">
        <v>99.866478570560204</v>
      </c>
      <c r="G220" s="68">
        <v>1.09751852109536</v>
      </c>
      <c r="H220" s="68">
        <v>10198</v>
      </c>
      <c r="I220" s="68">
        <v>31515</v>
      </c>
      <c r="J220" s="68">
        <v>99.794651464595802</v>
      </c>
      <c r="K220" s="68">
        <v>0.93238068863768198</v>
      </c>
      <c r="L220" s="68">
        <v>3809</v>
      </c>
      <c r="M220" s="68">
        <v>11248</v>
      </c>
      <c r="N220" s="68">
        <v>99.902721752497897</v>
      </c>
      <c r="O220" s="68">
        <v>35832.203756032301</v>
      </c>
      <c r="P220" s="68">
        <v>10886</v>
      </c>
      <c r="Q220" s="68">
        <v>76612</v>
      </c>
      <c r="R220" s="68">
        <v>99.776071068227694</v>
      </c>
      <c r="S220" s="68">
        <v>19229.9431055717</v>
      </c>
      <c r="T220" s="68">
        <v>4739</v>
      </c>
      <c r="U220" s="68">
        <v>41555</v>
      </c>
      <c r="V220" s="68">
        <v>99.799599198396805</v>
      </c>
      <c r="W220" s="68">
        <v>100.000401606426</v>
      </c>
      <c r="X220" s="68">
        <v>2.42</v>
      </c>
      <c r="Y220" s="68">
        <v>98.746831002889195</v>
      </c>
      <c r="Z220" s="68">
        <v>97.249297472761398</v>
      </c>
      <c r="AA220" s="68">
        <v>2.6590081875796199</v>
      </c>
      <c r="AB220" s="68">
        <v>96.807617361766802</v>
      </c>
      <c r="AC220" s="68">
        <v>708.50801593467395</v>
      </c>
    </row>
    <row r="221" spans="1:29" x14ac:dyDescent="0.25">
      <c r="A221" s="70" t="s">
        <v>374</v>
      </c>
      <c r="B221" s="68">
        <v>97.010200492437605</v>
      </c>
      <c r="C221" s="68">
        <v>2.81785714285714</v>
      </c>
      <c r="D221" s="68">
        <v>97.010200492437605</v>
      </c>
      <c r="E221" s="68">
        <v>2.81785714285714</v>
      </c>
      <c r="F221" s="68">
        <v>99.049558723693096</v>
      </c>
      <c r="G221" s="68">
        <v>1.58771411695216</v>
      </c>
      <c r="H221" s="68">
        <v>5195</v>
      </c>
      <c r="I221" s="68">
        <v>27198</v>
      </c>
      <c r="J221" s="68">
        <v>93.506493506493499</v>
      </c>
      <c r="K221" s="68">
        <v>1.2583993504355999</v>
      </c>
      <c r="L221" s="68">
        <v>1485</v>
      </c>
      <c r="M221" s="68">
        <v>10896</v>
      </c>
      <c r="N221" s="68">
        <v>97.7083333333333</v>
      </c>
      <c r="O221" s="68">
        <v>23694.785714285699</v>
      </c>
      <c r="P221" s="68">
        <v>6022</v>
      </c>
      <c r="Q221" s="68">
        <v>54362</v>
      </c>
      <c r="R221" s="68">
        <v>97.459421312632301</v>
      </c>
      <c r="S221" s="68">
        <v>11669.714285714301</v>
      </c>
      <c r="T221" s="68">
        <v>1220</v>
      </c>
      <c r="U221" s="68">
        <v>22532</v>
      </c>
      <c r="V221" s="68"/>
      <c r="W221" s="68"/>
      <c r="X221" s="68"/>
      <c r="Y221" s="68">
        <v>86.877192982456094</v>
      </c>
      <c r="Z221" s="68">
        <v>94.535743134087198</v>
      </c>
      <c r="AA221" s="68">
        <v>3.145</v>
      </c>
      <c r="AB221" s="68">
        <v>92.245557350565406</v>
      </c>
      <c r="AC221" s="68">
        <v>685.62</v>
      </c>
    </row>
    <row r="222" spans="1:29" x14ac:dyDescent="0.25">
      <c r="A222" s="70" t="s">
        <v>553</v>
      </c>
      <c r="B222" s="68">
        <v>97.010200492437605</v>
      </c>
      <c r="C222" s="68">
        <v>2.81785714285714</v>
      </c>
      <c r="D222" s="68">
        <v>97.010200492437605</v>
      </c>
      <c r="E222" s="68">
        <v>2.81785714285714</v>
      </c>
      <c r="F222" s="68">
        <v>99.049558723693096</v>
      </c>
      <c r="G222" s="68">
        <v>1.58771411695216</v>
      </c>
      <c r="H222" s="68">
        <v>5195</v>
      </c>
      <c r="I222" s="68">
        <v>27198</v>
      </c>
      <c r="J222" s="68">
        <v>93.506493506493499</v>
      </c>
      <c r="K222" s="68">
        <v>1.2583993504355999</v>
      </c>
      <c r="L222" s="68">
        <v>1485</v>
      </c>
      <c r="M222" s="68">
        <v>10896</v>
      </c>
      <c r="N222" s="68">
        <v>97.7083333333333</v>
      </c>
      <c r="O222" s="68">
        <v>23694.785714285699</v>
      </c>
      <c r="P222" s="68">
        <v>6022</v>
      </c>
      <c r="Q222" s="68">
        <v>54362</v>
      </c>
      <c r="R222" s="68">
        <v>97.459421312632301</v>
      </c>
      <c r="S222" s="68">
        <v>11669.714285714301</v>
      </c>
      <c r="T222" s="68">
        <v>1220</v>
      </c>
      <c r="U222" s="68">
        <v>22532</v>
      </c>
      <c r="V222" s="68"/>
      <c r="W222" s="68"/>
      <c r="X222" s="68"/>
      <c r="Y222" s="68">
        <v>86.877192982456094</v>
      </c>
      <c r="Z222" s="68">
        <v>94.535743134087198</v>
      </c>
      <c r="AA222" s="68">
        <v>3.145</v>
      </c>
      <c r="AB222" s="68">
        <v>92.245557350565406</v>
      </c>
      <c r="AC222" s="68">
        <v>685.62</v>
      </c>
    </row>
    <row r="223" spans="1:29" x14ac:dyDescent="0.25">
      <c r="A223" s="70" t="s">
        <v>169</v>
      </c>
      <c r="B223" s="68">
        <v>98.345561214431399</v>
      </c>
      <c r="C223" s="68">
        <v>2.4344960022804001</v>
      </c>
      <c r="D223" s="68">
        <v>98.345561214431399</v>
      </c>
      <c r="E223" s="68">
        <v>2.4344960022804001</v>
      </c>
      <c r="F223" s="68">
        <v>99.546883836307401</v>
      </c>
      <c r="G223" s="68">
        <v>1.7879717616269</v>
      </c>
      <c r="H223" s="68">
        <v>5246.5</v>
      </c>
      <c r="I223" s="68">
        <v>21454.5</v>
      </c>
      <c r="J223" s="68">
        <v>97.380634343301693</v>
      </c>
      <c r="K223" s="68">
        <v>1.58967464312356</v>
      </c>
      <c r="L223" s="68">
        <v>2236</v>
      </c>
      <c r="M223" s="68">
        <v>7269.5</v>
      </c>
      <c r="N223" s="68">
        <v>99.359232138503202</v>
      </c>
      <c r="O223" s="68">
        <v>20883.122717494502</v>
      </c>
      <c r="P223" s="68">
        <v>5804.5</v>
      </c>
      <c r="Q223" s="68">
        <v>42147.5</v>
      </c>
      <c r="R223" s="68">
        <v>99.283469158563804</v>
      </c>
      <c r="S223" s="68">
        <v>8985.9341562803693</v>
      </c>
      <c r="T223" s="68">
        <v>2452.5</v>
      </c>
      <c r="U223" s="68">
        <v>17616</v>
      </c>
      <c r="V223" s="68">
        <v>99.212352379849193</v>
      </c>
      <c r="W223" s="68">
        <v>98.901161980691597</v>
      </c>
      <c r="X223" s="68">
        <v>2.37143651437176</v>
      </c>
      <c r="Y223" s="68">
        <v>95.462321445163596</v>
      </c>
      <c r="Z223" s="68">
        <v>91.631486350438806</v>
      </c>
      <c r="AA223" s="68">
        <v>3.42565055970883</v>
      </c>
      <c r="AB223" s="68">
        <v>77.854911756048097</v>
      </c>
      <c r="AC223" s="68">
        <v>640.27773046910704</v>
      </c>
    </row>
    <row r="224" spans="1:29" x14ac:dyDescent="0.25">
      <c r="A224" s="70" t="s">
        <v>170</v>
      </c>
      <c r="B224" s="68">
        <v>97.316434336624894</v>
      </c>
      <c r="C224" s="68">
        <v>2.3875590179679702</v>
      </c>
      <c r="D224" s="68">
        <v>97.316434336624894</v>
      </c>
      <c r="E224" s="68">
        <v>2.3875590179679702</v>
      </c>
      <c r="F224" s="68">
        <v>99.485314466643999</v>
      </c>
      <c r="G224" s="68">
        <v>2.6271268319155299</v>
      </c>
      <c r="H224" s="68">
        <v>3720</v>
      </c>
      <c r="I224" s="68">
        <v>14611</v>
      </c>
      <c r="J224" s="68">
        <v>95.3410155577468</v>
      </c>
      <c r="K224" s="68">
        <v>3.7359870192274802</v>
      </c>
      <c r="L224" s="68">
        <v>810</v>
      </c>
      <c r="M224" s="68">
        <v>3454</v>
      </c>
      <c r="N224" s="68">
        <v>98.922116014186699</v>
      </c>
      <c r="O224" s="68">
        <v>11089.1252562641</v>
      </c>
      <c r="P224" s="68">
        <v>4278</v>
      </c>
      <c r="Q224" s="68">
        <v>17599</v>
      </c>
      <c r="R224" s="68">
        <v>98.882673907600804</v>
      </c>
      <c r="S224" s="68">
        <v>2352.2423626284099</v>
      </c>
      <c r="T224" s="68">
        <v>468</v>
      </c>
      <c r="U224" s="68">
        <v>3883</v>
      </c>
      <c r="V224" s="68">
        <v>98.4247047596984</v>
      </c>
      <c r="W224" s="68">
        <v>97.802323961383095</v>
      </c>
      <c r="X224" s="68">
        <v>2.22143651437176</v>
      </c>
      <c r="Y224" s="68">
        <v>94.154306724444695</v>
      </c>
      <c r="Z224" s="68">
        <v>91.0280155709128</v>
      </c>
      <c r="AA224" s="68">
        <v>4.0569749043748802</v>
      </c>
      <c r="AB224" s="68">
        <v>56.251204984322499</v>
      </c>
      <c r="AC224" s="68">
        <v>562.50433794356104</v>
      </c>
    </row>
    <row r="225" spans="1:29" x14ac:dyDescent="0.25">
      <c r="A225" s="70" t="s">
        <v>171</v>
      </c>
      <c r="B225" s="68">
        <v>99.374688092238003</v>
      </c>
      <c r="C225" s="68">
        <v>2.48143298659283</v>
      </c>
      <c r="D225" s="68">
        <v>99.374688092238003</v>
      </c>
      <c r="E225" s="68">
        <v>2.48143298659283</v>
      </c>
      <c r="F225" s="68">
        <v>99.608453205970804</v>
      </c>
      <c r="G225" s="68">
        <v>1.3551201899333201</v>
      </c>
      <c r="H225" s="68">
        <v>6773</v>
      </c>
      <c r="I225" s="68">
        <v>28298</v>
      </c>
      <c r="J225" s="68">
        <v>99.4202531288567</v>
      </c>
      <c r="K225" s="68">
        <v>1.0096398418989501</v>
      </c>
      <c r="L225" s="68">
        <v>3662</v>
      </c>
      <c r="M225" s="68">
        <v>11085</v>
      </c>
      <c r="N225" s="68">
        <v>99.796348262819706</v>
      </c>
      <c r="O225" s="68">
        <v>30677.120178724901</v>
      </c>
      <c r="P225" s="68">
        <v>7331</v>
      </c>
      <c r="Q225" s="68">
        <v>66696</v>
      </c>
      <c r="R225" s="68">
        <v>99.684264409526705</v>
      </c>
      <c r="S225" s="68">
        <v>15619.625949932301</v>
      </c>
      <c r="T225" s="68">
        <v>4437</v>
      </c>
      <c r="U225" s="68">
        <v>31349</v>
      </c>
      <c r="V225" s="68">
        <v>100</v>
      </c>
      <c r="W225" s="68">
        <v>100</v>
      </c>
      <c r="X225" s="68">
        <v>2.5214365143717599</v>
      </c>
      <c r="Y225" s="68">
        <v>96.770336165882597</v>
      </c>
      <c r="Z225" s="68">
        <v>92.234957129964897</v>
      </c>
      <c r="AA225" s="68">
        <v>2.7943262150427701</v>
      </c>
      <c r="AB225" s="68">
        <v>99.458618527773694</v>
      </c>
      <c r="AC225" s="68">
        <v>718.05112299465202</v>
      </c>
    </row>
    <row r="226" spans="1:29" x14ac:dyDescent="0.25">
      <c r="A226" s="70" t="s">
        <v>172</v>
      </c>
      <c r="B226" s="68">
        <v>93.104451556590007</v>
      </c>
      <c r="C226" s="68">
        <v>3.7264473347081899</v>
      </c>
      <c r="D226" s="68">
        <v>93.104451556590007</v>
      </c>
      <c r="E226" s="68">
        <v>3.7264473347081899</v>
      </c>
      <c r="F226" s="68">
        <v>96.439169139465903</v>
      </c>
      <c r="G226" s="68">
        <v>3.5106198956760801</v>
      </c>
      <c r="H226" s="68">
        <v>3184.0520000000001</v>
      </c>
      <c r="I226" s="68">
        <v>15892.052</v>
      </c>
      <c r="J226" s="68">
        <v>92.831325301204799</v>
      </c>
      <c r="K226" s="68">
        <v>2.9950074761819598</v>
      </c>
      <c r="L226" s="68">
        <v>882.73</v>
      </c>
      <c r="M226" s="68">
        <v>8535.84</v>
      </c>
      <c r="N226" s="68">
        <v>96.695760598503696</v>
      </c>
      <c r="O226" s="68">
        <v>11135.4133951604</v>
      </c>
      <c r="P226" s="68">
        <v>4069.57</v>
      </c>
      <c r="Q226" s="68">
        <v>38646.561999999998</v>
      </c>
      <c r="R226" s="68">
        <v>95.512820512820497</v>
      </c>
      <c r="S226" s="68">
        <v>4865.3698308965104</v>
      </c>
      <c r="T226" s="68">
        <v>888.93</v>
      </c>
      <c r="U226" s="68">
        <v>24615.63</v>
      </c>
      <c r="V226" s="68"/>
      <c r="W226" s="68"/>
      <c r="X226" s="68"/>
      <c r="Y226" s="68">
        <v>88.441926345609104</v>
      </c>
      <c r="Z226" s="68">
        <v>94.393805573350406</v>
      </c>
      <c r="AA226" s="68">
        <v>2891.4843871818198</v>
      </c>
      <c r="AB226" s="68">
        <v>90.582959641255599</v>
      </c>
      <c r="AC226" s="68">
        <v>543.89774964978096</v>
      </c>
    </row>
    <row r="227" spans="1:29" x14ac:dyDescent="0.25">
      <c r="A227" s="70" t="s">
        <v>554</v>
      </c>
      <c r="B227" s="68">
        <v>93.104451556590007</v>
      </c>
      <c r="C227" s="68">
        <v>3.7264473347081899</v>
      </c>
      <c r="D227" s="68">
        <v>93.104451556590007</v>
      </c>
      <c r="E227" s="68">
        <v>3.7264473347081899</v>
      </c>
      <c r="F227" s="68">
        <v>96.439169139465903</v>
      </c>
      <c r="G227" s="68">
        <v>3.5106198956760801</v>
      </c>
      <c r="H227" s="68">
        <v>3184.0520000000001</v>
      </c>
      <c r="I227" s="68">
        <v>15892.052</v>
      </c>
      <c r="J227" s="68">
        <v>92.831325301204799</v>
      </c>
      <c r="K227" s="68">
        <v>2.9950074761819598</v>
      </c>
      <c r="L227" s="68">
        <v>882.73</v>
      </c>
      <c r="M227" s="68">
        <v>8535.84</v>
      </c>
      <c r="N227" s="68">
        <v>96.695760598503696</v>
      </c>
      <c r="O227" s="68">
        <v>11135.4133951604</v>
      </c>
      <c r="P227" s="68">
        <v>4069.57</v>
      </c>
      <c r="Q227" s="68">
        <v>38646.561999999998</v>
      </c>
      <c r="R227" s="68">
        <v>95.512820512820497</v>
      </c>
      <c r="S227" s="68">
        <v>4865.3698308965104</v>
      </c>
      <c r="T227" s="68">
        <v>888.93</v>
      </c>
      <c r="U227" s="68">
        <v>24615.63</v>
      </c>
      <c r="V227" s="68"/>
      <c r="W227" s="68"/>
      <c r="X227" s="68"/>
      <c r="Y227" s="68">
        <v>88.441926345609104</v>
      </c>
      <c r="Z227" s="68">
        <v>94.393805573350406</v>
      </c>
      <c r="AA227" s="68">
        <v>2891.4843871818198</v>
      </c>
      <c r="AB227" s="68">
        <v>90.582959641255599</v>
      </c>
      <c r="AC227" s="68">
        <v>543.89774964978096</v>
      </c>
    </row>
    <row r="228" spans="1:29" x14ac:dyDescent="0.25">
      <c r="A228" s="70" t="s">
        <v>173</v>
      </c>
      <c r="B228" s="68">
        <v>96.184269023981599</v>
      </c>
      <c r="C228" s="68">
        <v>3.3382877018474999</v>
      </c>
      <c r="D228" s="68">
        <v>96.184269023981599</v>
      </c>
      <c r="E228" s="68">
        <v>3.3382877018474999</v>
      </c>
      <c r="F228" s="68">
        <v>98.108496910058193</v>
      </c>
      <c r="G228" s="68">
        <v>3.0255514449533001</v>
      </c>
      <c r="H228" s="68">
        <v>2846.6759999999999</v>
      </c>
      <c r="I228" s="68">
        <v>13005.609</v>
      </c>
      <c r="J228" s="68">
        <v>94.439576285441206</v>
      </c>
      <c r="K228" s="68">
        <v>2.3421626797976001</v>
      </c>
      <c r="L228" s="68">
        <v>935.28499999999997</v>
      </c>
      <c r="M228" s="68">
        <v>5584.7479999999996</v>
      </c>
      <c r="N228" s="68">
        <v>98.442560784127394</v>
      </c>
      <c r="O228" s="68">
        <v>12458.9791263119</v>
      </c>
      <c r="P228" s="68">
        <v>2860.7655</v>
      </c>
      <c r="Q228" s="68">
        <v>24649.569</v>
      </c>
      <c r="R228" s="68">
        <v>98.310173777914102</v>
      </c>
      <c r="S228" s="68">
        <v>6934.5258602948597</v>
      </c>
      <c r="T228" s="68">
        <v>882.46799999999996</v>
      </c>
      <c r="U228" s="68">
        <v>14227.397000000001</v>
      </c>
      <c r="V228" s="68">
        <v>96.117140498985293</v>
      </c>
      <c r="W228" s="68">
        <v>97.994651221806294</v>
      </c>
      <c r="X228" s="68">
        <v>3.3981787712015299</v>
      </c>
      <c r="Y228" s="68">
        <v>93.356720331391003</v>
      </c>
      <c r="Z228" s="68">
        <v>93.096653183559098</v>
      </c>
      <c r="AA228" s="68">
        <v>3.85472885886692</v>
      </c>
      <c r="AB228" s="68">
        <v>87.892017158347798</v>
      </c>
      <c r="AC228" s="68">
        <v>614.75355455839201</v>
      </c>
    </row>
    <row r="229" spans="1:29" x14ac:dyDescent="0.25">
      <c r="A229" s="70" t="s">
        <v>174</v>
      </c>
      <c r="B229" s="68">
        <v>95.093930270450997</v>
      </c>
      <c r="C229" s="68">
        <v>4.0255633563915998</v>
      </c>
      <c r="D229" s="68">
        <v>95.093930270450997</v>
      </c>
      <c r="E229" s="68">
        <v>4.0255633563915998</v>
      </c>
      <c r="F229" s="68">
        <v>97.687936182610898</v>
      </c>
      <c r="G229" s="68">
        <v>4.2330469905739596</v>
      </c>
      <c r="H229" s="68">
        <v>1964.4680000000001</v>
      </c>
      <c r="I229" s="68">
        <v>9716.6</v>
      </c>
      <c r="J229" s="68">
        <v>92.437784272856504</v>
      </c>
      <c r="K229" s="68">
        <v>4.6842178535745598</v>
      </c>
      <c r="L229" s="68">
        <v>681.93600000000004</v>
      </c>
      <c r="M229" s="68">
        <v>2597.9459999999999</v>
      </c>
      <c r="N229" s="68">
        <v>98.184144741441699</v>
      </c>
      <c r="O229" s="68">
        <v>7247.5880356767802</v>
      </c>
      <c r="P229" s="68">
        <v>1812.7159999999999</v>
      </c>
      <c r="Q229" s="68">
        <v>13605.266</v>
      </c>
      <c r="R229" s="68">
        <v>98.056395681328198</v>
      </c>
      <c r="S229" s="68">
        <v>2237.4708192637399</v>
      </c>
      <c r="T229" s="68">
        <v>556.04999999999995</v>
      </c>
      <c r="U229" s="68">
        <v>3801.0450000000001</v>
      </c>
      <c r="V229" s="68">
        <v>93.632183946286005</v>
      </c>
      <c r="W229" s="68">
        <v>97.033459496371904</v>
      </c>
      <c r="X229" s="68">
        <v>3.6102880601521798</v>
      </c>
      <c r="Y229" s="68">
        <v>93.434531334719395</v>
      </c>
      <c r="Z229" s="68">
        <v>90.721556212993505</v>
      </c>
      <c r="AA229" s="68">
        <v>4.4516668525227798</v>
      </c>
      <c r="AB229" s="68">
        <v>77.215677601030393</v>
      </c>
      <c r="AC229" s="68">
        <v>541.33497554840096</v>
      </c>
    </row>
    <row r="230" spans="1:29" x14ac:dyDescent="0.25">
      <c r="A230" s="70" t="s">
        <v>175</v>
      </c>
      <c r="B230" s="68">
        <v>97.274607777512202</v>
      </c>
      <c r="C230" s="68">
        <v>2.6510120473034</v>
      </c>
      <c r="D230" s="68">
        <v>97.274607777512202</v>
      </c>
      <c r="E230" s="68">
        <v>2.6510120473034</v>
      </c>
      <c r="F230" s="68">
        <v>98.529057637505602</v>
      </c>
      <c r="G230" s="68">
        <v>2.35404858131011</v>
      </c>
      <c r="H230" s="68">
        <v>3728.884</v>
      </c>
      <c r="I230" s="68">
        <v>16294.618</v>
      </c>
      <c r="J230" s="68">
        <v>96.441368298025907</v>
      </c>
      <c r="K230" s="68">
        <v>1.5614537320106701</v>
      </c>
      <c r="L230" s="68">
        <v>1188.634</v>
      </c>
      <c r="M230" s="68">
        <v>8571.5499999999993</v>
      </c>
      <c r="N230" s="68">
        <v>98.700976826813104</v>
      </c>
      <c r="O230" s="68">
        <v>17670.3702169471</v>
      </c>
      <c r="P230" s="68">
        <v>3908.8150000000001</v>
      </c>
      <c r="Q230" s="68">
        <v>35693.872000000003</v>
      </c>
      <c r="R230" s="68">
        <v>98.563951874500106</v>
      </c>
      <c r="S230" s="68">
        <v>11631.580901326</v>
      </c>
      <c r="T230" s="68">
        <v>1208.886</v>
      </c>
      <c r="U230" s="68">
        <v>24653.749</v>
      </c>
      <c r="V230" s="68">
        <v>98.602097051684595</v>
      </c>
      <c r="W230" s="68">
        <v>98.955842947240598</v>
      </c>
      <c r="X230" s="68">
        <v>3.1860694822508799</v>
      </c>
      <c r="Y230" s="68">
        <v>93.278909328062696</v>
      </c>
      <c r="Z230" s="68">
        <v>95.471750154124706</v>
      </c>
      <c r="AA230" s="68">
        <v>3.2577908652110601</v>
      </c>
      <c r="AB230" s="68">
        <v>99.107953454738094</v>
      </c>
      <c r="AC230" s="68">
        <v>691.88280852476203</v>
      </c>
    </row>
    <row r="231" spans="1:29" x14ac:dyDescent="0.25">
      <c r="A231" s="70" t="s">
        <v>375</v>
      </c>
      <c r="B231" s="68">
        <v>93.104451556590007</v>
      </c>
      <c r="C231" s="68">
        <v>3.7264473347081899</v>
      </c>
      <c r="D231" s="68">
        <v>93.104451556590007</v>
      </c>
      <c r="E231" s="68">
        <v>3.7264473347081899</v>
      </c>
      <c r="F231" s="68">
        <v>96.439169139465903</v>
      </c>
      <c r="G231" s="68">
        <v>3.5106198956760801</v>
      </c>
      <c r="H231" s="68">
        <v>3184.0520000000001</v>
      </c>
      <c r="I231" s="68">
        <v>15892.052</v>
      </c>
      <c r="J231" s="68">
        <v>92.831325301204799</v>
      </c>
      <c r="K231" s="68">
        <v>2.9950074761819598</v>
      </c>
      <c r="L231" s="68">
        <v>882.73</v>
      </c>
      <c r="M231" s="68">
        <v>8535.84</v>
      </c>
      <c r="N231" s="68">
        <v>96.695760598503696</v>
      </c>
      <c r="O231" s="68">
        <v>11135.4133951604</v>
      </c>
      <c r="P231" s="68">
        <v>4069.57</v>
      </c>
      <c r="Q231" s="68">
        <v>38646.561999999998</v>
      </c>
      <c r="R231" s="68">
        <v>95.512820512820497</v>
      </c>
      <c r="S231" s="68">
        <v>4865.3698308965104</v>
      </c>
      <c r="T231" s="68">
        <v>888.93</v>
      </c>
      <c r="U231" s="68">
        <v>24615.63</v>
      </c>
      <c r="V231" s="68"/>
      <c r="W231" s="68"/>
      <c r="X231" s="68"/>
      <c r="Y231" s="68">
        <v>88.441926345609104</v>
      </c>
      <c r="Z231" s="68">
        <v>94.393805573350406</v>
      </c>
      <c r="AA231" s="68">
        <v>2891.4843871818198</v>
      </c>
      <c r="AB231" s="68">
        <v>90.582959641255599</v>
      </c>
      <c r="AC231" s="68">
        <v>543.89774964978096</v>
      </c>
    </row>
    <row r="232" spans="1:29" x14ac:dyDescent="0.25">
      <c r="A232" s="70" t="s">
        <v>555</v>
      </c>
      <c r="B232" s="68">
        <v>93.104451556590007</v>
      </c>
      <c r="C232" s="68">
        <v>3.7264473347081899</v>
      </c>
      <c r="D232" s="68">
        <v>93.104451556590007</v>
      </c>
      <c r="E232" s="68">
        <v>3.7264473347081899</v>
      </c>
      <c r="F232" s="68">
        <v>96.439169139465903</v>
      </c>
      <c r="G232" s="68">
        <v>3.5106198956760801</v>
      </c>
      <c r="H232" s="68">
        <v>3184.0520000000001</v>
      </c>
      <c r="I232" s="68">
        <v>15892.052</v>
      </c>
      <c r="J232" s="68">
        <v>92.831325301204799</v>
      </c>
      <c r="K232" s="68">
        <v>2.9950074761819598</v>
      </c>
      <c r="L232" s="68">
        <v>882.73</v>
      </c>
      <c r="M232" s="68">
        <v>8535.84</v>
      </c>
      <c r="N232" s="68">
        <v>96.695760598503696</v>
      </c>
      <c r="O232" s="68">
        <v>11135.4133951604</v>
      </c>
      <c r="P232" s="68">
        <v>4069.57</v>
      </c>
      <c r="Q232" s="68">
        <v>38646.561999999998</v>
      </c>
      <c r="R232" s="68">
        <v>95.512820512820497</v>
      </c>
      <c r="S232" s="68">
        <v>4865.3698308965104</v>
      </c>
      <c r="T232" s="68">
        <v>888.93</v>
      </c>
      <c r="U232" s="68">
        <v>24615.63</v>
      </c>
      <c r="V232" s="68"/>
      <c r="W232" s="68"/>
      <c r="X232" s="68"/>
      <c r="Y232" s="68">
        <v>88.441926345609104</v>
      </c>
      <c r="Z232" s="68">
        <v>94.393805573350406</v>
      </c>
      <c r="AA232" s="68">
        <v>2891.4843871818198</v>
      </c>
      <c r="AB232" s="68">
        <v>90.582959641255599</v>
      </c>
      <c r="AC232" s="68">
        <v>543.89774964978096</v>
      </c>
    </row>
    <row r="233" spans="1:29" x14ac:dyDescent="0.25">
      <c r="A233" s="70" t="s">
        <v>176</v>
      </c>
      <c r="B233" s="68">
        <v>95.505654446330297</v>
      </c>
      <c r="C233" s="68">
        <v>3.5330560237015698</v>
      </c>
      <c r="D233" s="68">
        <v>95.505654446330297</v>
      </c>
      <c r="E233" s="68">
        <v>3.5330560237015698</v>
      </c>
      <c r="F233" s="68">
        <v>98.081150402973506</v>
      </c>
      <c r="G233" s="68">
        <v>3.35377993337897</v>
      </c>
      <c r="H233" s="68">
        <v>2033.443</v>
      </c>
      <c r="I233" s="68">
        <v>12326.138000000001</v>
      </c>
      <c r="J233" s="68">
        <v>92.497739595312396</v>
      </c>
      <c r="K233" s="68">
        <v>3.0114276377915998</v>
      </c>
      <c r="L233" s="68">
        <v>743.41800000000001</v>
      </c>
      <c r="M233" s="68">
        <v>5122.8135000000002</v>
      </c>
      <c r="N233" s="68">
        <v>98.209137477461198</v>
      </c>
      <c r="O233" s="68">
        <v>11362.5277018303</v>
      </c>
      <c r="P233" s="68">
        <v>2082.9524999999999</v>
      </c>
      <c r="Q233" s="68">
        <v>24467.165499999999</v>
      </c>
      <c r="R233" s="68">
        <v>97.911779474453894</v>
      </c>
      <c r="S233" s="68">
        <v>4838.9974247451501</v>
      </c>
      <c r="T233" s="68">
        <v>602.85400000000004</v>
      </c>
      <c r="U233" s="68">
        <v>12956.504499999999</v>
      </c>
      <c r="V233" s="68">
        <v>97.792171391053898</v>
      </c>
      <c r="W233" s="68">
        <v>97.983936953441997</v>
      </c>
      <c r="X233" s="68">
        <v>3.2616793040606402</v>
      </c>
      <c r="Y233" s="68">
        <v>93.537898854854404</v>
      </c>
      <c r="Z233" s="68">
        <v>94.315005795369402</v>
      </c>
      <c r="AA233" s="68">
        <v>4.0523734240742</v>
      </c>
      <c r="AB233" s="68">
        <v>91.856326242493594</v>
      </c>
      <c r="AC233" s="68">
        <v>611.05373823827802</v>
      </c>
    </row>
    <row r="234" spans="1:29" x14ac:dyDescent="0.25">
      <c r="A234" s="70" t="s">
        <v>177</v>
      </c>
      <c r="B234" s="68">
        <v>94.740564248180505</v>
      </c>
      <c r="C234" s="68">
        <v>4.0068643772062504</v>
      </c>
      <c r="D234" s="68">
        <v>94.740564248180505</v>
      </c>
      <c r="E234" s="68">
        <v>4.0068643772062504</v>
      </c>
      <c r="F234" s="68">
        <v>97.567209617380399</v>
      </c>
      <c r="G234" s="68">
        <v>4.31747815151199</v>
      </c>
      <c r="H234" s="68">
        <v>1580.78</v>
      </c>
      <c r="I234" s="68">
        <v>9516.6579999999994</v>
      </c>
      <c r="J234" s="68">
        <v>90.891373990155898</v>
      </c>
      <c r="K234" s="68">
        <v>5.0667210463521002</v>
      </c>
      <c r="L234" s="68">
        <v>617.82799999999997</v>
      </c>
      <c r="M234" s="68">
        <v>2580.098</v>
      </c>
      <c r="N234" s="68">
        <v>98.447782572130905</v>
      </c>
      <c r="O234" s="68">
        <v>7239.2734008115003</v>
      </c>
      <c r="P234" s="68">
        <v>1397.7929999999999</v>
      </c>
      <c r="Q234" s="68">
        <v>14153.727000000001</v>
      </c>
      <c r="R234" s="68">
        <v>98.126682989524696</v>
      </c>
      <c r="S234" s="68">
        <v>2022.4947601803999</v>
      </c>
      <c r="T234" s="68">
        <v>418.72699999999998</v>
      </c>
      <c r="U234" s="68">
        <v>3676.09</v>
      </c>
      <c r="V234" s="68">
        <v>98.229783671729507</v>
      </c>
      <c r="W234" s="68">
        <v>97.179509416493602</v>
      </c>
      <c r="X234" s="68">
        <v>2.9577883192550498</v>
      </c>
      <c r="Y234" s="68">
        <v>93.194474995249294</v>
      </c>
      <c r="Z234" s="68">
        <v>93.056852324165604</v>
      </c>
      <c r="AA234" s="68">
        <v>4.0911332231538404</v>
      </c>
      <c r="AB234" s="68">
        <v>89.059739572018501</v>
      </c>
      <c r="AC234" s="68">
        <v>570.74926757984304</v>
      </c>
    </row>
    <row r="235" spans="1:29" x14ac:dyDescent="0.25">
      <c r="A235" s="70" t="s">
        <v>178</v>
      </c>
      <c r="B235" s="68">
        <v>96.270744644480004</v>
      </c>
      <c r="C235" s="68">
        <v>3.0592476701968998</v>
      </c>
      <c r="D235" s="68">
        <v>96.270744644480004</v>
      </c>
      <c r="E235" s="68">
        <v>3.0592476701968998</v>
      </c>
      <c r="F235" s="68">
        <v>98.595091188566599</v>
      </c>
      <c r="G235" s="68">
        <v>2.74178905869723</v>
      </c>
      <c r="H235" s="68">
        <v>2486.1060000000002</v>
      </c>
      <c r="I235" s="68">
        <v>15135.618</v>
      </c>
      <c r="J235" s="68">
        <v>94.104105200468993</v>
      </c>
      <c r="K235" s="68">
        <v>2.1423803459764699</v>
      </c>
      <c r="L235" s="68">
        <v>869.00800000000004</v>
      </c>
      <c r="M235" s="68">
        <v>7665.5290000000005</v>
      </c>
      <c r="N235" s="68">
        <v>97.970492382791605</v>
      </c>
      <c r="O235" s="68">
        <v>15485.782002849201</v>
      </c>
      <c r="P235" s="68">
        <v>2768.1120000000001</v>
      </c>
      <c r="Q235" s="68">
        <v>34780.603999999999</v>
      </c>
      <c r="R235" s="68">
        <v>97.696875959383107</v>
      </c>
      <c r="S235" s="68">
        <v>7655.5000893098904</v>
      </c>
      <c r="T235" s="68">
        <v>786.98099999999999</v>
      </c>
      <c r="U235" s="68">
        <v>22236.919000000002</v>
      </c>
      <c r="V235" s="68">
        <v>97.124347182747698</v>
      </c>
      <c r="W235" s="68">
        <v>99.211544602324295</v>
      </c>
      <c r="X235" s="68">
        <v>3.7254362992387202</v>
      </c>
      <c r="Y235" s="68">
        <v>93.868121240283699</v>
      </c>
      <c r="Z235" s="68">
        <v>95.5247948909049</v>
      </c>
      <c r="AA235" s="68">
        <v>4.0151035811298303</v>
      </c>
      <c r="AB235" s="68">
        <v>94.490048892314107</v>
      </c>
      <c r="AC235" s="68">
        <v>651.39398560482698</v>
      </c>
    </row>
    <row r="236" spans="1:29" x14ac:dyDescent="0.25">
      <c r="A236" s="70" t="s">
        <v>179</v>
      </c>
      <c r="B236" s="68">
        <v>93.650793650793702</v>
      </c>
      <c r="C236" s="68">
        <v>2.5823469891447801</v>
      </c>
      <c r="D236" s="68">
        <v>93.650793650793702</v>
      </c>
      <c r="E236" s="68">
        <v>2.5823469891447801</v>
      </c>
      <c r="F236" s="68">
        <v>96.917808219178099</v>
      </c>
      <c r="G236" s="68">
        <v>1.6839699034439199</v>
      </c>
      <c r="H236" s="68">
        <v>4524.2759999999998</v>
      </c>
      <c r="I236" s="68">
        <v>48998.349000000002</v>
      </c>
      <c r="J236" s="68">
        <v>92.365645404319395</v>
      </c>
      <c r="K236" s="68">
        <v>1.30928800467155</v>
      </c>
      <c r="L236" s="68">
        <v>2031.14</v>
      </c>
      <c r="M236" s="68">
        <v>12039.966</v>
      </c>
      <c r="N236" s="68">
        <v>95.807127882599602</v>
      </c>
      <c r="O236" s="68">
        <v>19628.4336735371</v>
      </c>
      <c r="P236" s="68">
        <v>5208.1580000000004</v>
      </c>
      <c r="Q236" s="68">
        <v>64219.64</v>
      </c>
      <c r="R236" s="68">
        <v>95.168295331161801</v>
      </c>
      <c r="S236" s="68">
        <v>9824.0795811135304</v>
      </c>
      <c r="T236" s="68">
        <v>1934.7439999999999</v>
      </c>
      <c r="U236" s="68">
        <v>31733.38</v>
      </c>
      <c r="V236" s="68"/>
      <c r="W236" s="68"/>
      <c r="X236" s="68"/>
      <c r="Y236" s="68">
        <v>86.497672012415904</v>
      </c>
      <c r="Z236" s="68">
        <v>93.059708944106106</v>
      </c>
      <c r="AA236" s="68">
        <v>1849.73767154545</v>
      </c>
      <c r="AB236" s="68">
        <v>93.181818181818201</v>
      </c>
      <c r="AC236" s="68">
        <v>642.89816372301698</v>
      </c>
    </row>
    <row r="237" spans="1:29" x14ac:dyDescent="0.25">
      <c r="A237" s="70" t="s">
        <v>556</v>
      </c>
      <c r="B237" s="68">
        <v>93.650793650793702</v>
      </c>
      <c r="C237" s="68">
        <v>2.5823469891447801</v>
      </c>
      <c r="D237" s="68">
        <v>93.650793650793702</v>
      </c>
      <c r="E237" s="68">
        <v>2.5823469891447801</v>
      </c>
      <c r="F237" s="68">
        <v>96.917808219178099</v>
      </c>
      <c r="G237" s="68">
        <v>1.6839699034439199</v>
      </c>
      <c r="H237" s="68">
        <v>4524.2759999999998</v>
      </c>
      <c r="I237" s="68">
        <v>48998.349000000002</v>
      </c>
      <c r="J237" s="68">
        <v>92.365645404319395</v>
      </c>
      <c r="K237" s="68">
        <v>1.30928800467155</v>
      </c>
      <c r="L237" s="68">
        <v>2031.14</v>
      </c>
      <c r="M237" s="68">
        <v>12039.966</v>
      </c>
      <c r="N237" s="68">
        <v>95.807127882599602</v>
      </c>
      <c r="O237" s="68">
        <v>19628.4336735371</v>
      </c>
      <c r="P237" s="68">
        <v>5208.1580000000004</v>
      </c>
      <c r="Q237" s="68">
        <v>64219.64</v>
      </c>
      <c r="R237" s="68">
        <v>95.168295331161801</v>
      </c>
      <c r="S237" s="68">
        <v>9824.0795811135304</v>
      </c>
      <c r="T237" s="68">
        <v>1934.7439999999999</v>
      </c>
      <c r="U237" s="68">
        <v>31733.38</v>
      </c>
      <c r="V237" s="68"/>
      <c r="W237" s="68"/>
      <c r="X237" s="68"/>
      <c r="Y237" s="68">
        <v>86.497672012415904</v>
      </c>
      <c r="Z237" s="68">
        <v>93.059708944106106</v>
      </c>
      <c r="AA237" s="68">
        <v>1849.73767154545</v>
      </c>
      <c r="AB237" s="68">
        <v>93.181818181818201</v>
      </c>
      <c r="AC237" s="68">
        <v>642.89816372301698</v>
      </c>
    </row>
    <row r="238" spans="1:29" x14ac:dyDescent="0.25">
      <c r="A238" s="70" t="s">
        <v>180</v>
      </c>
      <c r="B238" s="68">
        <v>97.587159905099497</v>
      </c>
      <c r="C238" s="68">
        <v>2.78287853695715</v>
      </c>
      <c r="D238" s="68">
        <v>97.587159905099497</v>
      </c>
      <c r="E238" s="68">
        <v>2.78287853695715</v>
      </c>
      <c r="F238" s="68">
        <v>99.195954510285105</v>
      </c>
      <c r="G238" s="68">
        <v>1.5186216016193199</v>
      </c>
      <c r="H238" s="68">
        <v>5121.0164999999997</v>
      </c>
      <c r="I238" s="68">
        <v>30572.143499999998</v>
      </c>
      <c r="J238" s="68">
        <v>96.551182089648094</v>
      </c>
      <c r="K238" s="68">
        <v>1.6671248216980401</v>
      </c>
      <c r="L238" s="68">
        <v>1880.1855</v>
      </c>
      <c r="M238" s="68">
        <v>7798.009</v>
      </c>
      <c r="N238" s="68">
        <v>98.461581676300597</v>
      </c>
      <c r="O238" s="68">
        <v>22849.3308069921</v>
      </c>
      <c r="P238" s="68">
        <v>5898.5720000000001</v>
      </c>
      <c r="Q238" s="68">
        <v>45787.703500000003</v>
      </c>
      <c r="R238" s="68">
        <v>98.481152453414396</v>
      </c>
      <c r="S238" s="68">
        <v>9342.1191775782008</v>
      </c>
      <c r="T238" s="68">
        <v>2320.7525000000001</v>
      </c>
      <c r="U238" s="68">
        <v>17845.737499999999</v>
      </c>
      <c r="V238" s="68">
        <v>98.218769971876597</v>
      </c>
      <c r="W238" s="68">
        <v>99.258504820808895</v>
      </c>
      <c r="X238" s="68">
        <v>2.8722560256990999</v>
      </c>
      <c r="Y238" s="68">
        <v>92.2163069869911</v>
      </c>
      <c r="Z238" s="68">
        <v>93.779214990364196</v>
      </c>
      <c r="AA238" s="68">
        <v>3.1254560468496702</v>
      </c>
      <c r="AB238" s="68">
        <v>88.660781510779799</v>
      </c>
      <c r="AC238" s="68">
        <v>627.93415851887403</v>
      </c>
    </row>
    <row r="239" spans="1:29" x14ac:dyDescent="0.25">
      <c r="A239" s="70" t="s">
        <v>181</v>
      </c>
      <c r="B239" s="68">
        <v>96.400507554578496</v>
      </c>
      <c r="C239" s="68">
        <v>3.4768845720600101</v>
      </c>
      <c r="D239" s="68">
        <v>96.400507554578496</v>
      </c>
      <c r="E239" s="68">
        <v>3.4768845720600101</v>
      </c>
      <c r="F239" s="68">
        <v>98.855454377358001</v>
      </c>
      <c r="G239" s="68">
        <v>2.8331339281947798</v>
      </c>
      <c r="H239" s="68">
        <v>2910.8710000000001</v>
      </c>
      <c r="I239" s="68">
        <v>15195.287</v>
      </c>
      <c r="J239" s="68">
        <v>94.051055768706306</v>
      </c>
      <c r="K239" s="68">
        <v>3.8208915506751899</v>
      </c>
      <c r="L239" s="68">
        <v>753.22400000000005</v>
      </c>
      <c r="M239" s="68">
        <v>3472.2240000000002</v>
      </c>
      <c r="N239" s="68">
        <v>98.1944843690612</v>
      </c>
      <c r="O239" s="68">
        <v>9558.0925324922191</v>
      </c>
      <c r="P239" s="68">
        <v>2944.16</v>
      </c>
      <c r="Q239" s="68">
        <v>17094.300999999999</v>
      </c>
      <c r="R239" s="68">
        <v>98.036944840944301</v>
      </c>
      <c r="S239" s="68">
        <v>2584.86949565332</v>
      </c>
      <c r="T239" s="68">
        <v>653.125</v>
      </c>
      <c r="U239" s="68">
        <v>4384.74</v>
      </c>
      <c r="V239" s="68">
        <v>96.533901522190703</v>
      </c>
      <c r="W239" s="68">
        <v>98.803623838624702</v>
      </c>
      <c r="X239" s="68">
        <v>3.25283354221544</v>
      </c>
      <c r="Y239" s="68">
        <v>93.303287129071094</v>
      </c>
      <c r="Z239" s="68">
        <v>92.051784325444999</v>
      </c>
      <c r="AA239" s="68">
        <v>3.5620272045193002</v>
      </c>
      <c r="AB239" s="68">
        <v>78.539313449173406</v>
      </c>
      <c r="AC239" s="68">
        <v>541.33497554840096</v>
      </c>
    </row>
    <row r="240" spans="1:29" x14ac:dyDescent="0.25">
      <c r="A240" s="70" t="s">
        <v>182</v>
      </c>
      <c r="B240" s="68">
        <v>98.773812255620598</v>
      </c>
      <c r="C240" s="68">
        <v>2.0888725018543002</v>
      </c>
      <c r="D240" s="68">
        <v>98.773812255620598</v>
      </c>
      <c r="E240" s="68">
        <v>2.0888725018543002</v>
      </c>
      <c r="F240" s="68">
        <v>99.536454643212295</v>
      </c>
      <c r="G240" s="68">
        <v>1.0373252971342299</v>
      </c>
      <c r="H240" s="68">
        <v>7331.1620000000003</v>
      </c>
      <c r="I240" s="68">
        <v>45949</v>
      </c>
      <c r="J240" s="68">
        <v>99.051308410589996</v>
      </c>
      <c r="K240" s="68">
        <v>1.06615355171703</v>
      </c>
      <c r="L240" s="68">
        <v>3007.1469999999999</v>
      </c>
      <c r="M240" s="68">
        <v>12123.794</v>
      </c>
      <c r="N240" s="68">
        <v>98.728678983539993</v>
      </c>
      <c r="O240" s="68">
        <v>36140.569081492002</v>
      </c>
      <c r="P240" s="68">
        <v>8852.9840000000004</v>
      </c>
      <c r="Q240" s="68">
        <v>74481.106</v>
      </c>
      <c r="R240" s="68">
        <v>98.925360065884604</v>
      </c>
      <c r="S240" s="68">
        <v>16099.3688595031</v>
      </c>
      <c r="T240" s="68">
        <v>3988.38</v>
      </c>
      <c r="U240" s="68">
        <v>31306.735000000001</v>
      </c>
      <c r="V240" s="68">
        <v>99.903638421562604</v>
      </c>
      <c r="W240" s="68">
        <v>99.713385802993201</v>
      </c>
      <c r="X240" s="68">
        <v>2.49167850918275</v>
      </c>
      <c r="Y240" s="68">
        <v>91.129326844911006</v>
      </c>
      <c r="Z240" s="68">
        <v>95.506645655283407</v>
      </c>
      <c r="AA240" s="68">
        <v>2.6888848891800401</v>
      </c>
      <c r="AB240" s="68">
        <v>99.293802350503597</v>
      </c>
      <c r="AC240" s="68">
        <v>718.91018211776202</v>
      </c>
    </row>
    <row r="241" spans="1:29" x14ac:dyDescent="0.25">
      <c r="A241" s="70" t="s">
        <v>376</v>
      </c>
      <c r="B241" s="68">
        <v>93.650793650793702</v>
      </c>
      <c r="C241" s="68">
        <v>2.5823469891447801</v>
      </c>
      <c r="D241" s="68">
        <v>93.650793650793702</v>
      </c>
      <c r="E241" s="68">
        <v>2.5823469891447801</v>
      </c>
      <c r="F241" s="68">
        <v>96.917808219178099</v>
      </c>
      <c r="G241" s="68">
        <v>1.6839699034439199</v>
      </c>
      <c r="H241" s="68">
        <v>4524.2759999999998</v>
      </c>
      <c r="I241" s="68">
        <v>48998.349000000002</v>
      </c>
      <c r="J241" s="68">
        <v>92.365645404319395</v>
      </c>
      <c r="K241" s="68">
        <v>1.30928800467155</v>
      </c>
      <c r="L241" s="68">
        <v>2031.14</v>
      </c>
      <c r="M241" s="68">
        <v>12039.966</v>
      </c>
      <c r="N241" s="68">
        <v>95.807127882599602</v>
      </c>
      <c r="O241" s="68">
        <v>19628.4336735371</v>
      </c>
      <c r="P241" s="68">
        <v>5208.1580000000004</v>
      </c>
      <c r="Q241" s="68">
        <v>64219.64</v>
      </c>
      <c r="R241" s="68">
        <v>95.168295331161801</v>
      </c>
      <c r="S241" s="68">
        <v>9824.0795811135304</v>
      </c>
      <c r="T241" s="68">
        <v>1934.7439999999999</v>
      </c>
      <c r="U241" s="68">
        <v>31733.38</v>
      </c>
      <c r="V241" s="68"/>
      <c r="W241" s="68"/>
      <c r="X241" s="68"/>
      <c r="Y241" s="68">
        <v>86.497672012415904</v>
      </c>
      <c r="Z241" s="68">
        <v>93.059708944106106</v>
      </c>
      <c r="AA241" s="68">
        <v>1849.73767154545</v>
      </c>
      <c r="AB241" s="68">
        <v>93.181818181818201</v>
      </c>
      <c r="AC241" s="68">
        <v>642.89816372301698</v>
      </c>
    </row>
    <row r="242" spans="1:29" x14ac:dyDescent="0.25">
      <c r="A242" s="70" t="s">
        <v>557</v>
      </c>
      <c r="B242" s="68">
        <v>93.650793650793702</v>
      </c>
      <c r="C242" s="68">
        <v>2.5823469891447801</v>
      </c>
      <c r="D242" s="68">
        <v>93.650793650793702</v>
      </c>
      <c r="E242" s="68">
        <v>2.5823469891447801</v>
      </c>
      <c r="F242" s="68">
        <v>96.917808219178099</v>
      </c>
      <c r="G242" s="68">
        <v>1.6839699034439199</v>
      </c>
      <c r="H242" s="68">
        <v>4524.2759999999998</v>
      </c>
      <c r="I242" s="68">
        <v>48998.349000000002</v>
      </c>
      <c r="J242" s="68">
        <v>92.365645404319395</v>
      </c>
      <c r="K242" s="68">
        <v>1.30928800467155</v>
      </c>
      <c r="L242" s="68">
        <v>2031.14</v>
      </c>
      <c r="M242" s="68">
        <v>12039.966</v>
      </c>
      <c r="N242" s="68">
        <v>95.807127882599602</v>
      </c>
      <c r="O242" s="68">
        <v>19628.4336735371</v>
      </c>
      <c r="P242" s="68">
        <v>5208.1580000000004</v>
      </c>
      <c r="Q242" s="68">
        <v>64219.64</v>
      </c>
      <c r="R242" s="68">
        <v>95.168295331161801</v>
      </c>
      <c r="S242" s="68">
        <v>9824.0795811135304</v>
      </c>
      <c r="T242" s="68">
        <v>1934.7439999999999</v>
      </c>
      <c r="U242" s="68">
        <v>31733.38</v>
      </c>
      <c r="V242" s="68"/>
      <c r="W242" s="68"/>
      <c r="X242" s="68"/>
      <c r="Y242" s="68">
        <v>86.497672012415904</v>
      </c>
      <c r="Z242" s="68">
        <v>93.059708944106106</v>
      </c>
      <c r="AA242" s="68">
        <v>1849.73767154545</v>
      </c>
      <c r="AB242" s="68">
        <v>93.181818181818201</v>
      </c>
      <c r="AC242" s="68">
        <v>642.89816372301698</v>
      </c>
    </row>
    <row r="243" spans="1:29" x14ac:dyDescent="0.25">
      <c r="A243" s="70" t="s">
        <v>183</v>
      </c>
      <c r="B243" s="68">
        <v>97.281732869301507</v>
      </c>
      <c r="C243" s="68">
        <v>2.8221189121816499</v>
      </c>
      <c r="D243" s="68">
        <v>97.281732869301507</v>
      </c>
      <c r="E243" s="68">
        <v>2.8221189121816499</v>
      </c>
      <c r="F243" s="68">
        <v>98.708673681279805</v>
      </c>
      <c r="G243" s="68">
        <v>1.6690248133535801</v>
      </c>
      <c r="H243" s="68">
        <v>5349.1909999999998</v>
      </c>
      <c r="I243" s="68">
        <v>30321.809000000001</v>
      </c>
      <c r="J243" s="68">
        <v>95.310292638185004</v>
      </c>
      <c r="K243" s="68">
        <v>1.8412826462937999</v>
      </c>
      <c r="L243" s="68">
        <v>2011.65</v>
      </c>
      <c r="M243" s="68">
        <v>7362.9650000000001</v>
      </c>
      <c r="N243" s="68">
        <v>98.597101835235307</v>
      </c>
      <c r="O243" s="68">
        <v>23785.552653012499</v>
      </c>
      <c r="P243" s="68">
        <v>6748.5805</v>
      </c>
      <c r="Q243" s="68">
        <v>47952.816500000001</v>
      </c>
      <c r="R243" s="68">
        <v>98.425487555399101</v>
      </c>
      <c r="S243" s="68">
        <v>9459.1939819362906</v>
      </c>
      <c r="T243" s="68">
        <v>2752.1125000000002</v>
      </c>
      <c r="U243" s="68">
        <v>18185.6895</v>
      </c>
      <c r="V243" s="68">
        <v>99.166176029796603</v>
      </c>
      <c r="W243" s="68">
        <v>99.189303518800401</v>
      </c>
      <c r="X243" s="68">
        <v>2.8132984590605901</v>
      </c>
      <c r="Y243" s="68">
        <v>94.603997400791101</v>
      </c>
      <c r="Z243" s="68">
        <v>94.091452000817696</v>
      </c>
      <c r="AA243" s="68">
        <v>3.10607379536577</v>
      </c>
      <c r="AB243" s="68">
        <v>94.930853388260303</v>
      </c>
      <c r="AC243" s="68">
        <v>625.10644195706402</v>
      </c>
    </row>
    <row r="244" spans="1:29" x14ac:dyDescent="0.25">
      <c r="A244" s="70" t="s">
        <v>184</v>
      </c>
      <c r="B244" s="68">
        <v>95.981601332830493</v>
      </c>
      <c r="C244" s="68">
        <v>3.5471233422637698</v>
      </c>
      <c r="D244" s="68">
        <v>95.981601332830493</v>
      </c>
      <c r="E244" s="68">
        <v>3.5471233422637698</v>
      </c>
      <c r="F244" s="68">
        <v>98.478580532357697</v>
      </c>
      <c r="G244" s="68">
        <v>3.1486263862046999</v>
      </c>
      <c r="H244" s="68">
        <v>2553.31</v>
      </c>
      <c r="I244" s="68">
        <v>14148.234</v>
      </c>
      <c r="J244" s="68">
        <v>91.917969119220203</v>
      </c>
      <c r="K244" s="68">
        <v>4.1087288634691701</v>
      </c>
      <c r="L244" s="68">
        <v>740.548</v>
      </c>
      <c r="M244" s="68">
        <v>3376.34</v>
      </c>
      <c r="N244" s="68">
        <v>98.356211213750797</v>
      </c>
      <c r="O244" s="68">
        <v>9168.8146831035101</v>
      </c>
      <c r="P244" s="68">
        <v>2655.6849999999999</v>
      </c>
      <c r="Q244" s="68">
        <v>16646.904999999999</v>
      </c>
      <c r="R244" s="68">
        <v>97.914338453059401</v>
      </c>
      <c r="S244" s="68">
        <v>2395.6087138571802</v>
      </c>
      <c r="T244" s="68">
        <v>619.40800000000002</v>
      </c>
      <c r="U244" s="68">
        <v>4190.384</v>
      </c>
      <c r="V244" s="68">
        <v>98.749201564290303</v>
      </c>
      <c r="W244" s="68">
        <v>98.743024879523901</v>
      </c>
      <c r="X244" s="68">
        <v>3.0715470476942</v>
      </c>
      <c r="Y244" s="68">
        <v>93.560744193005405</v>
      </c>
      <c r="Z244" s="68">
        <v>92.157531102034</v>
      </c>
      <c r="AA244" s="68">
        <v>3.5346822273545202</v>
      </c>
      <c r="AB244" s="68">
        <v>90.762265339681207</v>
      </c>
      <c r="AC244" s="68">
        <v>543.47241108738297</v>
      </c>
    </row>
    <row r="245" spans="1:29" x14ac:dyDescent="0.25">
      <c r="A245" s="70" t="s">
        <v>185</v>
      </c>
      <c r="B245" s="68">
        <v>98.581864405772507</v>
      </c>
      <c r="C245" s="68">
        <v>2.09711448209953</v>
      </c>
      <c r="D245" s="68">
        <v>98.581864405772507</v>
      </c>
      <c r="E245" s="68">
        <v>2.09711448209953</v>
      </c>
      <c r="F245" s="68">
        <v>98.938766830201899</v>
      </c>
      <c r="G245" s="68">
        <v>1.13545305310059</v>
      </c>
      <c r="H245" s="68">
        <v>8145.0720000000001</v>
      </c>
      <c r="I245" s="68">
        <v>46495.383999999998</v>
      </c>
      <c r="J245" s="68">
        <v>98.702616157149805</v>
      </c>
      <c r="K245" s="68">
        <v>1.1864999092633901</v>
      </c>
      <c r="L245" s="68">
        <v>3282.752</v>
      </c>
      <c r="M245" s="68">
        <v>11349.59</v>
      </c>
      <c r="N245" s="68">
        <v>98.837992456719903</v>
      </c>
      <c r="O245" s="68">
        <v>38402.290622921602</v>
      </c>
      <c r="P245" s="68">
        <v>10841.476000000001</v>
      </c>
      <c r="Q245" s="68">
        <v>79258.728000000003</v>
      </c>
      <c r="R245" s="68">
        <v>98.936636657738802</v>
      </c>
      <c r="S245" s="68">
        <v>16522.779250015399</v>
      </c>
      <c r="T245" s="68">
        <v>4884.817</v>
      </c>
      <c r="U245" s="68">
        <v>32180.994999999999</v>
      </c>
      <c r="V245" s="68">
        <v>99.676446156147193</v>
      </c>
      <c r="W245" s="68">
        <v>99.735434460834597</v>
      </c>
      <c r="X245" s="68">
        <v>2.4972682201539298</v>
      </c>
      <c r="Y245" s="68">
        <v>95.643691354578706</v>
      </c>
      <c r="Z245" s="68">
        <v>96.018774965715707</v>
      </c>
      <c r="AA245" s="68">
        <v>2.6789276414355001</v>
      </c>
      <c r="AB245" s="68">
        <v>99.505092155338403</v>
      </c>
      <c r="AC245" s="68">
        <v>719.51094755413396</v>
      </c>
    </row>
    <row r="246" spans="1:29" x14ac:dyDescent="0.25">
      <c r="A246" s="70" t="s">
        <v>186</v>
      </c>
      <c r="B246" s="68">
        <v>98.107546734364206</v>
      </c>
      <c r="C246" s="68">
        <v>2.01341757360436</v>
      </c>
      <c r="D246" s="68">
        <v>98.107546734364206</v>
      </c>
      <c r="E246" s="68">
        <v>2.01341757360436</v>
      </c>
      <c r="F246" s="68">
        <v>99.376498800959197</v>
      </c>
      <c r="G246" s="68">
        <v>1.1448616689570701</v>
      </c>
      <c r="H246" s="68">
        <v>7725.6369999999997</v>
      </c>
      <c r="I246" s="68">
        <v>49738.976000000002</v>
      </c>
      <c r="J246" s="68">
        <v>96.179883945841397</v>
      </c>
      <c r="K246" s="68">
        <v>0.99204964102273596</v>
      </c>
      <c r="L246" s="68">
        <v>3243.7460000000001</v>
      </c>
      <c r="M246" s="68">
        <v>12157.86</v>
      </c>
      <c r="N246" s="68">
        <v>99.355797819623405</v>
      </c>
      <c r="O246" s="68">
        <v>24013.448493047701</v>
      </c>
      <c r="P246" s="68">
        <v>8322.902</v>
      </c>
      <c r="Q246" s="68">
        <v>82776.672000000006</v>
      </c>
      <c r="R246" s="68">
        <v>98.688193743693205</v>
      </c>
      <c r="S246" s="68">
        <v>14236.948469585201</v>
      </c>
      <c r="T246" s="68">
        <v>4468.8620000000001</v>
      </c>
      <c r="U246" s="68">
        <v>37412.004000000001</v>
      </c>
      <c r="V246" s="68"/>
      <c r="W246" s="68"/>
      <c r="X246" s="68"/>
      <c r="Y246" s="68">
        <v>93.894936109796504</v>
      </c>
      <c r="Z246" s="68">
        <v>96.799634049670104</v>
      </c>
      <c r="AA246" s="68">
        <v>1845.7646025454501</v>
      </c>
      <c r="AB246" s="68">
        <v>90.675403225806505</v>
      </c>
      <c r="AC246" s="68">
        <v>599.15022027934197</v>
      </c>
    </row>
    <row r="247" spans="1:29" x14ac:dyDescent="0.25">
      <c r="A247" s="70" t="s">
        <v>558</v>
      </c>
      <c r="B247" s="68">
        <v>98.107546734364206</v>
      </c>
      <c r="C247" s="68">
        <v>2.01341757360436</v>
      </c>
      <c r="D247" s="68">
        <v>98.107546734364206</v>
      </c>
      <c r="E247" s="68">
        <v>2.01341757360436</v>
      </c>
      <c r="F247" s="68">
        <v>99.376498800959197</v>
      </c>
      <c r="G247" s="68">
        <v>1.1448616689570701</v>
      </c>
      <c r="H247" s="68">
        <v>7725.6369999999997</v>
      </c>
      <c r="I247" s="68">
        <v>49738.976000000002</v>
      </c>
      <c r="J247" s="68">
        <v>96.179883945841397</v>
      </c>
      <c r="K247" s="68">
        <v>0.99204964102273596</v>
      </c>
      <c r="L247" s="68">
        <v>3243.7460000000001</v>
      </c>
      <c r="M247" s="68">
        <v>12157.86</v>
      </c>
      <c r="N247" s="68">
        <v>99.355797819623405</v>
      </c>
      <c r="O247" s="68">
        <v>24013.448493047701</v>
      </c>
      <c r="P247" s="68">
        <v>8322.902</v>
      </c>
      <c r="Q247" s="68">
        <v>82776.672000000006</v>
      </c>
      <c r="R247" s="68">
        <v>98.688193743693205</v>
      </c>
      <c r="S247" s="68">
        <v>14236.948469585201</v>
      </c>
      <c r="T247" s="68">
        <v>4468.8620000000001</v>
      </c>
      <c r="U247" s="68">
        <v>37412.004000000001</v>
      </c>
      <c r="V247" s="68"/>
      <c r="W247" s="68"/>
      <c r="X247" s="68"/>
      <c r="Y247" s="68">
        <v>93.894936109796504</v>
      </c>
      <c r="Z247" s="68">
        <v>96.799634049670104</v>
      </c>
      <c r="AA247" s="68">
        <v>1845.7646025454501</v>
      </c>
      <c r="AB247" s="68">
        <v>90.675403225806505</v>
      </c>
      <c r="AC247" s="68">
        <v>599.15022027934197</v>
      </c>
    </row>
    <row r="248" spans="1:29" x14ac:dyDescent="0.25">
      <c r="A248" s="70" t="s">
        <v>187</v>
      </c>
      <c r="B248" s="68">
        <v>98.432372030540805</v>
      </c>
      <c r="C248" s="68">
        <v>2.3914717518429498</v>
      </c>
      <c r="D248" s="68">
        <v>98.432372030540805</v>
      </c>
      <c r="E248" s="68">
        <v>2.3914717518429498</v>
      </c>
      <c r="F248" s="68">
        <v>99.548024587702002</v>
      </c>
      <c r="G248" s="68">
        <v>1.3181516371580899</v>
      </c>
      <c r="H248" s="68">
        <v>6968.9250000000002</v>
      </c>
      <c r="I248" s="68">
        <v>32318.556</v>
      </c>
      <c r="J248" s="68">
        <v>97.642393967659501</v>
      </c>
      <c r="K248" s="68">
        <v>1.6088681092724</v>
      </c>
      <c r="L248" s="68">
        <v>2387.1979999999999</v>
      </c>
      <c r="M248" s="68">
        <v>7527.5325000000003</v>
      </c>
      <c r="N248" s="68">
        <v>99.6885722181609</v>
      </c>
      <c r="O248" s="68">
        <v>27134.511359034899</v>
      </c>
      <c r="P248" s="68">
        <v>8190.2849999999999</v>
      </c>
      <c r="Q248" s="68">
        <v>53196.213499999998</v>
      </c>
      <c r="R248" s="68">
        <v>99.155286117899706</v>
      </c>
      <c r="S248" s="68">
        <v>10329.0279668439</v>
      </c>
      <c r="T248" s="68">
        <v>3270.5349999999999</v>
      </c>
      <c r="U248" s="68">
        <v>18192.496999999999</v>
      </c>
      <c r="V248" s="68">
        <v>99.662243089425999</v>
      </c>
      <c r="W248" s="68">
        <v>99.718988596432396</v>
      </c>
      <c r="X248" s="68">
        <v>2.4881355589905101</v>
      </c>
      <c r="Y248" s="68">
        <v>97.003683689343305</v>
      </c>
      <c r="Z248" s="68">
        <v>95.3648871654282</v>
      </c>
      <c r="AA248" s="68">
        <v>3.0883733446647299</v>
      </c>
      <c r="AB248" s="68">
        <v>88.432260502632801</v>
      </c>
      <c r="AC248" s="68">
        <v>616.64245627579203</v>
      </c>
    </row>
    <row r="249" spans="1:29" x14ac:dyDescent="0.25">
      <c r="A249" s="70" t="s">
        <v>188</v>
      </c>
      <c r="B249" s="68">
        <v>97.188115327202993</v>
      </c>
      <c r="C249" s="68">
        <v>2.8079620707758099</v>
      </c>
      <c r="D249" s="68">
        <v>97.188115327202993</v>
      </c>
      <c r="E249" s="68">
        <v>2.8079620707758099</v>
      </c>
      <c r="F249" s="68">
        <v>99.165689353470299</v>
      </c>
      <c r="G249" s="68">
        <v>2.5510450204906001</v>
      </c>
      <c r="H249" s="68">
        <v>3542.163</v>
      </c>
      <c r="I249" s="68">
        <v>16164.034</v>
      </c>
      <c r="J249" s="68">
        <v>95.885000626833701</v>
      </c>
      <c r="K249" s="68">
        <v>3.6065536416392199</v>
      </c>
      <c r="L249" s="68">
        <v>991.19600000000003</v>
      </c>
      <c r="M249" s="68">
        <v>3481.05</v>
      </c>
      <c r="N249" s="68">
        <v>99.449647149853703</v>
      </c>
      <c r="O249" s="68">
        <v>10752.8126922624</v>
      </c>
      <c r="P249" s="68">
        <v>3760.7220000000002</v>
      </c>
      <c r="Q249" s="68">
        <v>18532.227999999999</v>
      </c>
      <c r="R249" s="68">
        <v>98.875819278281696</v>
      </c>
      <c r="S249" s="68">
        <v>2740.6592442565102</v>
      </c>
      <c r="T249" s="68">
        <v>918.11199999999997</v>
      </c>
      <c r="U249" s="68">
        <v>4496.0879999999997</v>
      </c>
      <c r="V249" s="68">
        <v>99.324486178852098</v>
      </c>
      <c r="W249" s="68">
        <v>99.437977192864807</v>
      </c>
      <c r="X249" s="68">
        <v>2.3412877765122699</v>
      </c>
      <c r="Y249" s="68">
        <v>95.482722215678606</v>
      </c>
      <c r="Z249" s="68">
        <v>92.992898326491996</v>
      </c>
      <c r="AA249" s="68">
        <v>3.3797138621971898</v>
      </c>
      <c r="AB249" s="68">
        <v>77.908522403076205</v>
      </c>
      <c r="AC249" s="68">
        <v>541.33497554840096</v>
      </c>
    </row>
    <row r="250" spans="1:29" x14ac:dyDescent="0.25">
      <c r="A250" s="70" t="s">
        <v>189</v>
      </c>
      <c r="B250" s="68">
        <v>99.676628733878502</v>
      </c>
      <c r="C250" s="68">
        <v>1.9749814329100901</v>
      </c>
      <c r="D250" s="68">
        <v>99.676628733878502</v>
      </c>
      <c r="E250" s="68">
        <v>1.9749814329100901</v>
      </c>
      <c r="F250" s="68">
        <v>99.930359821933706</v>
      </c>
      <c r="G250" s="68">
        <v>0.88866778772778199</v>
      </c>
      <c r="H250" s="68">
        <v>10395.687</v>
      </c>
      <c r="I250" s="68">
        <v>48473.078000000001</v>
      </c>
      <c r="J250" s="68">
        <v>99.399787308485301</v>
      </c>
      <c r="K250" s="68">
        <v>1.0353714319201399</v>
      </c>
      <c r="L250" s="68">
        <v>3783.2</v>
      </c>
      <c r="M250" s="68">
        <v>11574.014999999999</v>
      </c>
      <c r="N250" s="68">
        <v>99.927497286468096</v>
      </c>
      <c r="O250" s="68">
        <v>43516.210025807399</v>
      </c>
      <c r="P250" s="68">
        <v>12619.848</v>
      </c>
      <c r="Q250" s="68">
        <v>87860.198999999993</v>
      </c>
      <c r="R250" s="68">
        <v>99.434752957517603</v>
      </c>
      <c r="S250" s="68">
        <v>17917.3966894314</v>
      </c>
      <c r="T250" s="68">
        <v>5622.9579999999996</v>
      </c>
      <c r="U250" s="68">
        <v>31888.905999999999</v>
      </c>
      <c r="V250" s="68">
        <v>100</v>
      </c>
      <c r="W250" s="68">
        <v>100</v>
      </c>
      <c r="X250" s="68">
        <v>2.63498334146874</v>
      </c>
      <c r="Y250" s="68">
        <v>98.524645163008003</v>
      </c>
      <c r="Z250" s="68">
        <v>97.736876004364305</v>
      </c>
      <c r="AA250" s="68">
        <v>2.7970328271322802</v>
      </c>
      <c r="AB250" s="68">
        <v>99.487882655791296</v>
      </c>
      <c r="AC250" s="68">
        <v>695.75607962445497</v>
      </c>
    </row>
    <row r="251" spans="1:29" x14ac:dyDescent="0.25">
      <c r="A251" s="70" t="s">
        <v>377</v>
      </c>
      <c r="B251" s="68">
        <v>98.107546734364206</v>
      </c>
      <c r="C251" s="68">
        <v>2.01341757360436</v>
      </c>
      <c r="D251" s="68">
        <v>98.107546734364206</v>
      </c>
      <c r="E251" s="68">
        <v>2.01341757360436</v>
      </c>
      <c r="F251" s="68">
        <v>99.376498800959197</v>
      </c>
      <c r="G251" s="68">
        <v>1.1448616689570701</v>
      </c>
      <c r="H251" s="68">
        <v>7725.6369999999997</v>
      </c>
      <c r="I251" s="68">
        <v>49738.976000000002</v>
      </c>
      <c r="J251" s="68">
        <v>96.179883945841397</v>
      </c>
      <c r="K251" s="68">
        <v>0.99204964102273596</v>
      </c>
      <c r="L251" s="68">
        <v>3243.7460000000001</v>
      </c>
      <c r="M251" s="68">
        <v>12157.86</v>
      </c>
      <c r="N251" s="68">
        <v>99.355797819623405</v>
      </c>
      <c r="O251" s="68">
        <v>24013.448493047701</v>
      </c>
      <c r="P251" s="68">
        <v>8322.902</v>
      </c>
      <c r="Q251" s="68">
        <v>82776.672000000006</v>
      </c>
      <c r="R251" s="68">
        <v>98.688193743693205</v>
      </c>
      <c r="S251" s="68">
        <v>14236.948469585201</v>
      </c>
      <c r="T251" s="68">
        <v>4468.8620000000001</v>
      </c>
      <c r="U251" s="68">
        <v>37412.004000000001</v>
      </c>
      <c r="V251" s="68"/>
      <c r="W251" s="68"/>
      <c r="X251" s="68"/>
      <c r="Y251" s="68">
        <v>93.894936109796504</v>
      </c>
      <c r="Z251" s="68">
        <v>96.799634049670104</v>
      </c>
      <c r="AA251" s="68">
        <v>1845.7646025454501</v>
      </c>
      <c r="AB251" s="68">
        <v>90.675403225806505</v>
      </c>
      <c r="AC251" s="68">
        <v>599.15022027934197</v>
      </c>
    </row>
    <row r="252" spans="1:29" x14ac:dyDescent="0.25">
      <c r="A252" s="70" t="s">
        <v>559</v>
      </c>
      <c r="B252" s="68">
        <v>98.107546734364206</v>
      </c>
      <c r="C252" s="68">
        <v>2.01341757360436</v>
      </c>
      <c r="D252" s="68">
        <v>98.107546734364206</v>
      </c>
      <c r="E252" s="68">
        <v>2.01341757360436</v>
      </c>
      <c r="F252" s="68">
        <v>99.376498800959197</v>
      </c>
      <c r="G252" s="68">
        <v>1.1448616689570701</v>
      </c>
      <c r="H252" s="68">
        <v>7725.6369999999997</v>
      </c>
      <c r="I252" s="68">
        <v>49738.976000000002</v>
      </c>
      <c r="J252" s="68">
        <v>96.179883945841397</v>
      </c>
      <c r="K252" s="68">
        <v>0.99204964102273596</v>
      </c>
      <c r="L252" s="68">
        <v>3243.7460000000001</v>
      </c>
      <c r="M252" s="68">
        <v>12157.86</v>
      </c>
      <c r="N252" s="68">
        <v>99.355797819623405</v>
      </c>
      <c r="O252" s="68">
        <v>24013.448493047701</v>
      </c>
      <c r="P252" s="68">
        <v>8322.902</v>
      </c>
      <c r="Q252" s="68">
        <v>82776.672000000006</v>
      </c>
      <c r="R252" s="68">
        <v>98.688193743693205</v>
      </c>
      <c r="S252" s="68">
        <v>14236.948469585201</v>
      </c>
      <c r="T252" s="68">
        <v>4468.8620000000001</v>
      </c>
      <c r="U252" s="68">
        <v>37412.004000000001</v>
      </c>
      <c r="V252" s="68"/>
      <c r="W252" s="68"/>
      <c r="X252" s="68"/>
      <c r="Y252" s="68">
        <v>93.894936109796504</v>
      </c>
      <c r="Z252" s="68">
        <v>96.799634049670104</v>
      </c>
      <c r="AA252" s="68">
        <v>1845.7646025454501</v>
      </c>
      <c r="AB252" s="68">
        <v>90.675403225806505</v>
      </c>
      <c r="AC252" s="68">
        <v>599.15022027934197</v>
      </c>
    </row>
    <row r="253" spans="1:29" x14ac:dyDescent="0.25">
      <c r="A253" s="70" t="s">
        <v>190</v>
      </c>
      <c r="B253" s="68">
        <v>98.074161526707101</v>
      </c>
      <c r="C253" s="68">
        <v>2.4435379433572799</v>
      </c>
      <c r="D253" s="68">
        <v>98.074161526707101</v>
      </c>
      <c r="E253" s="68">
        <v>2.4435379433572799</v>
      </c>
      <c r="F253" s="68">
        <v>99.394449278179493</v>
      </c>
      <c r="G253" s="68">
        <v>1.3626529632170501</v>
      </c>
      <c r="H253" s="68">
        <v>6464.9324999999999</v>
      </c>
      <c r="I253" s="68">
        <v>30256.696</v>
      </c>
      <c r="J253" s="68">
        <v>97.425577931060104</v>
      </c>
      <c r="K253" s="68">
        <v>1.6681545859028799</v>
      </c>
      <c r="L253" s="68">
        <v>2297.0050000000001</v>
      </c>
      <c r="M253" s="68">
        <v>7326.9049999999997</v>
      </c>
      <c r="N253" s="68">
        <v>99.4726006943133</v>
      </c>
      <c r="O253" s="68">
        <v>25716.563208160402</v>
      </c>
      <c r="P253" s="68">
        <v>6999.6684999999998</v>
      </c>
      <c r="Q253" s="68">
        <v>50081.686999999998</v>
      </c>
      <c r="R253" s="68">
        <v>98.887376807701202</v>
      </c>
      <c r="S253" s="68">
        <v>9443.51049410618</v>
      </c>
      <c r="T253" s="68">
        <v>3056.3395</v>
      </c>
      <c r="U253" s="68">
        <v>17224.076000000001</v>
      </c>
      <c r="V253" s="68">
        <v>99.712990523078304</v>
      </c>
      <c r="W253" s="68">
        <v>99.032872726310998</v>
      </c>
      <c r="X253" s="68">
        <v>2.6363971476735699</v>
      </c>
      <c r="Y253" s="68">
        <v>97.429126430458894</v>
      </c>
      <c r="Z253" s="68">
        <v>95.172529619452504</v>
      </c>
      <c r="AA253" s="68">
        <v>3.12900194280722</v>
      </c>
      <c r="AB253" s="68">
        <v>95.207652290997402</v>
      </c>
      <c r="AC253" s="68">
        <v>619.29797767657396</v>
      </c>
    </row>
    <row r="254" spans="1:29" x14ac:dyDescent="0.25">
      <c r="A254" s="70" t="s">
        <v>191</v>
      </c>
      <c r="B254" s="68">
        <v>96.778688258275693</v>
      </c>
      <c r="C254" s="68">
        <v>2.9084111649549902</v>
      </c>
      <c r="D254" s="68">
        <v>96.778688258275693</v>
      </c>
      <c r="E254" s="68">
        <v>2.9084111649549902</v>
      </c>
      <c r="F254" s="68">
        <v>99.095320447573897</v>
      </c>
      <c r="G254" s="68">
        <v>2.5196939782644301</v>
      </c>
      <c r="H254" s="68">
        <v>3517.239</v>
      </c>
      <c r="I254" s="68">
        <v>16198.762000000001</v>
      </c>
      <c r="J254" s="68">
        <v>96.1380406565779</v>
      </c>
      <c r="K254" s="68">
        <v>3.63276949232191</v>
      </c>
      <c r="L254" s="68">
        <v>899.83399999999995</v>
      </c>
      <c r="M254" s="68">
        <v>3428.61</v>
      </c>
      <c r="N254" s="68">
        <v>99.202336247383897</v>
      </c>
      <c r="O254" s="68">
        <v>10838.9962469203</v>
      </c>
      <c r="P254" s="68">
        <v>3551.5659999999998</v>
      </c>
      <c r="Q254" s="68">
        <v>19073.714</v>
      </c>
      <c r="R254" s="68">
        <v>98.360825594597898</v>
      </c>
      <c r="S254" s="68">
        <v>2735.0719173931102</v>
      </c>
      <c r="T254" s="68">
        <v>849.34400000000005</v>
      </c>
      <c r="U254" s="68">
        <v>4595.7479999999996</v>
      </c>
      <c r="V254" s="68">
        <v>99.425981046156593</v>
      </c>
      <c r="W254" s="68">
        <v>98.281938932483101</v>
      </c>
      <c r="X254" s="68">
        <v>2.5114072164486201</v>
      </c>
      <c r="Y254" s="68">
        <v>96.620816935617796</v>
      </c>
      <c r="Z254" s="68">
        <v>93.582883056621696</v>
      </c>
      <c r="AA254" s="68">
        <v>3.3916723643558901</v>
      </c>
      <c r="AB254" s="68">
        <v>91.228723836738595</v>
      </c>
      <c r="AC254" s="68">
        <v>543.28808374639505</v>
      </c>
    </row>
    <row r="255" spans="1:29" x14ac:dyDescent="0.25">
      <c r="A255" s="70" t="s">
        <v>192</v>
      </c>
      <c r="B255" s="68">
        <v>99.369634795138595</v>
      </c>
      <c r="C255" s="68">
        <v>1.9786647217595701</v>
      </c>
      <c r="D255" s="68">
        <v>99.369634795138595</v>
      </c>
      <c r="E255" s="68">
        <v>1.9786647217595701</v>
      </c>
      <c r="F255" s="68">
        <v>99.693578108785005</v>
      </c>
      <c r="G255" s="68">
        <v>0.93383626291474597</v>
      </c>
      <c r="H255" s="68">
        <v>9412.6260000000002</v>
      </c>
      <c r="I255" s="68">
        <v>44314.63</v>
      </c>
      <c r="J255" s="68">
        <v>98.713115205542294</v>
      </c>
      <c r="K255" s="68">
        <v>1.0826522990824099</v>
      </c>
      <c r="L255" s="68">
        <v>3694.1759999999999</v>
      </c>
      <c r="M255" s="68">
        <v>11225.2</v>
      </c>
      <c r="N255" s="68">
        <v>99.742865141242703</v>
      </c>
      <c r="O255" s="68">
        <v>40594.130169400501</v>
      </c>
      <c r="P255" s="68">
        <v>10447.771000000001</v>
      </c>
      <c r="Q255" s="68">
        <v>81089.66</v>
      </c>
      <c r="R255" s="68">
        <v>99.413928020804505</v>
      </c>
      <c r="S255" s="68">
        <v>16151.949070819201</v>
      </c>
      <c r="T255" s="68">
        <v>5263.335</v>
      </c>
      <c r="U255" s="68">
        <v>29852.403999999999</v>
      </c>
      <c r="V255" s="68">
        <v>100</v>
      </c>
      <c r="W255" s="68">
        <v>99.783806520138896</v>
      </c>
      <c r="X255" s="68">
        <v>2.7613870788985202</v>
      </c>
      <c r="Y255" s="68">
        <v>98.206363893978306</v>
      </c>
      <c r="Z255" s="68">
        <v>96.7010689602279</v>
      </c>
      <c r="AA255" s="68">
        <v>2.8764287719004602</v>
      </c>
      <c r="AB255" s="68">
        <v>99.573775442241498</v>
      </c>
      <c r="AC255" s="68">
        <v>707.198530675352</v>
      </c>
    </row>
    <row r="256" spans="1:29" x14ac:dyDescent="0.25">
      <c r="A256" s="70" t="s">
        <v>193</v>
      </c>
      <c r="B256" s="68">
        <v>91.1341853035144</v>
      </c>
      <c r="C256" s="68">
        <v>3.4697098067840102</v>
      </c>
      <c r="D256" s="68">
        <v>91.1341853035144</v>
      </c>
      <c r="E256" s="68">
        <v>3.4697098067840102</v>
      </c>
      <c r="F256" s="68">
        <v>95.876855415063204</v>
      </c>
      <c r="G256" s="68">
        <v>3.2016747212886201</v>
      </c>
      <c r="H256" s="68">
        <v>2414.4110000000001</v>
      </c>
      <c r="I256" s="68">
        <v>15311.529</v>
      </c>
      <c r="J256" s="68">
        <v>91.560244308717401</v>
      </c>
      <c r="K256" s="68">
        <v>2.40037129292402</v>
      </c>
      <c r="L256" s="68">
        <v>890.19399999999996</v>
      </c>
      <c r="M256" s="68">
        <v>8686.0300000000007</v>
      </c>
      <c r="N256" s="68">
        <v>95.011467889908303</v>
      </c>
      <c r="O256" s="68">
        <v>10802.282128344399</v>
      </c>
      <c r="P256" s="68">
        <v>2554.8919999999998</v>
      </c>
      <c r="Q256" s="68">
        <v>27421.518</v>
      </c>
      <c r="R256" s="68">
        <v>93.131548311990699</v>
      </c>
      <c r="S256" s="68">
        <v>4883.6770430305396</v>
      </c>
      <c r="T256" s="68">
        <v>845.18200000000002</v>
      </c>
      <c r="U256" s="68">
        <v>19059.966</v>
      </c>
      <c r="V256" s="68"/>
      <c r="W256" s="68"/>
      <c r="X256" s="68"/>
      <c r="Y256" s="68">
        <v>85.400658616904494</v>
      </c>
      <c r="Z256" s="68">
        <v>97.004797978499596</v>
      </c>
      <c r="AA256" s="68">
        <v>2798.0823216363601</v>
      </c>
      <c r="AB256" s="68">
        <v>92.159383033419005</v>
      </c>
      <c r="AC256" s="68">
        <v>529.53177896615705</v>
      </c>
    </row>
    <row r="257" spans="1:29" x14ac:dyDescent="0.25">
      <c r="A257" s="70" t="s">
        <v>560</v>
      </c>
      <c r="B257" s="68">
        <v>91.1341853035144</v>
      </c>
      <c r="C257" s="68">
        <v>3.4697098067840102</v>
      </c>
      <c r="D257" s="68">
        <v>91.1341853035144</v>
      </c>
      <c r="E257" s="68">
        <v>3.4697098067840102</v>
      </c>
      <c r="F257" s="68">
        <v>95.876855415063204</v>
      </c>
      <c r="G257" s="68">
        <v>3.2016747212886201</v>
      </c>
      <c r="H257" s="68">
        <v>2414.4110000000001</v>
      </c>
      <c r="I257" s="68">
        <v>15311.529</v>
      </c>
      <c r="J257" s="68">
        <v>91.560244308717401</v>
      </c>
      <c r="K257" s="68">
        <v>2.40037129292402</v>
      </c>
      <c r="L257" s="68">
        <v>890.19399999999996</v>
      </c>
      <c r="M257" s="68">
        <v>8686.0300000000007</v>
      </c>
      <c r="N257" s="68">
        <v>95.011467889908303</v>
      </c>
      <c r="O257" s="68">
        <v>10802.282128344399</v>
      </c>
      <c r="P257" s="68">
        <v>2554.8919999999998</v>
      </c>
      <c r="Q257" s="68">
        <v>27421.518</v>
      </c>
      <c r="R257" s="68">
        <v>93.131548311990699</v>
      </c>
      <c r="S257" s="68">
        <v>4883.6770430305396</v>
      </c>
      <c r="T257" s="68">
        <v>845.18200000000002</v>
      </c>
      <c r="U257" s="68">
        <v>19059.966</v>
      </c>
      <c r="V257" s="68"/>
      <c r="W257" s="68"/>
      <c r="X257" s="68"/>
      <c r="Y257" s="68">
        <v>85.400658616904494</v>
      </c>
      <c r="Z257" s="68">
        <v>97.004797978499596</v>
      </c>
      <c r="AA257" s="68">
        <v>2798.0823216363601</v>
      </c>
      <c r="AB257" s="68">
        <v>92.159383033419005</v>
      </c>
      <c r="AC257" s="68">
        <v>529.53177896615705</v>
      </c>
    </row>
    <row r="258" spans="1:29" x14ac:dyDescent="0.25">
      <c r="A258" s="70" t="s">
        <v>194</v>
      </c>
      <c r="B258" s="68">
        <v>94.092585440418105</v>
      </c>
      <c r="C258" s="68">
        <v>3.2974758439845502</v>
      </c>
      <c r="D258" s="68">
        <v>94.092585440418105</v>
      </c>
      <c r="E258" s="68">
        <v>3.2974758439845502</v>
      </c>
      <c r="F258" s="68">
        <v>96.979742053086795</v>
      </c>
      <c r="G258" s="68">
        <v>3.0614137906887802</v>
      </c>
      <c r="H258" s="68">
        <v>2830.5320000000002</v>
      </c>
      <c r="I258" s="68">
        <v>13400.994000000001</v>
      </c>
      <c r="J258" s="68">
        <v>93.931485415966193</v>
      </c>
      <c r="K258" s="68">
        <v>2.2895940273212401</v>
      </c>
      <c r="L258" s="68">
        <v>1219.5505000000001</v>
      </c>
      <c r="M258" s="68">
        <v>5677.04</v>
      </c>
      <c r="N258" s="68">
        <v>97.282057227931901</v>
      </c>
      <c r="O258" s="68">
        <v>11531.4233484165</v>
      </c>
      <c r="P258" s="68">
        <v>2881.3670000000002</v>
      </c>
      <c r="Q258" s="68">
        <v>22413.026000000002</v>
      </c>
      <c r="R258" s="68">
        <v>97.175510539498902</v>
      </c>
      <c r="S258" s="68">
        <v>6689.2737421943202</v>
      </c>
      <c r="T258" s="68">
        <v>1023.915</v>
      </c>
      <c r="U258" s="68">
        <v>11838.7925</v>
      </c>
      <c r="V258" s="68">
        <v>95.823314565018805</v>
      </c>
      <c r="W258" s="68">
        <v>97.660873968926097</v>
      </c>
      <c r="X258" s="68">
        <v>3.3613091227957899</v>
      </c>
      <c r="Y258" s="68">
        <v>92.810521031953797</v>
      </c>
      <c r="Z258" s="68">
        <v>92.7188625843837</v>
      </c>
      <c r="AA258" s="68">
        <v>4.28902514722677</v>
      </c>
      <c r="AB258" s="68">
        <v>86.794691873261399</v>
      </c>
      <c r="AC258" s="68">
        <v>618.93148527323103</v>
      </c>
    </row>
    <row r="259" spans="1:29" x14ac:dyDescent="0.25">
      <c r="A259" s="70" t="s">
        <v>195</v>
      </c>
      <c r="B259" s="68">
        <v>90.699080185907704</v>
      </c>
      <c r="C259" s="68">
        <v>4.1694802682342198</v>
      </c>
      <c r="D259" s="68">
        <v>90.699080185907704</v>
      </c>
      <c r="E259" s="68">
        <v>4.1694802682342198</v>
      </c>
      <c r="F259" s="68">
        <v>95.391783887992503</v>
      </c>
      <c r="G259" s="68">
        <v>4.0317984938146498</v>
      </c>
      <c r="H259" s="68">
        <v>1996.0139999999999</v>
      </c>
      <c r="I259" s="68">
        <v>10407.727999999999</v>
      </c>
      <c r="J259" s="68">
        <v>90.719531505129396</v>
      </c>
      <c r="K259" s="68">
        <v>5.24109643684434</v>
      </c>
      <c r="L259" s="68">
        <v>654.10400000000004</v>
      </c>
      <c r="M259" s="68">
        <v>2755.55</v>
      </c>
      <c r="N259" s="68">
        <v>96.375044008634006</v>
      </c>
      <c r="O259" s="68">
        <v>7914.2156508806802</v>
      </c>
      <c r="P259" s="68">
        <v>1972.354</v>
      </c>
      <c r="Q259" s="68">
        <v>14972.451999999999</v>
      </c>
      <c r="R259" s="68">
        <v>96.2117249564688</v>
      </c>
      <c r="S259" s="68">
        <v>1840.1686878639</v>
      </c>
      <c r="T259" s="68">
        <v>494.62400000000002</v>
      </c>
      <c r="U259" s="68">
        <v>3619.6109999999999</v>
      </c>
      <c r="V259" s="68">
        <v>94.025491049767595</v>
      </c>
      <c r="W259" s="68">
        <v>97.231609287392601</v>
      </c>
      <c r="X259" s="68">
        <v>3.5936427286949502</v>
      </c>
      <c r="Y259" s="68">
        <v>90.725591903283402</v>
      </c>
      <c r="Z259" s="68">
        <v>91.673806224291894</v>
      </c>
      <c r="AA259" s="68">
        <v>5.211028184191</v>
      </c>
      <c r="AB259" s="68">
        <v>76.044676780947597</v>
      </c>
      <c r="AC259" s="68">
        <v>538.96447977090997</v>
      </c>
    </row>
    <row r="260" spans="1:29" x14ac:dyDescent="0.25">
      <c r="A260" s="70" t="s">
        <v>196</v>
      </c>
      <c r="B260" s="68">
        <v>97.486090694928507</v>
      </c>
      <c r="C260" s="68">
        <v>2.4254714197348699</v>
      </c>
      <c r="D260" s="68">
        <v>97.486090694928507</v>
      </c>
      <c r="E260" s="68">
        <v>2.4254714197348699</v>
      </c>
      <c r="F260" s="68">
        <v>98.567700218181201</v>
      </c>
      <c r="G260" s="68">
        <v>2.46752328419154</v>
      </c>
      <c r="H260" s="68">
        <v>3665.05</v>
      </c>
      <c r="I260" s="68">
        <v>16394.259999999998</v>
      </c>
      <c r="J260" s="68">
        <v>97.143439326803104</v>
      </c>
      <c r="K260" s="68">
        <v>1.4647346127211101</v>
      </c>
      <c r="L260" s="68">
        <v>1784.9970000000001</v>
      </c>
      <c r="M260" s="68">
        <v>8598.5300000000007</v>
      </c>
      <c r="N260" s="68">
        <v>98.189070447229895</v>
      </c>
      <c r="O260" s="68">
        <v>15148.631045952399</v>
      </c>
      <c r="P260" s="68">
        <v>3790.38</v>
      </c>
      <c r="Q260" s="68">
        <v>29853.599999999999</v>
      </c>
      <c r="R260" s="68">
        <v>98.139296122529004</v>
      </c>
      <c r="S260" s="68">
        <v>11538.378796524699</v>
      </c>
      <c r="T260" s="68">
        <v>1553.2059999999999</v>
      </c>
      <c r="U260" s="68">
        <v>20057.973999999998</v>
      </c>
      <c r="V260" s="68">
        <v>97.773128869419693</v>
      </c>
      <c r="W260" s="68">
        <v>98.126429352604205</v>
      </c>
      <c r="X260" s="68">
        <v>3.1093336734080599</v>
      </c>
      <c r="Y260" s="68">
        <v>94.895450160624094</v>
      </c>
      <c r="Z260" s="68">
        <v>93.763918944475506</v>
      </c>
      <c r="AA260" s="68">
        <v>3.3670221102625399</v>
      </c>
      <c r="AB260" s="68">
        <v>97.940151391305207</v>
      </c>
      <c r="AC260" s="68">
        <v>701.84011516367298</v>
      </c>
    </row>
    <row r="261" spans="1:29" x14ac:dyDescent="0.25">
      <c r="A261" s="70" t="s">
        <v>378</v>
      </c>
      <c r="B261" s="68">
        <v>91.1341853035144</v>
      </c>
      <c r="C261" s="68">
        <v>3.4697098067840102</v>
      </c>
      <c r="D261" s="68">
        <v>91.1341853035144</v>
      </c>
      <c r="E261" s="68">
        <v>3.4697098067840102</v>
      </c>
      <c r="F261" s="68">
        <v>95.876855415063204</v>
      </c>
      <c r="G261" s="68">
        <v>3.2016747212886201</v>
      </c>
      <c r="H261" s="68">
        <v>2414.4110000000001</v>
      </c>
      <c r="I261" s="68">
        <v>15311.529</v>
      </c>
      <c r="J261" s="68">
        <v>91.560244308717401</v>
      </c>
      <c r="K261" s="68">
        <v>2.40037129292402</v>
      </c>
      <c r="L261" s="68">
        <v>890.19399999999996</v>
      </c>
      <c r="M261" s="68">
        <v>8686.0300000000007</v>
      </c>
      <c r="N261" s="68">
        <v>95.011467889908303</v>
      </c>
      <c r="O261" s="68">
        <v>10802.282128344399</v>
      </c>
      <c r="P261" s="68">
        <v>2554.8919999999998</v>
      </c>
      <c r="Q261" s="68">
        <v>27421.518</v>
      </c>
      <c r="R261" s="68">
        <v>93.131548311990699</v>
      </c>
      <c r="S261" s="68">
        <v>4883.6770430305396</v>
      </c>
      <c r="T261" s="68">
        <v>845.18200000000002</v>
      </c>
      <c r="U261" s="68">
        <v>19059.966</v>
      </c>
      <c r="V261" s="68"/>
      <c r="W261" s="68"/>
      <c r="X261" s="68"/>
      <c r="Y261" s="68">
        <v>85.400658616904494</v>
      </c>
      <c r="Z261" s="68">
        <v>97.004797978499596</v>
      </c>
      <c r="AA261" s="68">
        <v>2798.0823216363601</v>
      </c>
      <c r="AB261" s="68">
        <v>92.159383033419005</v>
      </c>
      <c r="AC261" s="68">
        <v>529.53177896615705</v>
      </c>
    </row>
    <row r="262" spans="1:29" x14ac:dyDescent="0.25">
      <c r="A262" s="70" t="s">
        <v>561</v>
      </c>
      <c r="B262" s="68">
        <v>91.1341853035144</v>
      </c>
      <c r="C262" s="68">
        <v>3.4697098067840102</v>
      </c>
      <c r="D262" s="68">
        <v>91.1341853035144</v>
      </c>
      <c r="E262" s="68">
        <v>3.4697098067840102</v>
      </c>
      <c r="F262" s="68">
        <v>95.876855415063204</v>
      </c>
      <c r="G262" s="68">
        <v>3.2016747212886201</v>
      </c>
      <c r="H262" s="68">
        <v>2414.4110000000001</v>
      </c>
      <c r="I262" s="68">
        <v>15311.529</v>
      </c>
      <c r="J262" s="68">
        <v>91.560244308717401</v>
      </c>
      <c r="K262" s="68">
        <v>2.40037129292402</v>
      </c>
      <c r="L262" s="68">
        <v>890.19399999999996</v>
      </c>
      <c r="M262" s="68">
        <v>8686.0300000000007</v>
      </c>
      <c r="N262" s="68">
        <v>95.011467889908303</v>
      </c>
      <c r="O262" s="68">
        <v>10802.282128344399</v>
      </c>
      <c r="P262" s="68">
        <v>2554.8919999999998</v>
      </c>
      <c r="Q262" s="68">
        <v>27421.518</v>
      </c>
      <c r="R262" s="68">
        <v>93.131548311990699</v>
      </c>
      <c r="S262" s="68">
        <v>4883.6770430305396</v>
      </c>
      <c r="T262" s="68">
        <v>845.18200000000002</v>
      </c>
      <c r="U262" s="68">
        <v>19059.966</v>
      </c>
      <c r="V262" s="68"/>
      <c r="W262" s="68"/>
      <c r="X262" s="68"/>
      <c r="Y262" s="68">
        <v>85.400658616904494</v>
      </c>
      <c r="Z262" s="68">
        <v>97.004797978499596</v>
      </c>
      <c r="AA262" s="68">
        <v>2798.0823216363601</v>
      </c>
      <c r="AB262" s="68">
        <v>92.159383033419005</v>
      </c>
      <c r="AC262" s="68">
        <v>529.53177896615705</v>
      </c>
    </row>
    <row r="263" spans="1:29" x14ac:dyDescent="0.25">
      <c r="A263" s="70" t="s">
        <v>197</v>
      </c>
      <c r="B263" s="68">
        <v>94.182164776770705</v>
      </c>
      <c r="C263" s="68">
        <v>3.3826483436686701</v>
      </c>
      <c r="D263" s="68">
        <v>94.182164776770705</v>
      </c>
      <c r="E263" s="68">
        <v>3.3826483436686701</v>
      </c>
      <c r="F263" s="68">
        <v>97.733659315131803</v>
      </c>
      <c r="G263" s="68">
        <v>3.09589019609836</v>
      </c>
      <c r="H263" s="68">
        <v>3065.0749999999998</v>
      </c>
      <c r="I263" s="68">
        <v>13326.748</v>
      </c>
      <c r="J263" s="68">
        <v>94.163377808670006</v>
      </c>
      <c r="K263" s="68">
        <v>2.4391448294094999</v>
      </c>
      <c r="L263" s="68">
        <v>1143.2650000000001</v>
      </c>
      <c r="M263" s="68">
        <v>5525.42</v>
      </c>
      <c r="N263" s="68">
        <v>98.021054349418407</v>
      </c>
      <c r="O263" s="68">
        <v>11738.0719163417</v>
      </c>
      <c r="P263" s="68">
        <v>3302.1115</v>
      </c>
      <c r="Q263" s="68">
        <v>24029.760999999999</v>
      </c>
      <c r="R263" s="68">
        <v>97.924321849270399</v>
      </c>
      <c r="S263" s="68">
        <v>6421.2485913715</v>
      </c>
      <c r="T263" s="68">
        <v>1052.953</v>
      </c>
      <c r="U263" s="68">
        <v>12175.440500000001</v>
      </c>
      <c r="V263" s="68">
        <v>98.764393877120597</v>
      </c>
      <c r="W263" s="68">
        <v>98.708787808264802</v>
      </c>
      <c r="X263" s="68">
        <v>2.5259299815265299</v>
      </c>
      <c r="Y263" s="68">
        <v>94.630437695233297</v>
      </c>
      <c r="Z263" s="68">
        <v>94.623644205074399</v>
      </c>
      <c r="AA263" s="68">
        <v>4.0000357821373003</v>
      </c>
      <c r="AB263" s="68">
        <v>93.682209509281904</v>
      </c>
      <c r="AC263" s="68">
        <v>625.88499234056803</v>
      </c>
    </row>
    <row r="264" spans="1:29" x14ac:dyDescent="0.25">
      <c r="A264" s="70" t="s">
        <v>198</v>
      </c>
      <c r="B264" s="68">
        <v>91.086225846020795</v>
      </c>
      <c r="C264" s="68">
        <v>4.2986271154915601</v>
      </c>
      <c r="D264" s="68">
        <v>91.086225846020795</v>
      </c>
      <c r="E264" s="68">
        <v>4.2986271154915601</v>
      </c>
      <c r="F264" s="68">
        <v>96.839197689076101</v>
      </c>
      <c r="G264" s="68">
        <v>3.96618940705652</v>
      </c>
      <c r="H264" s="68">
        <v>2057.7860000000001</v>
      </c>
      <c r="I264" s="68">
        <v>10566.341</v>
      </c>
      <c r="J264" s="68">
        <v>91.475219618268397</v>
      </c>
      <c r="K264" s="68">
        <v>4.7891906125244796</v>
      </c>
      <c r="L264" s="68">
        <v>714.92</v>
      </c>
      <c r="M264" s="68">
        <v>2848.24</v>
      </c>
      <c r="N264" s="68">
        <v>97.173400592572605</v>
      </c>
      <c r="O264" s="68">
        <v>7992.0478671090495</v>
      </c>
      <c r="P264" s="68">
        <v>1992.0650000000001</v>
      </c>
      <c r="Q264" s="68">
        <v>15289.804</v>
      </c>
      <c r="R264" s="68">
        <v>97.086808014527094</v>
      </c>
      <c r="S264" s="68">
        <v>2034.6699161246499</v>
      </c>
      <c r="T264" s="68">
        <v>473.53</v>
      </c>
      <c r="U264" s="68">
        <v>3695.4459999999999</v>
      </c>
      <c r="V264" s="68">
        <v>98.3984630485228</v>
      </c>
      <c r="W264" s="68">
        <v>98.310615771459993</v>
      </c>
      <c r="X264" s="68">
        <v>2.51093724613319</v>
      </c>
      <c r="Y264" s="68">
        <v>92.6023716492994</v>
      </c>
      <c r="Z264" s="68">
        <v>93.304704233809701</v>
      </c>
      <c r="AA264" s="68">
        <v>4.7352726164756902</v>
      </c>
      <c r="AB264" s="68">
        <v>89.413979321258907</v>
      </c>
      <c r="AC264" s="68">
        <v>556.97905567566102</v>
      </c>
    </row>
    <row r="265" spans="1:29" x14ac:dyDescent="0.25">
      <c r="A265" s="70" t="s">
        <v>199</v>
      </c>
      <c r="B265" s="68">
        <v>97.2781037075207</v>
      </c>
      <c r="C265" s="68">
        <v>2.4666695718457801</v>
      </c>
      <c r="D265" s="68">
        <v>97.2781037075207</v>
      </c>
      <c r="E265" s="68">
        <v>2.4666695718457801</v>
      </c>
      <c r="F265" s="68">
        <v>98.628120941187404</v>
      </c>
      <c r="G265" s="68">
        <v>2.5388019844479199</v>
      </c>
      <c r="H265" s="68">
        <v>4072.364</v>
      </c>
      <c r="I265" s="68">
        <v>16087.155000000001</v>
      </c>
      <c r="J265" s="68">
        <v>96.851535999071501</v>
      </c>
      <c r="K265" s="68">
        <v>1.6362435521438199</v>
      </c>
      <c r="L265" s="68">
        <v>1571.61</v>
      </c>
      <c r="M265" s="68">
        <v>8202.6</v>
      </c>
      <c r="N265" s="68">
        <v>98.868708106264094</v>
      </c>
      <c r="O265" s="68">
        <v>15484.095965574401</v>
      </c>
      <c r="P265" s="68">
        <v>4612.1580000000004</v>
      </c>
      <c r="Q265" s="68">
        <v>32769.718000000001</v>
      </c>
      <c r="R265" s="68">
        <v>98.761835684013704</v>
      </c>
      <c r="S265" s="68">
        <v>10807.8272666183</v>
      </c>
      <c r="T265" s="68">
        <v>1632.376</v>
      </c>
      <c r="U265" s="68">
        <v>20655.435000000001</v>
      </c>
      <c r="V265" s="68">
        <v>99.130324705718493</v>
      </c>
      <c r="W265" s="68">
        <v>99.106959845069596</v>
      </c>
      <c r="X265" s="68">
        <v>2.54092271691986</v>
      </c>
      <c r="Y265" s="68">
        <v>96.580543340969001</v>
      </c>
      <c r="Z265" s="68">
        <v>95.891883121408796</v>
      </c>
      <c r="AA265" s="68">
        <v>3.2930620105134598</v>
      </c>
      <c r="AB265" s="68">
        <v>98.398990860512001</v>
      </c>
      <c r="AC265" s="68">
        <v>706.43201037462302</v>
      </c>
    </row>
    <row r="266" spans="1:29" x14ac:dyDescent="0.25">
      <c r="A266" s="70" t="s">
        <v>200</v>
      </c>
      <c r="B266" s="68">
        <v>100</v>
      </c>
      <c r="C266" s="68">
        <v>2.1595</v>
      </c>
      <c r="D266" s="68">
        <v>100</v>
      </c>
      <c r="E266" s="68">
        <v>2.1595</v>
      </c>
      <c r="F266" s="68">
        <v>100</v>
      </c>
      <c r="G266" s="68">
        <v>2.6892018219421101</v>
      </c>
      <c r="H266" s="68">
        <v>5077.9860310000004</v>
      </c>
      <c r="I266" s="68">
        <v>10978.926178</v>
      </c>
      <c r="J266" s="68">
        <v>100</v>
      </c>
      <c r="K266" s="68">
        <v>0.93664939175446904</v>
      </c>
      <c r="L266" s="68">
        <v>1998.1585299999999</v>
      </c>
      <c r="M266" s="68">
        <v>10492.251455</v>
      </c>
      <c r="N266" s="68">
        <v>97.826086956521706</v>
      </c>
      <c r="O266" s="68">
        <v>30512.963948614299</v>
      </c>
      <c r="P266" s="68">
        <v>8820.3386950000004</v>
      </c>
      <c r="Q266" s="68">
        <v>54585.787991999998</v>
      </c>
      <c r="R266" s="68">
        <v>97.7777777777778</v>
      </c>
      <c r="S266" s="68">
        <v>21643.633441522001</v>
      </c>
      <c r="T266" s="68">
        <v>6597.121005</v>
      </c>
      <c r="U266" s="68">
        <v>34821.517161000003</v>
      </c>
      <c r="V266" s="68"/>
      <c r="W266" s="68"/>
      <c r="X266" s="68"/>
      <c r="Y266" s="68">
        <v>100</v>
      </c>
      <c r="Z266" s="68">
        <v>100</v>
      </c>
      <c r="AA266" s="68">
        <v>2.34124</v>
      </c>
      <c r="AB266" s="68">
        <v>91.1111111111111</v>
      </c>
      <c r="AC266" s="68">
        <v>687.27</v>
      </c>
    </row>
    <row r="267" spans="1:29" x14ac:dyDescent="0.25">
      <c r="A267" s="70" t="s">
        <v>562</v>
      </c>
      <c r="B267" s="68">
        <v>100</v>
      </c>
      <c r="C267" s="68">
        <v>2.1595</v>
      </c>
      <c r="D267" s="68">
        <v>100</v>
      </c>
      <c r="E267" s="68">
        <v>2.1595</v>
      </c>
      <c r="F267" s="68">
        <v>100</v>
      </c>
      <c r="G267" s="68">
        <v>2.6892018219421101</v>
      </c>
      <c r="H267" s="68">
        <v>5077.9860310000004</v>
      </c>
      <c r="I267" s="68">
        <v>10978.926178</v>
      </c>
      <c r="J267" s="68">
        <v>100</v>
      </c>
      <c r="K267" s="68">
        <v>0.93664939175446904</v>
      </c>
      <c r="L267" s="68">
        <v>1998.1585299999999</v>
      </c>
      <c r="M267" s="68">
        <v>10492.251455</v>
      </c>
      <c r="N267" s="68">
        <v>97.826086956521706</v>
      </c>
      <c r="O267" s="68">
        <v>30512.963948614299</v>
      </c>
      <c r="P267" s="68">
        <v>8820.3386950000004</v>
      </c>
      <c r="Q267" s="68">
        <v>54585.787991999998</v>
      </c>
      <c r="R267" s="68">
        <v>97.7777777777778</v>
      </c>
      <c r="S267" s="68">
        <v>21643.633441522001</v>
      </c>
      <c r="T267" s="68">
        <v>6597.121005</v>
      </c>
      <c r="U267" s="68">
        <v>34821.517161000003</v>
      </c>
      <c r="V267" s="68"/>
      <c r="W267" s="68"/>
      <c r="X267" s="68"/>
      <c r="Y267" s="68">
        <v>100</v>
      </c>
      <c r="Z267" s="68">
        <v>100</v>
      </c>
      <c r="AA267" s="68">
        <v>2.34124</v>
      </c>
      <c r="AB267" s="68">
        <v>91.1111111111111</v>
      </c>
      <c r="AC267" s="68">
        <v>687.27</v>
      </c>
    </row>
    <row r="268" spans="1:29" x14ac:dyDescent="0.25">
      <c r="A268" s="70" t="s">
        <v>201</v>
      </c>
      <c r="B268" s="68">
        <v>93.507418470586501</v>
      </c>
      <c r="C268" s="68">
        <v>3.2711222687585102</v>
      </c>
      <c r="D268" s="68">
        <v>93.507418470586501</v>
      </c>
      <c r="E268" s="68">
        <v>3.2711222687585102</v>
      </c>
      <c r="F268" s="68">
        <v>95.416451081818096</v>
      </c>
      <c r="G268" s="68">
        <v>3.2994704108316402</v>
      </c>
      <c r="H268" s="68">
        <v>4657.3809929999998</v>
      </c>
      <c r="I268" s="68">
        <v>14901.3866925</v>
      </c>
      <c r="J268" s="68">
        <v>92.1887749567952</v>
      </c>
      <c r="K268" s="68">
        <v>1.8592367522642499</v>
      </c>
      <c r="L268" s="68">
        <v>2165.3043459999999</v>
      </c>
      <c r="M268" s="68">
        <v>6475.796969</v>
      </c>
      <c r="N268" s="68">
        <v>95.924446578544107</v>
      </c>
      <c r="O268" s="68">
        <v>25327.589077681801</v>
      </c>
      <c r="P268" s="68">
        <v>6262.6442870000001</v>
      </c>
      <c r="Q268" s="68">
        <v>44484.776801499997</v>
      </c>
      <c r="R268" s="68">
        <v>95.925786075363902</v>
      </c>
      <c r="S268" s="68">
        <v>12586.6848358356</v>
      </c>
      <c r="T268" s="68">
        <v>1958.1998639999999</v>
      </c>
      <c r="U268" s="68">
        <v>25503.6789345</v>
      </c>
      <c r="V268" s="68">
        <v>100</v>
      </c>
      <c r="W268" s="68">
        <v>100</v>
      </c>
      <c r="X268" s="68">
        <v>2.35</v>
      </c>
      <c r="Y268" s="68">
        <v>93.448814469823802</v>
      </c>
      <c r="Z268" s="68">
        <v>101.61093514452899</v>
      </c>
      <c r="AA268" s="68">
        <v>2.9566849930231802</v>
      </c>
      <c r="AB268" s="68">
        <v>63.0501235599925</v>
      </c>
      <c r="AC268" s="68">
        <v>600.35211820173799</v>
      </c>
    </row>
    <row r="269" spans="1:29" x14ac:dyDescent="0.25">
      <c r="A269" s="70" t="s">
        <v>202</v>
      </c>
      <c r="B269" s="68">
        <v>94.294678381822607</v>
      </c>
      <c r="C269" s="68">
        <v>4.1150312388385304</v>
      </c>
      <c r="D269" s="68">
        <v>94.294678381822607</v>
      </c>
      <c r="E269" s="68">
        <v>4.1150312388385304</v>
      </c>
      <c r="F269" s="68">
        <v>97.651626215480306</v>
      </c>
      <c r="G269" s="68">
        <v>5.4205436663152398</v>
      </c>
      <c r="H269" s="68">
        <v>1996.3767399999999</v>
      </c>
      <c r="I269" s="68">
        <v>7590.931568</v>
      </c>
      <c r="J269" s="68">
        <v>90.300555746256407</v>
      </c>
      <c r="K269" s="68">
        <v>4.9732094640938502</v>
      </c>
      <c r="L269" s="68">
        <v>833.19247900000005</v>
      </c>
      <c r="M269" s="68">
        <v>2539.3394640000001</v>
      </c>
      <c r="N269" s="68">
        <v>93.879919880097106</v>
      </c>
      <c r="O269" s="68">
        <v>12674.5352360874</v>
      </c>
      <c r="P269" s="68">
        <v>3258.5340150000002</v>
      </c>
      <c r="Q269" s="68">
        <v>21128.981499000001</v>
      </c>
      <c r="R269" s="68">
        <v>94.495110495409705</v>
      </c>
      <c r="S269" s="68">
        <v>2136.3458239531201</v>
      </c>
      <c r="T269" s="68">
        <v>506.75920600000001</v>
      </c>
      <c r="U269" s="68">
        <v>3807.0580450000002</v>
      </c>
      <c r="V269" s="68"/>
      <c r="W269" s="68"/>
      <c r="X269" s="68"/>
      <c r="Y269" s="68">
        <v>88.724902290650505</v>
      </c>
      <c r="Z269" s="68">
        <v>102.974820895384</v>
      </c>
      <c r="AA269" s="68">
        <v>3.62220745265848</v>
      </c>
      <c r="AB269" s="68">
        <v>40.383122345172403</v>
      </c>
      <c r="AC269" s="68">
        <v>505.37924044262098</v>
      </c>
    </row>
    <row r="270" spans="1:29" x14ac:dyDescent="0.25">
      <c r="A270" s="70" t="s">
        <v>203</v>
      </c>
      <c r="B270" s="68">
        <v>92.720158559350494</v>
      </c>
      <c r="C270" s="68">
        <v>2.4272132986784798</v>
      </c>
      <c r="D270" s="68">
        <v>92.720158559350494</v>
      </c>
      <c r="E270" s="68">
        <v>2.4272132986784798</v>
      </c>
      <c r="F270" s="68">
        <v>93.181275948155999</v>
      </c>
      <c r="G270" s="68">
        <v>2.37149720319686</v>
      </c>
      <c r="H270" s="68">
        <v>7318.3852459999998</v>
      </c>
      <c r="I270" s="68">
        <v>22211.841817</v>
      </c>
      <c r="J270" s="68">
        <v>94.076994167334007</v>
      </c>
      <c r="K270" s="68">
        <v>1.1433369016811901</v>
      </c>
      <c r="L270" s="68">
        <v>3497.416213</v>
      </c>
      <c r="M270" s="68">
        <v>10412.254473999999</v>
      </c>
      <c r="N270" s="68">
        <v>97.968973276990994</v>
      </c>
      <c r="O270" s="68">
        <v>37980.642919276201</v>
      </c>
      <c r="P270" s="68">
        <v>9266.7545590000009</v>
      </c>
      <c r="Q270" s="68">
        <v>67840.572104000006</v>
      </c>
      <c r="R270" s="68">
        <v>97.3564616553181</v>
      </c>
      <c r="S270" s="68">
        <v>23037.023847717999</v>
      </c>
      <c r="T270" s="68">
        <v>3409.6405220000001</v>
      </c>
      <c r="U270" s="68">
        <v>47200.299824000002</v>
      </c>
      <c r="V270" s="68">
        <v>100</v>
      </c>
      <c r="W270" s="68">
        <v>100</v>
      </c>
      <c r="X270" s="68">
        <v>2.35</v>
      </c>
      <c r="Y270" s="68">
        <v>98.172726648997198</v>
      </c>
      <c r="Z270" s="68">
        <v>100.247049393674</v>
      </c>
      <c r="AA270" s="68">
        <v>2.2911625333878698</v>
      </c>
      <c r="AB270" s="68">
        <v>87.569261337029701</v>
      </c>
      <c r="AC270" s="68">
        <v>703.08529639272899</v>
      </c>
    </row>
    <row r="271" spans="1:29" x14ac:dyDescent="0.25">
      <c r="A271" s="70" t="s">
        <v>379</v>
      </c>
      <c r="B271" s="68">
        <v>100</v>
      </c>
      <c r="C271" s="68">
        <v>2.1595</v>
      </c>
      <c r="D271" s="68">
        <v>100</v>
      </c>
      <c r="E271" s="68">
        <v>2.1595</v>
      </c>
      <c r="F271" s="68">
        <v>100</v>
      </c>
      <c r="G271" s="68">
        <v>2.6892018219421101</v>
      </c>
      <c r="H271" s="68">
        <v>5077.9860310000004</v>
      </c>
      <c r="I271" s="68">
        <v>10978.926178</v>
      </c>
      <c r="J271" s="68">
        <v>100</v>
      </c>
      <c r="K271" s="68">
        <v>0.93664939175446904</v>
      </c>
      <c r="L271" s="68">
        <v>1998.1585299999999</v>
      </c>
      <c r="M271" s="68">
        <v>10492.251455</v>
      </c>
      <c r="N271" s="68">
        <v>97.826086956521706</v>
      </c>
      <c r="O271" s="68">
        <v>30512.963948614299</v>
      </c>
      <c r="P271" s="68">
        <v>8820.3386950000004</v>
      </c>
      <c r="Q271" s="68">
        <v>54585.787991999998</v>
      </c>
      <c r="R271" s="68">
        <v>97.7777777777778</v>
      </c>
      <c r="S271" s="68">
        <v>21643.633441522001</v>
      </c>
      <c r="T271" s="68">
        <v>6597.121005</v>
      </c>
      <c r="U271" s="68">
        <v>34821.517161000003</v>
      </c>
      <c r="V271" s="68"/>
      <c r="W271" s="68"/>
      <c r="X271" s="68"/>
      <c r="Y271" s="68">
        <v>100</v>
      </c>
      <c r="Z271" s="68">
        <v>100</v>
      </c>
      <c r="AA271" s="68">
        <v>2.34124</v>
      </c>
      <c r="AB271" s="68">
        <v>91.1111111111111</v>
      </c>
      <c r="AC271" s="68">
        <v>687.27</v>
      </c>
    </row>
    <row r="272" spans="1:29" x14ac:dyDescent="0.25">
      <c r="A272" s="70" t="s">
        <v>563</v>
      </c>
      <c r="B272" s="68">
        <v>100</v>
      </c>
      <c r="C272" s="68">
        <v>2.1595</v>
      </c>
      <c r="D272" s="68">
        <v>100</v>
      </c>
      <c r="E272" s="68">
        <v>2.1595</v>
      </c>
      <c r="F272" s="68">
        <v>100</v>
      </c>
      <c r="G272" s="68">
        <v>2.6892018219421101</v>
      </c>
      <c r="H272" s="68">
        <v>5077.9860310000004</v>
      </c>
      <c r="I272" s="68">
        <v>10978.926178</v>
      </c>
      <c r="J272" s="68">
        <v>100</v>
      </c>
      <c r="K272" s="68">
        <v>0.93664939175446904</v>
      </c>
      <c r="L272" s="68">
        <v>1998.1585299999999</v>
      </c>
      <c r="M272" s="68">
        <v>10492.251455</v>
      </c>
      <c r="N272" s="68">
        <v>97.826086956521706</v>
      </c>
      <c r="O272" s="68">
        <v>30512.963948614299</v>
      </c>
      <c r="P272" s="68">
        <v>8820.3386950000004</v>
      </c>
      <c r="Q272" s="68">
        <v>54585.787991999998</v>
      </c>
      <c r="R272" s="68">
        <v>97.7777777777778</v>
      </c>
      <c r="S272" s="68">
        <v>21643.633441522001</v>
      </c>
      <c r="T272" s="68">
        <v>6597.121005</v>
      </c>
      <c r="U272" s="68">
        <v>34821.517161000003</v>
      </c>
      <c r="V272" s="68"/>
      <c r="W272" s="68"/>
      <c r="X272" s="68"/>
      <c r="Y272" s="68">
        <v>100</v>
      </c>
      <c r="Z272" s="68">
        <v>100</v>
      </c>
      <c r="AA272" s="68">
        <v>2.34124</v>
      </c>
      <c r="AB272" s="68">
        <v>91.1111111111111</v>
      </c>
      <c r="AC272" s="68">
        <v>687.27</v>
      </c>
    </row>
    <row r="273" spans="1:29" x14ac:dyDescent="0.25">
      <c r="A273" s="70" t="s">
        <v>204</v>
      </c>
      <c r="B273" s="68">
        <v>88.846680197194502</v>
      </c>
      <c r="C273" s="68">
        <v>8.5488407431061706</v>
      </c>
      <c r="D273" s="68">
        <v>88.846680197194502</v>
      </c>
      <c r="E273" s="68">
        <v>8.5488407431061706</v>
      </c>
      <c r="F273" s="68">
        <v>96.859104167554804</v>
      </c>
      <c r="G273" s="68">
        <v>26.2311068637528</v>
      </c>
      <c r="H273" s="68"/>
      <c r="I273" s="68"/>
      <c r="J273" s="68">
        <v>9.9452845307154405</v>
      </c>
      <c r="K273" s="68">
        <v>52.3859937666683</v>
      </c>
      <c r="L273" s="68"/>
      <c r="M273" s="68"/>
      <c r="N273" s="68">
        <v>92.857142857142904</v>
      </c>
      <c r="O273" s="68">
        <v>1002.46384074686</v>
      </c>
      <c r="P273" s="68"/>
      <c r="Q273" s="68"/>
      <c r="R273" s="68">
        <v>84.285714285714306</v>
      </c>
      <c r="S273" s="68">
        <v>142.985310316327</v>
      </c>
      <c r="T273" s="68"/>
      <c r="U273" s="68"/>
      <c r="V273" s="68">
        <v>98.571428571428598</v>
      </c>
      <c r="W273" s="68">
        <v>100.02898550724601</v>
      </c>
      <c r="X273" s="68">
        <v>2.89</v>
      </c>
      <c r="Y273" s="68">
        <v>97.142857142857096</v>
      </c>
      <c r="Z273" s="68">
        <v>99.955882352941202</v>
      </c>
      <c r="AA273" s="68">
        <v>2.99</v>
      </c>
      <c r="AB273" s="68"/>
      <c r="AC273" s="68"/>
    </row>
    <row r="274" spans="1:29" x14ac:dyDescent="0.25">
      <c r="A274" s="70" t="s">
        <v>450</v>
      </c>
      <c r="B274" s="68">
        <v>93.909084560671403</v>
      </c>
      <c r="C274" s="68">
        <v>8.9371757197655803</v>
      </c>
      <c r="D274" s="68">
        <v>93.909084560671403</v>
      </c>
      <c r="E274" s="68">
        <v>8.9371757197655803</v>
      </c>
      <c r="F274" s="68">
        <v>99.133611727102505</v>
      </c>
      <c r="G274" s="68">
        <v>26.7741084730363</v>
      </c>
      <c r="H274" s="68"/>
      <c r="I274" s="68"/>
      <c r="J274" s="68">
        <v>14.8731667548331</v>
      </c>
      <c r="K274" s="68">
        <v>83.067515798787198</v>
      </c>
      <c r="L274" s="68"/>
      <c r="M274" s="68"/>
      <c r="N274" s="68"/>
      <c r="O274" s="68">
        <v>987.44457149478296</v>
      </c>
      <c r="P274" s="68"/>
      <c r="Q274" s="68"/>
      <c r="R274" s="68"/>
      <c r="S274" s="68">
        <v>138.80737237539401</v>
      </c>
      <c r="T274" s="68"/>
      <c r="U274" s="68"/>
      <c r="V274" s="68"/>
      <c r="W274" s="68"/>
      <c r="X274" s="68"/>
      <c r="Y274" s="68"/>
      <c r="Z274" s="68"/>
      <c r="AA274" s="68"/>
      <c r="AB274" s="68"/>
      <c r="AC274" s="68"/>
    </row>
    <row r="275" spans="1:29" x14ac:dyDescent="0.25">
      <c r="A275" s="70" t="s">
        <v>205</v>
      </c>
      <c r="B275" s="68">
        <v>80.724434467520695</v>
      </c>
      <c r="C275" s="68">
        <v>7.9257865816071904</v>
      </c>
      <c r="D275" s="68">
        <v>80.724434467520695</v>
      </c>
      <c r="E275" s="68">
        <v>7.9257865816071904</v>
      </c>
      <c r="F275" s="68">
        <v>93.209828450678003</v>
      </c>
      <c r="G275" s="68">
        <v>25.404468597181999</v>
      </c>
      <c r="H275" s="68"/>
      <c r="I275" s="68"/>
      <c r="J275" s="68">
        <v>2.0388694209423499</v>
      </c>
      <c r="K275" s="68">
        <v>32.893284331951797</v>
      </c>
      <c r="L275" s="68"/>
      <c r="M275" s="68"/>
      <c r="N275" s="68">
        <v>92.857142857142904</v>
      </c>
      <c r="O275" s="68">
        <v>1026.5611247223701</v>
      </c>
      <c r="P275" s="68"/>
      <c r="Q275" s="68"/>
      <c r="R275" s="68">
        <v>84.285714285714306</v>
      </c>
      <c r="S275" s="68">
        <v>149.68849642378399</v>
      </c>
      <c r="T275" s="68"/>
      <c r="U275" s="68"/>
      <c r="V275" s="68">
        <v>98.571428571428598</v>
      </c>
      <c r="W275" s="68">
        <v>100.02898550724601</v>
      </c>
      <c r="X275" s="68">
        <v>2.89</v>
      </c>
      <c r="Y275" s="68">
        <v>97.142857142857096</v>
      </c>
      <c r="Z275" s="68">
        <v>99.955882352941202</v>
      </c>
      <c r="AA275" s="68">
        <v>2.99</v>
      </c>
      <c r="AB275" s="68"/>
      <c r="AC275" s="68"/>
    </row>
    <row r="276" spans="1:29" x14ac:dyDescent="0.25">
      <c r="A276" s="70" t="s">
        <v>206</v>
      </c>
      <c r="B276" s="68">
        <v>98.936170212766001</v>
      </c>
      <c r="C276" s="68">
        <v>1.744</v>
      </c>
      <c r="D276" s="68">
        <v>98.936170212766001</v>
      </c>
      <c r="E276" s="68">
        <v>1.744</v>
      </c>
      <c r="F276" s="68">
        <v>100</v>
      </c>
      <c r="G276" s="68">
        <v>0.90037347011799596</v>
      </c>
      <c r="H276" s="68">
        <v>8636.9008950000007</v>
      </c>
      <c r="I276" s="68">
        <v>40427.211018000002</v>
      </c>
      <c r="J276" s="68">
        <v>95.8333333333333</v>
      </c>
      <c r="K276" s="68">
        <v>0.931793959698761</v>
      </c>
      <c r="L276" s="68">
        <v>2658.8083660000002</v>
      </c>
      <c r="M276" s="68">
        <v>13680.205768</v>
      </c>
      <c r="N276" s="68">
        <v>100</v>
      </c>
      <c r="O276" s="68">
        <v>32803.946990984397</v>
      </c>
      <c r="P276" s="68">
        <v>14307.883114</v>
      </c>
      <c r="Q276" s="68">
        <v>56068.613563999999</v>
      </c>
      <c r="R276" s="68">
        <v>100</v>
      </c>
      <c r="S276" s="68">
        <v>21041.306571024499</v>
      </c>
      <c r="T276" s="68">
        <v>2598.4171849999998</v>
      </c>
      <c r="U276" s="68">
        <v>37739.276371</v>
      </c>
      <c r="V276" s="68"/>
      <c r="W276" s="68"/>
      <c r="X276" s="68"/>
      <c r="Y276" s="68">
        <v>100</v>
      </c>
      <c r="Z276" s="68">
        <v>100</v>
      </c>
      <c r="AA276" s="68">
        <v>2.4976400000000001</v>
      </c>
      <c r="AB276" s="68">
        <v>91.489361702127695</v>
      </c>
      <c r="AC276" s="68">
        <v>689.36</v>
      </c>
    </row>
    <row r="277" spans="1:29" x14ac:dyDescent="0.25">
      <c r="A277" s="70" t="s">
        <v>564</v>
      </c>
      <c r="B277" s="68">
        <v>98.936170212766001</v>
      </c>
      <c r="C277" s="68">
        <v>1.744</v>
      </c>
      <c r="D277" s="68">
        <v>98.936170212766001</v>
      </c>
      <c r="E277" s="68">
        <v>1.744</v>
      </c>
      <c r="F277" s="68">
        <v>100</v>
      </c>
      <c r="G277" s="68">
        <v>0.90037347011799596</v>
      </c>
      <c r="H277" s="68">
        <v>8636.9008950000007</v>
      </c>
      <c r="I277" s="68">
        <v>40427.211018000002</v>
      </c>
      <c r="J277" s="68">
        <v>95.8333333333333</v>
      </c>
      <c r="K277" s="68">
        <v>0.931793959698761</v>
      </c>
      <c r="L277" s="68">
        <v>2658.8083660000002</v>
      </c>
      <c r="M277" s="68">
        <v>13680.205768</v>
      </c>
      <c r="N277" s="68">
        <v>100</v>
      </c>
      <c r="O277" s="68">
        <v>32803.946990984397</v>
      </c>
      <c r="P277" s="68">
        <v>14307.883114</v>
      </c>
      <c r="Q277" s="68">
        <v>56068.613563999999</v>
      </c>
      <c r="R277" s="68">
        <v>100</v>
      </c>
      <c r="S277" s="68">
        <v>21041.306571024499</v>
      </c>
      <c r="T277" s="68">
        <v>2598.4171849999998</v>
      </c>
      <c r="U277" s="68">
        <v>37739.276371</v>
      </c>
      <c r="V277" s="68"/>
      <c r="W277" s="68"/>
      <c r="X277" s="68"/>
      <c r="Y277" s="68">
        <v>100</v>
      </c>
      <c r="Z277" s="68">
        <v>100</v>
      </c>
      <c r="AA277" s="68">
        <v>2.4976400000000001</v>
      </c>
      <c r="AB277" s="68">
        <v>91.489361702127695</v>
      </c>
      <c r="AC277" s="68">
        <v>689.36</v>
      </c>
    </row>
    <row r="278" spans="1:29" x14ac:dyDescent="0.25">
      <c r="A278" s="70" t="s">
        <v>207</v>
      </c>
      <c r="B278" s="68">
        <v>98.162793480419097</v>
      </c>
      <c r="C278" s="68">
        <v>2.4374706658509702</v>
      </c>
      <c r="D278" s="68">
        <v>98.162793480419097</v>
      </c>
      <c r="E278" s="68">
        <v>2.4374706658509702</v>
      </c>
      <c r="F278" s="68">
        <v>99.039459481662306</v>
      </c>
      <c r="G278" s="68">
        <v>1.41111301808857</v>
      </c>
      <c r="H278" s="68">
        <v>5790.577902</v>
      </c>
      <c r="I278" s="68">
        <v>27421.0748895</v>
      </c>
      <c r="J278" s="68">
        <v>94.6179926517854</v>
      </c>
      <c r="K278" s="68">
        <v>1.5486542568732999</v>
      </c>
      <c r="L278" s="68">
        <v>1124.332355</v>
      </c>
      <c r="M278" s="68">
        <v>8893.2319110000008</v>
      </c>
      <c r="N278" s="68">
        <v>99.310752760691599</v>
      </c>
      <c r="O278" s="68">
        <v>24688.6176070783</v>
      </c>
      <c r="P278" s="68">
        <v>7889.6592460000002</v>
      </c>
      <c r="Q278" s="68">
        <v>42460.704393</v>
      </c>
      <c r="R278" s="68">
        <v>98.963116875466397</v>
      </c>
      <c r="S278" s="68">
        <v>11326.3096160435</v>
      </c>
      <c r="T278" s="68">
        <v>1174.384935</v>
      </c>
      <c r="U278" s="68">
        <v>21723.244213499998</v>
      </c>
      <c r="V278" s="68">
        <v>100</v>
      </c>
      <c r="W278" s="68">
        <v>100</v>
      </c>
      <c r="X278" s="68">
        <v>2.11</v>
      </c>
      <c r="Y278" s="68">
        <v>98.262642409285405</v>
      </c>
      <c r="Z278" s="68">
        <v>99.498580743192306</v>
      </c>
      <c r="AA278" s="68">
        <v>3.0375740432666798</v>
      </c>
      <c r="AB278" s="68">
        <v>60.323014734729703</v>
      </c>
      <c r="AC278" s="68">
        <v>598.80114776860603</v>
      </c>
    </row>
    <row r="279" spans="1:29" x14ac:dyDescent="0.25">
      <c r="A279" s="70" t="s">
        <v>208</v>
      </c>
      <c r="B279" s="68">
        <v>97.670499933999494</v>
      </c>
      <c r="C279" s="68">
        <v>2.91182287051249</v>
      </c>
      <c r="D279" s="68">
        <v>97.670499933999494</v>
      </c>
      <c r="E279" s="68">
        <v>2.91182287051249</v>
      </c>
      <c r="F279" s="68">
        <v>98.938876126347495</v>
      </c>
      <c r="G279" s="68">
        <v>2.2678954177653501</v>
      </c>
      <c r="H279" s="68">
        <v>4238.4522710000001</v>
      </c>
      <c r="I279" s="68">
        <v>17215.488906999999</v>
      </c>
      <c r="J279" s="68">
        <v>92.888838339055795</v>
      </c>
      <c r="K279" s="68">
        <v>4.1018603011943204</v>
      </c>
      <c r="L279" s="68">
        <v>926.55305599999997</v>
      </c>
      <c r="M279" s="68">
        <v>2995.0471459999999</v>
      </c>
      <c r="N279" s="68">
        <v>99.245573163398205</v>
      </c>
      <c r="O279" s="68">
        <v>13240.365750053799</v>
      </c>
      <c r="P279" s="68">
        <v>5721.9589130000004</v>
      </c>
      <c r="Q279" s="68">
        <v>20923.112786000002</v>
      </c>
      <c r="R279" s="68">
        <v>98.684926421087098</v>
      </c>
      <c r="S279" s="68">
        <v>2490.3906118650002</v>
      </c>
      <c r="T279" s="68">
        <v>662.56855399999995</v>
      </c>
      <c r="U279" s="68">
        <v>4299.1064960000003</v>
      </c>
      <c r="V279" s="68"/>
      <c r="W279" s="68"/>
      <c r="X279" s="68"/>
      <c r="Y279" s="68">
        <v>98.062393415481907</v>
      </c>
      <c r="Z279" s="68">
        <v>99.116290367962705</v>
      </c>
      <c r="AA279" s="68">
        <v>3.25026826316933</v>
      </c>
      <c r="AB279" s="68">
        <v>42.414996811617399</v>
      </c>
      <c r="AC279" s="68">
        <v>512.69398852182303</v>
      </c>
    </row>
    <row r="280" spans="1:29" x14ac:dyDescent="0.25">
      <c r="A280" s="70" t="s">
        <v>209</v>
      </c>
      <c r="B280" s="68">
        <v>98.6550870268388</v>
      </c>
      <c r="C280" s="68">
        <v>1.9631184611894601</v>
      </c>
      <c r="D280" s="68">
        <v>98.6550870268388</v>
      </c>
      <c r="E280" s="68">
        <v>1.9631184611894601</v>
      </c>
      <c r="F280" s="68">
        <v>99.140042836977102</v>
      </c>
      <c r="G280" s="68">
        <v>1.0241877513925</v>
      </c>
      <c r="H280" s="68">
        <v>7342.7035329999999</v>
      </c>
      <c r="I280" s="68">
        <v>37626.660872</v>
      </c>
      <c r="J280" s="68">
        <v>96.347146964514906</v>
      </c>
      <c r="K280" s="68">
        <v>0.95451541528581096</v>
      </c>
      <c r="L280" s="68">
        <v>1322.111654</v>
      </c>
      <c r="M280" s="68">
        <v>14791.416676000001</v>
      </c>
      <c r="N280" s="68">
        <v>99.375932357985107</v>
      </c>
      <c r="O280" s="68">
        <v>36136.8694641029</v>
      </c>
      <c r="P280" s="68">
        <v>10057.359579</v>
      </c>
      <c r="Q280" s="68">
        <v>63998.296000000002</v>
      </c>
      <c r="R280" s="68">
        <v>99.241307329845696</v>
      </c>
      <c r="S280" s="68">
        <v>20162.2286202219</v>
      </c>
      <c r="T280" s="68">
        <v>1686.2013159999999</v>
      </c>
      <c r="U280" s="68">
        <v>39147.381931000004</v>
      </c>
      <c r="V280" s="68">
        <v>100</v>
      </c>
      <c r="W280" s="68">
        <v>100</v>
      </c>
      <c r="X280" s="68">
        <v>2.11</v>
      </c>
      <c r="Y280" s="68">
        <v>98.462891403088904</v>
      </c>
      <c r="Z280" s="68">
        <v>99.880871118421794</v>
      </c>
      <c r="AA280" s="68">
        <v>2.82487982336403</v>
      </c>
      <c r="AB280" s="68">
        <v>79.694309358535406</v>
      </c>
      <c r="AC280" s="68">
        <v>691.94418337142702</v>
      </c>
    </row>
    <row r="281" spans="1:29" x14ac:dyDescent="0.25">
      <c r="A281" s="70" t="s">
        <v>380</v>
      </c>
      <c r="B281" s="68">
        <v>98.936170212766001</v>
      </c>
      <c r="C281" s="68">
        <v>1.744</v>
      </c>
      <c r="D281" s="68">
        <v>98.936170212766001</v>
      </c>
      <c r="E281" s="68">
        <v>1.744</v>
      </c>
      <c r="F281" s="68">
        <v>100</v>
      </c>
      <c r="G281" s="68">
        <v>0.90037347011799596</v>
      </c>
      <c r="H281" s="68">
        <v>8636.9008950000007</v>
      </c>
      <c r="I281" s="68">
        <v>40427.211018000002</v>
      </c>
      <c r="J281" s="68">
        <v>95.8333333333333</v>
      </c>
      <c r="K281" s="68">
        <v>0.931793959698761</v>
      </c>
      <c r="L281" s="68">
        <v>2658.8083660000002</v>
      </c>
      <c r="M281" s="68">
        <v>13680.205768</v>
      </c>
      <c r="N281" s="68">
        <v>100</v>
      </c>
      <c r="O281" s="68">
        <v>32803.946990984397</v>
      </c>
      <c r="P281" s="68">
        <v>14307.883114</v>
      </c>
      <c r="Q281" s="68">
        <v>56068.613563999999</v>
      </c>
      <c r="R281" s="68">
        <v>100</v>
      </c>
      <c r="S281" s="68">
        <v>21041.306571024499</v>
      </c>
      <c r="T281" s="68">
        <v>2598.4171849999998</v>
      </c>
      <c r="U281" s="68">
        <v>37739.276371</v>
      </c>
      <c r="V281" s="68"/>
      <c r="W281" s="68"/>
      <c r="X281" s="68"/>
      <c r="Y281" s="68">
        <v>100</v>
      </c>
      <c r="Z281" s="68">
        <v>100</v>
      </c>
      <c r="AA281" s="68">
        <v>2.4976400000000001</v>
      </c>
      <c r="AB281" s="68">
        <v>91.489361702127695</v>
      </c>
      <c r="AC281" s="68">
        <v>689.36</v>
      </c>
    </row>
    <row r="282" spans="1:29" x14ac:dyDescent="0.25">
      <c r="A282" s="70" t="s">
        <v>565</v>
      </c>
      <c r="B282" s="68">
        <v>98.936170212766001</v>
      </c>
      <c r="C282" s="68">
        <v>1.744</v>
      </c>
      <c r="D282" s="68">
        <v>98.936170212766001</v>
      </c>
      <c r="E282" s="68">
        <v>1.744</v>
      </c>
      <c r="F282" s="68">
        <v>100</v>
      </c>
      <c r="G282" s="68">
        <v>0.90037347011799596</v>
      </c>
      <c r="H282" s="68">
        <v>8636.9008950000007</v>
      </c>
      <c r="I282" s="68">
        <v>40427.211018000002</v>
      </c>
      <c r="J282" s="68">
        <v>95.8333333333333</v>
      </c>
      <c r="K282" s="68">
        <v>0.931793959698761</v>
      </c>
      <c r="L282" s="68">
        <v>2658.8083660000002</v>
      </c>
      <c r="M282" s="68">
        <v>13680.205768</v>
      </c>
      <c r="N282" s="68">
        <v>100</v>
      </c>
      <c r="O282" s="68">
        <v>32803.946990984397</v>
      </c>
      <c r="P282" s="68">
        <v>14307.883114</v>
      </c>
      <c r="Q282" s="68">
        <v>56068.613563999999</v>
      </c>
      <c r="R282" s="68">
        <v>100</v>
      </c>
      <c r="S282" s="68">
        <v>21041.306571024499</v>
      </c>
      <c r="T282" s="68">
        <v>2598.4171849999998</v>
      </c>
      <c r="U282" s="68">
        <v>37739.276371</v>
      </c>
      <c r="V282" s="68"/>
      <c r="W282" s="68"/>
      <c r="X282" s="68"/>
      <c r="Y282" s="68">
        <v>100</v>
      </c>
      <c r="Z282" s="68">
        <v>100</v>
      </c>
      <c r="AA282" s="68">
        <v>2.4976400000000001</v>
      </c>
      <c r="AB282" s="68">
        <v>91.489361702127695</v>
      </c>
      <c r="AC282" s="68">
        <v>689.36</v>
      </c>
    </row>
    <row r="283" spans="1:29" x14ac:dyDescent="0.25">
      <c r="A283" s="70" t="s">
        <v>210</v>
      </c>
      <c r="B283" s="68">
        <v>99.36</v>
      </c>
      <c r="C283" s="68">
        <v>1.3330961538461501</v>
      </c>
      <c r="D283" s="68">
        <v>99.36</v>
      </c>
      <c r="E283" s="68">
        <v>1.3330961538461501</v>
      </c>
      <c r="F283" s="68">
        <v>99.334442595673906</v>
      </c>
      <c r="G283" s="68">
        <v>0.77741789547604401</v>
      </c>
      <c r="H283" s="68">
        <v>7233</v>
      </c>
      <c r="I283" s="68">
        <v>58594</v>
      </c>
      <c r="J283" s="68">
        <v>99.177631578947398</v>
      </c>
      <c r="K283" s="68">
        <v>0.94914272274106704</v>
      </c>
      <c r="L283" s="68">
        <v>4076</v>
      </c>
      <c r="M283" s="68">
        <v>11616</v>
      </c>
      <c r="N283" s="68">
        <v>100</v>
      </c>
      <c r="O283" s="68">
        <v>41312.800064102601</v>
      </c>
      <c r="P283" s="68">
        <v>10883</v>
      </c>
      <c r="Q283" s="68">
        <v>97002</v>
      </c>
      <c r="R283" s="68">
        <v>99.673202614379093</v>
      </c>
      <c r="S283" s="68">
        <v>18397.3565641026</v>
      </c>
      <c r="T283" s="68">
        <v>4821</v>
      </c>
      <c r="U283" s="68">
        <v>26505</v>
      </c>
      <c r="V283" s="68">
        <v>100</v>
      </c>
      <c r="W283" s="68">
        <v>100</v>
      </c>
      <c r="X283" s="68">
        <v>0.96630799999999994</v>
      </c>
      <c r="Y283" s="68">
        <v>97.829716193656097</v>
      </c>
      <c r="Z283" s="68">
        <v>98.300056882821394</v>
      </c>
      <c r="AA283" s="68">
        <v>1.98147433333333</v>
      </c>
      <c r="AB283" s="68">
        <v>99.476439790575895</v>
      </c>
      <c r="AC283" s="68">
        <v>720</v>
      </c>
    </row>
    <row r="284" spans="1:29" x14ac:dyDescent="0.25">
      <c r="A284" s="70" t="s">
        <v>566</v>
      </c>
      <c r="B284" s="68">
        <v>99.36</v>
      </c>
      <c r="C284" s="68">
        <v>1.3330961538461501</v>
      </c>
      <c r="D284" s="68">
        <v>99.36</v>
      </c>
      <c r="E284" s="68">
        <v>1.3330961538461501</v>
      </c>
      <c r="F284" s="68">
        <v>99.334442595673906</v>
      </c>
      <c r="G284" s="68">
        <v>0.77741789547604401</v>
      </c>
      <c r="H284" s="68">
        <v>7233</v>
      </c>
      <c r="I284" s="68">
        <v>58594</v>
      </c>
      <c r="J284" s="68">
        <v>99.177631578947398</v>
      </c>
      <c r="K284" s="68">
        <v>0.94914272274106704</v>
      </c>
      <c r="L284" s="68">
        <v>4076</v>
      </c>
      <c r="M284" s="68">
        <v>11616</v>
      </c>
      <c r="N284" s="68">
        <v>100</v>
      </c>
      <c r="O284" s="68">
        <v>41312.800064102601</v>
      </c>
      <c r="P284" s="68">
        <v>10883</v>
      </c>
      <c r="Q284" s="68">
        <v>97002</v>
      </c>
      <c r="R284" s="68">
        <v>99.673202614379093</v>
      </c>
      <c r="S284" s="68">
        <v>18397.3565641026</v>
      </c>
      <c r="T284" s="68">
        <v>4821</v>
      </c>
      <c r="U284" s="68">
        <v>26505</v>
      </c>
      <c r="V284" s="68">
        <v>100</v>
      </c>
      <c r="W284" s="68">
        <v>100</v>
      </c>
      <c r="X284" s="68">
        <v>0.96630799999999994</v>
      </c>
      <c r="Y284" s="68">
        <v>97.829716193656097</v>
      </c>
      <c r="Z284" s="68">
        <v>98.300056882821394</v>
      </c>
      <c r="AA284" s="68">
        <v>1.98147433333333</v>
      </c>
      <c r="AB284" s="68">
        <v>99.476439790575895</v>
      </c>
      <c r="AC284" s="68">
        <v>720</v>
      </c>
    </row>
    <row r="285" spans="1:29" x14ac:dyDescent="0.25">
      <c r="A285" s="70" t="s">
        <v>211</v>
      </c>
      <c r="B285" s="68">
        <v>99.418214750296698</v>
      </c>
      <c r="C285" s="68">
        <v>2.2854412048756001</v>
      </c>
      <c r="D285" s="68">
        <v>99.418214750296698</v>
      </c>
      <c r="E285" s="68">
        <v>2.2854412048756001</v>
      </c>
      <c r="F285" s="68">
        <v>99.502843004117906</v>
      </c>
      <c r="G285" s="68">
        <v>1.02818372958198</v>
      </c>
      <c r="H285" s="68">
        <v>9188.7299500000008</v>
      </c>
      <c r="I285" s="68">
        <v>38217.342400000001</v>
      </c>
      <c r="J285" s="68">
        <v>95.681526381672001</v>
      </c>
      <c r="K285" s="68">
        <v>1.68914845559167</v>
      </c>
      <c r="L285" s="68">
        <v>3033.84175</v>
      </c>
      <c r="M285" s="68">
        <v>6493.1019999999999</v>
      </c>
      <c r="N285" s="68">
        <v>99.706186315824695</v>
      </c>
      <c r="O285" s="68">
        <v>36155.051456786299</v>
      </c>
      <c r="P285" s="68">
        <v>11826.778899999999</v>
      </c>
      <c r="Q285" s="68">
        <v>65316.453750000001</v>
      </c>
      <c r="R285" s="68">
        <v>99.030196136325102</v>
      </c>
      <c r="S285" s="68">
        <v>13020.603385250801</v>
      </c>
      <c r="T285" s="68">
        <v>4096.4417999999996</v>
      </c>
      <c r="U285" s="68">
        <v>23046.8511</v>
      </c>
      <c r="V285" s="68"/>
      <c r="W285" s="68"/>
      <c r="X285" s="68"/>
      <c r="Y285" s="68">
        <v>98.6646307284675</v>
      </c>
      <c r="Z285" s="68">
        <v>99.6341648686724</v>
      </c>
      <c r="AA285" s="68">
        <v>2.3728991799239698</v>
      </c>
      <c r="AB285" s="68">
        <v>54.348031408829698</v>
      </c>
      <c r="AC285" s="68">
        <v>555.652913071787</v>
      </c>
    </row>
    <row r="286" spans="1:29" x14ac:dyDescent="0.25">
      <c r="A286" s="70" t="s">
        <v>212</v>
      </c>
      <c r="B286" s="68">
        <v>99.115043670358901</v>
      </c>
      <c r="C286" s="68">
        <v>3.23833311554323</v>
      </c>
      <c r="D286" s="68">
        <v>99.115043670358901</v>
      </c>
      <c r="E286" s="68">
        <v>3.23833311554323</v>
      </c>
      <c r="F286" s="68">
        <v>100</v>
      </c>
      <c r="G286" s="68">
        <v>3.1279497262217202</v>
      </c>
      <c r="H286" s="68">
        <v>3620.9385000000002</v>
      </c>
      <c r="I286" s="68">
        <v>11639.184999999999</v>
      </c>
      <c r="J286" s="68">
        <v>91.632188028280794</v>
      </c>
      <c r="K286" s="68">
        <v>9.2170563111042192</v>
      </c>
      <c r="L286" s="68">
        <v>510.16500000000002</v>
      </c>
      <c r="M286" s="68">
        <v>1238.7739999999999</v>
      </c>
      <c r="N286" s="68">
        <v>99.548061661055002</v>
      </c>
      <c r="O286" s="68">
        <v>9864.8328687690791</v>
      </c>
      <c r="P286" s="68">
        <v>3841.2058000000002</v>
      </c>
      <c r="Q286" s="68">
        <v>15757.7255</v>
      </c>
      <c r="R286" s="68">
        <v>98.890175457876097</v>
      </c>
      <c r="S286" s="68">
        <v>822.65845520241101</v>
      </c>
      <c r="T286" s="68">
        <v>390.75920000000002</v>
      </c>
      <c r="U286" s="68">
        <v>1251.4086</v>
      </c>
      <c r="V286" s="68"/>
      <c r="W286" s="68"/>
      <c r="X286" s="68"/>
      <c r="Y286" s="68">
        <v>99.667700336149395</v>
      </c>
      <c r="Z286" s="68">
        <v>99.807946471893501</v>
      </c>
      <c r="AA286" s="68">
        <v>2.6992232783651602</v>
      </c>
      <c r="AB286" s="68">
        <v>8.8346388476906199</v>
      </c>
      <c r="AC286" s="68">
        <v>391.804699851686</v>
      </c>
    </row>
    <row r="287" spans="1:29" x14ac:dyDescent="0.25">
      <c r="A287" s="70" t="s">
        <v>213</v>
      </c>
      <c r="B287" s="68">
        <v>99.721385830234496</v>
      </c>
      <c r="C287" s="68">
        <v>1.33254929420798</v>
      </c>
      <c r="D287" s="68">
        <v>99.721385830234496</v>
      </c>
      <c r="E287" s="68">
        <v>1.33254929420798</v>
      </c>
      <c r="F287" s="68">
        <v>99.005686008235699</v>
      </c>
      <c r="G287" s="68">
        <v>0.61520311852213905</v>
      </c>
      <c r="H287" s="68">
        <v>14756.5214</v>
      </c>
      <c r="I287" s="68">
        <v>64795.499799999998</v>
      </c>
      <c r="J287" s="68">
        <v>99.730864735063193</v>
      </c>
      <c r="K287" s="68">
        <v>0.92977066287439003</v>
      </c>
      <c r="L287" s="68">
        <v>5557.5185000000001</v>
      </c>
      <c r="M287" s="68">
        <v>11747.43</v>
      </c>
      <c r="N287" s="68">
        <v>99.864310970594303</v>
      </c>
      <c r="O287" s="68">
        <v>62445.270044803503</v>
      </c>
      <c r="P287" s="68">
        <v>19812.351999999999</v>
      </c>
      <c r="Q287" s="68">
        <v>114875.182</v>
      </c>
      <c r="R287" s="68">
        <v>99.170216814774093</v>
      </c>
      <c r="S287" s="68">
        <v>25218.5483152991</v>
      </c>
      <c r="T287" s="68">
        <v>7802.1243999999997</v>
      </c>
      <c r="U287" s="68">
        <v>44842.293599999997</v>
      </c>
      <c r="V287" s="68"/>
      <c r="W287" s="68"/>
      <c r="X287" s="68"/>
      <c r="Y287" s="68">
        <v>97.661561120785606</v>
      </c>
      <c r="Z287" s="68">
        <v>99.460383265451298</v>
      </c>
      <c r="AA287" s="68">
        <v>2.0465750814827799</v>
      </c>
      <c r="AB287" s="68">
        <v>99.861423969968698</v>
      </c>
      <c r="AC287" s="68">
        <v>719.50112629188698</v>
      </c>
    </row>
    <row r="288" spans="1:29" x14ac:dyDescent="0.25">
      <c r="A288" s="70" t="s">
        <v>381</v>
      </c>
      <c r="B288" s="68">
        <v>99.36</v>
      </c>
      <c r="C288" s="68">
        <v>1.3330961538461501</v>
      </c>
      <c r="D288" s="68">
        <v>99.36</v>
      </c>
      <c r="E288" s="68">
        <v>1.3330961538461501</v>
      </c>
      <c r="F288" s="68">
        <v>99.334442595673906</v>
      </c>
      <c r="G288" s="68">
        <v>0.77741789547604401</v>
      </c>
      <c r="H288" s="68">
        <v>7233</v>
      </c>
      <c r="I288" s="68">
        <v>58594</v>
      </c>
      <c r="J288" s="68">
        <v>99.177631578947398</v>
      </c>
      <c r="K288" s="68">
        <v>0.94914272274106704</v>
      </c>
      <c r="L288" s="68">
        <v>4076</v>
      </c>
      <c r="M288" s="68">
        <v>11616</v>
      </c>
      <c r="N288" s="68">
        <v>100</v>
      </c>
      <c r="O288" s="68">
        <v>41312.800064102601</v>
      </c>
      <c r="P288" s="68">
        <v>10883</v>
      </c>
      <c r="Q288" s="68">
        <v>97002</v>
      </c>
      <c r="R288" s="68">
        <v>99.673202614379093</v>
      </c>
      <c r="S288" s="68">
        <v>18397.3565641026</v>
      </c>
      <c r="T288" s="68">
        <v>4821</v>
      </c>
      <c r="U288" s="68">
        <v>26505</v>
      </c>
      <c r="V288" s="68">
        <v>100</v>
      </c>
      <c r="W288" s="68">
        <v>100</v>
      </c>
      <c r="X288" s="68">
        <v>0.96630799999999994</v>
      </c>
      <c r="Y288" s="68">
        <v>97.829716193656097</v>
      </c>
      <c r="Z288" s="68">
        <v>98.300056882821394</v>
      </c>
      <c r="AA288" s="68">
        <v>1.98147433333333</v>
      </c>
      <c r="AB288" s="68">
        <v>99.476439790575895</v>
      </c>
      <c r="AC288" s="68">
        <v>720</v>
      </c>
    </row>
    <row r="289" spans="1:29" x14ac:dyDescent="0.25">
      <c r="A289" s="70" t="s">
        <v>567</v>
      </c>
      <c r="B289" s="68">
        <v>99.36</v>
      </c>
      <c r="C289" s="68">
        <v>1.3330961538461501</v>
      </c>
      <c r="D289" s="68">
        <v>99.36</v>
      </c>
      <c r="E289" s="68">
        <v>1.3330961538461501</v>
      </c>
      <c r="F289" s="68">
        <v>99.334442595673906</v>
      </c>
      <c r="G289" s="68">
        <v>0.77741789547604401</v>
      </c>
      <c r="H289" s="68">
        <v>7233</v>
      </c>
      <c r="I289" s="68">
        <v>58594</v>
      </c>
      <c r="J289" s="68">
        <v>99.177631578947398</v>
      </c>
      <c r="K289" s="68">
        <v>0.94914272274106704</v>
      </c>
      <c r="L289" s="68">
        <v>4076</v>
      </c>
      <c r="M289" s="68">
        <v>11616</v>
      </c>
      <c r="N289" s="68">
        <v>100</v>
      </c>
      <c r="O289" s="68">
        <v>41312.800064102601</v>
      </c>
      <c r="P289" s="68">
        <v>10883</v>
      </c>
      <c r="Q289" s="68">
        <v>97002</v>
      </c>
      <c r="R289" s="68">
        <v>99.673202614379093</v>
      </c>
      <c r="S289" s="68">
        <v>18397.3565641026</v>
      </c>
      <c r="T289" s="68">
        <v>4821</v>
      </c>
      <c r="U289" s="68">
        <v>26505</v>
      </c>
      <c r="V289" s="68">
        <v>100</v>
      </c>
      <c r="W289" s="68">
        <v>100</v>
      </c>
      <c r="X289" s="68">
        <v>0.96630799999999994</v>
      </c>
      <c r="Y289" s="68">
        <v>97.829716193656097</v>
      </c>
      <c r="Z289" s="68">
        <v>98.300056882821394</v>
      </c>
      <c r="AA289" s="68">
        <v>1.98147433333333</v>
      </c>
      <c r="AB289" s="68">
        <v>99.476439790575895</v>
      </c>
      <c r="AC289" s="68">
        <v>720</v>
      </c>
    </row>
    <row r="290" spans="1:29" x14ac:dyDescent="0.25">
      <c r="A290" s="70" t="s">
        <v>214</v>
      </c>
      <c r="B290" s="68">
        <v>99.066888652556301</v>
      </c>
      <c r="C290" s="68">
        <v>2.28085800079092</v>
      </c>
      <c r="D290" s="68">
        <v>99.066888652556301</v>
      </c>
      <c r="E290" s="68">
        <v>2.28085800079092</v>
      </c>
      <c r="F290" s="68">
        <v>99.656021945849304</v>
      </c>
      <c r="G290" s="68">
        <v>1.0604619127488999</v>
      </c>
      <c r="H290" s="68">
        <v>7669.7066000000004</v>
      </c>
      <c r="I290" s="68">
        <v>38530.897100000002</v>
      </c>
      <c r="J290" s="68">
        <v>96.783832408004599</v>
      </c>
      <c r="K290" s="68">
        <v>1.74604912908611</v>
      </c>
      <c r="L290" s="68">
        <v>2633.3883500000002</v>
      </c>
      <c r="M290" s="68">
        <v>6540.6107000000002</v>
      </c>
      <c r="N290" s="68">
        <v>99.685166185109495</v>
      </c>
      <c r="O290" s="68">
        <v>34012.640957211501</v>
      </c>
      <c r="P290" s="68">
        <v>9355.4837499999994</v>
      </c>
      <c r="Q290" s="68">
        <v>66082.315499999997</v>
      </c>
      <c r="R290" s="68">
        <v>99.075907768963603</v>
      </c>
      <c r="S290" s="68">
        <v>11585.0852937368</v>
      </c>
      <c r="T290" s="68">
        <v>3187.5536000000002</v>
      </c>
      <c r="U290" s="68">
        <v>22777.919999999998</v>
      </c>
      <c r="V290" s="68">
        <v>100</v>
      </c>
      <c r="W290" s="68">
        <v>100</v>
      </c>
      <c r="X290" s="68">
        <v>1.4572925000000001</v>
      </c>
      <c r="Y290" s="68">
        <v>98.028271202780005</v>
      </c>
      <c r="Z290" s="68">
        <v>98.752166344058693</v>
      </c>
      <c r="AA290" s="68">
        <v>2.50603790462625</v>
      </c>
      <c r="AB290" s="68">
        <v>80.3688937595266</v>
      </c>
      <c r="AC290" s="68">
        <v>649.87397346840896</v>
      </c>
    </row>
    <row r="291" spans="1:29" x14ac:dyDescent="0.25">
      <c r="A291" s="70" t="s">
        <v>215</v>
      </c>
      <c r="B291" s="68">
        <v>98.388598562810998</v>
      </c>
      <c r="C291" s="68">
        <v>3.2142115971331902</v>
      </c>
      <c r="D291" s="68">
        <v>98.388598562810998</v>
      </c>
      <c r="E291" s="68">
        <v>3.2142115971331902</v>
      </c>
      <c r="F291" s="68">
        <v>99.908025007483801</v>
      </c>
      <c r="G291" s="68">
        <v>3.1355822080720102</v>
      </c>
      <c r="H291" s="68">
        <v>3618.3721999999998</v>
      </c>
      <c r="I291" s="68">
        <v>11344.3002</v>
      </c>
      <c r="J291" s="68">
        <v>93.700586759886406</v>
      </c>
      <c r="K291" s="68">
        <v>8.8765965203912405</v>
      </c>
      <c r="L291" s="68">
        <v>524.62450000000001</v>
      </c>
      <c r="M291" s="68">
        <v>1243.395</v>
      </c>
      <c r="N291" s="68">
        <v>99.414453827404401</v>
      </c>
      <c r="O291" s="68">
        <v>9747.2492779858603</v>
      </c>
      <c r="P291" s="68">
        <v>3812.6855999999998</v>
      </c>
      <c r="Q291" s="68">
        <v>15857.196</v>
      </c>
      <c r="R291" s="68">
        <v>98.866616303782607</v>
      </c>
      <c r="S291" s="68">
        <v>884.039598185964</v>
      </c>
      <c r="T291" s="68">
        <v>404.73</v>
      </c>
      <c r="U291" s="68">
        <v>1256.4760000000001</v>
      </c>
      <c r="V291" s="68">
        <v>100</v>
      </c>
      <c r="W291" s="68">
        <v>100</v>
      </c>
      <c r="X291" s="68">
        <v>1.9638119999999999</v>
      </c>
      <c r="Y291" s="68">
        <v>97.323959937186103</v>
      </c>
      <c r="Z291" s="68">
        <v>98.731822412527293</v>
      </c>
      <c r="AA291" s="68">
        <v>2.9802983014218598</v>
      </c>
      <c r="AB291" s="68">
        <v>61.041096371338199</v>
      </c>
      <c r="AC291" s="68">
        <v>579.74794693681702</v>
      </c>
    </row>
    <row r="292" spans="1:29" x14ac:dyDescent="0.25">
      <c r="A292" s="70" t="s">
        <v>216</v>
      </c>
      <c r="B292" s="68">
        <v>99.745178742301604</v>
      </c>
      <c r="C292" s="68">
        <v>1.3475044044486499</v>
      </c>
      <c r="D292" s="68">
        <v>99.745178742301604</v>
      </c>
      <c r="E292" s="68">
        <v>1.3475044044486499</v>
      </c>
      <c r="F292" s="68">
        <v>99.404018884214807</v>
      </c>
      <c r="G292" s="68">
        <v>0.63814149892205596</v>
      </c>
      <c r="H292" s="68">
        <v>11721.040999999999</v>
      </c>
      <c r="I292" s="68">
        <v>65717.494000000006</v>
      </c>
      <c r="J292" s="68">
        <v>99.867078056122807</v>
      </c>
      <c r="K292" s="68">
        <v>0.96825353162176997</v>
      </c>
      <c r="L292" s="68">
        <v>4742.1522000000004</v>
      </c>
      <c r="M292" s="68">
        <v>11837.8264</v>
      </c>
      <c r="N292" s="68">
        <v>99.955878542814602</v>
      </c>
      <c r="O292" s="68">
        <v>58278.032636437201</v>
      </c>
      <c r="P292" s="68">
        <v>14898.2819</v>
      </c>
      <c r="Q292" s="68">
        <v>116307.435</v>
      </c>
      <c r="R292" s="68">
        <v>99.285199234144699</v>
      </c>
      <c r="S292" s="68">
        <v>22286.1309892877</v>
      </c>
      <c r="T292" s="68">
        <v>5970.3771999999999</v>
      </c>
      <c r="U292" s="68">
        <v>44299.364000000001</v>
      </c>
      <c r="V292" s="68">
        <v>100</v>
      </c>
      <c r="W292" s="68">
        <v>100</v>
      </c>
      <c r="X292" s="68">
        <v>0.95077299999999998</v>
      </c>
      <c r="Y292" s="68">
        <v>98.732582468374005</v>
      </c>
      <c r="Z292" s="68">
        <v>98.772510275590093</v>
      </c>
      <c r="AA292" s="68">
        <v>2.0317775078306299</v>
      </c>
      <c r="AB292" s="68">
        <v>99.696691147714901</v>
      </c>
      <c r="AC292" s="68">
        <v>720</v>
      </c>
    </row>
    <row r="293" spans="1:29" x14ac:dyDescent="0.25">
      <c r="A293" s="70" t="s">
        <v>217</v>
      </c>
      <c r="B293" s="68">
        <v>98.821548821548802</v>
      </c>
      <c r="C293" s="68">
        <v>1.2742179487179499</v>
      </c>
      <c r="D293" s="68">
        <v>98.821548821548802</v>
      </c>
      <c r="E293" s="68">
        <v>1.2742179487179499</v>
      </c>
      <c r="F293" s="68">
        <v>98.606271777003499</v>
      </c>
      <c r="G293" s="68">
        <v>0.68236750756563302</v>
      </c>
      <c r="H293" s="68">
        <v>11287</v>
      </c>
      <c r="I293" s="68">
        <v>57007</v>
      </c>
      <c r="J293" s="68">
        <v>97.902097902097907</v>
      </c>
      <c r="K293" s="68">
        <v>0.868282973396027</v>
      </c>
      <c r="L293" s="68">
        <v>3176</v>
      </c>
      <c r="M293" s="68">
        <v>12559</v>
      </c>
      <c r="N293" s="68">
        <v>99.142367066895403</v>
      </c>
      <c r="O293" s="68">
        <v>69435.309986111097</v>
      </c>
      <c r="P293" s="68">
        <v>21917</v>
      </c>
      <c r="Q293" s="68">
        <v>121966</v>
      </c>
      <c r="R293" s="68">
        <v>97.952218430034094</v>
      </c>
      <c r="S293" s="68">
        <v>25742.223166666699</v>
      </c>
      <c r="T293" s="68">
        <v>3928</v>
      </c>
      <c r="U293" s="68">
        <v>43849</v>
      </c>
      <c r="V293" s="68">
        <v>100</v>
      </c>
      <c r="W293" s="68">
        <v>100</v>
      </c>
      <c r="X293" s="68">
        <v>0.99099999999999999</v>
      </c>
      <c r="Y293" s="68">
        <v>96.774193548387103</v>
      </c>
      <c r="Z293" s="68">
        <v>98.736326111111097</v>
      </c>
      <c r="AA293" s="68">
        <v>2.1738590000000002</v>
      </c>
      <c r="AB293" s="68">
        <v>100</v>
      </c>
      <c r="AC293" s="68">
        <v>720</v>
      </c>
    </row>
    <row r="294" spans="1:29" x14ac:dyDescent="0.25">
      <c r="A294" s="70" t="s">
        <v>568</v>
      </c>
      <c r="B294" s="68">
        <v>98.821548821548802</v>
      </c>
      <c r="C294" s="68">
        <v>1.2742179487179499</v>
      </c>
      <c r="D294" s="68">
        <v>98.821548821548802</v>
      </c>
      <c r="E294" s="68">
        <v>1.2742179487179499</v>
      </c>
      <c r="F294" s="68">
        <v>98.606271777003499</v>
      </c>
      <c r="G294" s="68">
        <v>0.68236750756563302</v>
      </c>
      <c r="H294" s="68">
        <v>11287</v>
      </c>
      <c r="I294" s="68">
        <v>57007</v>
      </c>
      <c r="J294" s="68">
        <v>97.902097902097907</v>
      </c>
      <c r="K294" s="68">
        <v>0.868282973396027</v>
      </c>
      <c r="L294" s="68">
        <v>3176</v>
      </c>
      <c r="M294" s="68">
        <v>12559</v>
      </c>
      <c r="N294" s="68">
        <v>99.142367066895403</v>
      </c>
      <c r="O294" s="68">
        <v>69435.309986111097</v>
      </c>
      <c r="P294" s="68">
        <v>21917</v>
      </c>
      <c r="Q294" s="68">
        <v>121966</v>
      </c>
      <c r="R294" s="68">
        <v>97.952218430034094</v>
      </c>
      <c r="S294" s="68">
        <v>25742.223166666699</v>
      </c>
      <c r="T294" s="68">
        <v>3928</v>
      </c>
      <c r="U294" s="68">
        <v>43849</v>
      </c>
      <c r="V294" s="68">
        <v>100</v>
      </c>
      <c r="W294" s="68">
        <v>100</v>
      </c>
      <c r="X294" s="68">
        <v>0.99099999999999999</v>
      </c>
      <c r="Y294" s="68">
        <v>96.774193548387103</v>
      </c>
      <c r="Z294" s="68">
        <v>98.736326111111097</v>
      </c>
      <c r="AA294" s="68">
        <v>2.1738590000000002</v>
      </c>
      <c r="AB294" s="68">
        <v>100</v>
      </c>
      <c r="AC294" s="68">
        <v>720</v>
      </c>
    </row>
    <row r="295" spans="1:29" x14ac:dyDescent="0.25">
      <c r="A295" s="70" t="s">
        <v>218</v>
      </c>
      <c r="B295" s="68">
        <v>98.792414863369899</v>
      </c>
      <c r="C295" s="68">
        <v>1.7920008188015499</v>
      </c>
      <c r="D295" s="68">
        <v>98.792414863369899</v>
      </c>
      <c r="E295" s="68">
        <v>1.7920008188015499</v>
      </c>
      <c r="F295" s="68">
        <v>98.957491026206895</v>
      </c>
      <c r="G295" s="68">
        <v>1.14152617653165</v>
      </c>
      <c r="H295" s="68">
        <v>11084.734049999999</v>
      </c>
      <c r="I295" s="68">
        <v>33345.307200000003</v>
      </c>
      <c r="J295" s="68">
        <v>98.793220303979496</v>
      </c>
      <c r="K295" s="68">
        <v>1.2191615081239799</v>
      </c>
      <c r="L295" s="68">
        <v>4534.1509999999998</v>
      </c>
      <c r="M295" s="68">
        <v>8824.6309999999994</v>
      </c>
      <c r="N295" s="68">
        <v>99.463669860768107</v>
      </c>
      <c r="O295" s="68">
        <v>36131.172360695702</v>
      </c>
      <c r="P295" s="68">
        <v>16273.86385</v>
      </c>
      <c r="Q295" s="68">
        <v>62652.1993</v>
      </c>
      <c r="R295" s="68">
        <v>99.396163387795795</v>
      </c>
      <c r="S295" s="68">
        <v>16612.649561997201</v>
      </c>
      <c r="T295" s="68">
        <v>6447.0468499999997</v>
      </c>
      <c r="U295" s="68">
        <v>24111.259450000001</v>
      </c>
      <c r="V295" s="68"/>
      <c r="W295" s="68"/>
      <c r="X295" s="68"/>
      <c r="Y295" s="68">
        <v>98.842206904720499</v>
      </c>
      <c r="Z295" s="68">
        <v>99.782992103899204</v>
      </c>
      <c r="AA295" s="68">
        <v>2.1190956905736802</v>
      </c>
      <c r="AB295" s="68">
        <v>54.417319423845299</v>
      </c>
      <c r="AC295" s="68">
        <v>555.90234992584305</v>
      </c>
    </row>
    <row r="296" spans="1:29" x14ac:dyDescent="0.25">
      <c r="A296" s="70" t="s">
        <v>219</v>
      </c>
      <c r="B296" s="68">
        <v>99.348142175997594</v>
      </c>
      <c r="C296" s="68">
        <v>2.4338078755430601</v>
      </c>
      <c r="D296" s="68">
        <v>99.348142175997594</v>
      </c>
      <c r="E296" s="68">
        <v>2.4338078755430601</v>
      </c>
      <c r="F296" s="68">
        <v>99.719822440116303</v>
      </c>
      <c r="G296" s="68">
        <v>3.1188854917969402</v>
      </c>
      <c r="H296" s="68">
        <v>5048.0182000000004</v>
      </c>
      <c r="I296" s="68">
        <v>10733.4874</v>
      </c>
      <c r="J296" s="68">
        <v>99.758463566557893</v>
      </c>
      <c r="K296" s="68">
        <v>3.22535288192769</v>
      </c>
      <c r="L296" s="68">
        <v>1577.665</v>
      </c>
      <c r="M296" s="68">
        <v>3687.6559999999999</v>
      </c>
      <c r="N296" s="68">
        <v>100</v>
      </c>
      <c r="O296" s="68">
        <v>8197.1276893201593</v>
      </c>
      <c r="P296" s="68">
        <v>5235.4804000000004</v>
      </c>
      <c r="Q296" s="68">
        <v>10943.709699999999</v>
      </c>
      <c r="R296" s="68">
        <v>99.8233072230462</v>
      </c>
      <c r="S296" s="68">
        <v>3201.9904589083098</v>
      </c>
      <c r="T296" s="68">
        <v>2042.0835</v>
      </c>
      <c r="U296" s="68">
        <v>3979.6289999999999</v>
      </c>
      <c r="V296" s="68"/>
      <c r="W296" s="68"/>
      <c r="X296" s="68"/>
      <c r="Y296" s="68">
        <v>99.301593229720396</v>
      </c>
      <c r="Z296" s="68">
        <v>99.999992756257697</v>
      </c>
      <c r="AA296" s="68">
        <v>2.1718017396691001</v>
      </c>
      <c r="AB296" s="68">
        <v>8.8346388476906199</v>
      </c>
      <c r="AC296" s="68">
        <v>391.804699851686</v>
      </c>
    </row>
    <row r="297" spans="1:29" x14ac:dyDescent="0.25">
      <c r="A297" s="70" t="s">
        <v>220</v>
      </c>
      <c r="B297" s="68">
        <v>98.236687550742104</v>
      </c>
      <c r="C297" s="68">
        <v>1.15019376206005</v>
      </c>
      <c r="D297" s="68">
        <v>98.236687550742104</v>
      </c>
      <c r="E297" s="68">
        <v>1.15019376206005</v>
      </c>
      <c r="F297" s="68">
        <v>98.195159612297502</v>
      </c>
      <c r="G297" s="68">
        <v>0.69861036219398898</v>
      </c>
      <c r="H297" s="68">
        <v>17121.4499</v>
      </c>
      <c r="I297" s="68">
        <v>55957.127</v>
      </c>
      <c r="J297" s="68">
        <v>97.827977041401098</v>
      </c>
      <c r="K297" s="68">
        <v>0.75163773668836797</v>
      </c>
      <c r="L297" s="68">
        <v>7490.6369999999997</v>
      </c>
      <c r="M297" s="68">
        <v>13961.606</v>
      </c>
      <c r="N297" s="68">
        <v>98.9273397215361</v>
      </c>
      <c r="O297" s="68">
        <v>64065.217032071203</v>
      </c>
      <c r="P297" s="68">
        <v>27312.247299999999</v>
      </c>
      <c r="Q297" s="68">
        <v>114360.68889999999</v>
      </c>
      <c r="R297" s="68">
        <v>98.969019552545404</v>
      </c>
      <c r="S297" s="68">
        <v>30023.308665086101</v>
      </c>
      <c r="T297" s="68">
        <v>10852.010200000001</v>
      </c>
      <c r="U297" s="68">
        <v>44242.889900000002</v>
      </c>
      <c r="V297" s="68"/>
      <c r="W297" s="68"/>
      <c r="X297" s="68"/>
      <c r="Y297" s="68">
        <v>98.382820579720601</v>
      </c>
      <c r="Z297" s="68">
        <v>99.565991451540597</v>
      </c>
      <c r="AA297" s="68">
        <v>2.0663896414782701</v>
      </c>
      <c r="AB297" s="68">
        <v>100</v>
      </c>
      <c r="AC297" s="68">
        <v>720</v>
      </c>
    </row>
    <row r="298" spans="1:29" x14ac:dyDescent="0.25">
      <c r="A298" s="70" t="s">
        <v>382</v>
      </c>
      <c r="B298" s="68">
        <v>98.821548821548802</v>
      </c>
      <c r="C298" s="68">
        <v>1.2742179487179499</v>
      </c>
      <c r="D298" s="68">
        <v>98.821548821548802</v>
      </c>
      <c r="E298" s="68">
        <v>1.2742179487179499</v>
      </c>
      <c r="F298" s="68">
        <v>98.606271777003499</v>
      </c>
      <c r="G298" s="68">
        <v>0.68236750756563302</v>
      </c>
      <c r="H298" s="68">
        <v>11287</v>
      </c>
      <c r="I298" s="68">
        <v>57007</v>
      </c>
      <c r="J298" s="68">
        <v>97.902097902097907</v>
      </c>
      <c r="K298" s="68">
        <v>0.868282973396027</v>
      </c>
      <c r="L298" s="68">
        <v>3176</v>
      </c>
      <c r="M298" s="68">
        <v>12559</v>
      </c>
      <c r="N298" s="68">
        <v>99.142367066895403</v>
      </c>
      <c r="O298" s="68">
        <v>69435.309986111097</v>
      </c>
      <c r="P298" s="68">
        <v>21917</v>
      </c>
      <c r="Q298" s="68">
        <v>121966</v>
      </c>
      <c r="R298" s="68">
        <v>97.952218430034094</v>
      </c>
      <c r="S298" s="68">
        <v>25742.223166666699</v>
      </c>
      <c r="T298" s="68">
        <v>3928</v>
      </c>
      <c r="U298" s="68">
        <v>43849</v>
      </c>
      <c r="V298" s="68">
        <v>100</v>
      </c>
      <c r="W298" s="68">
        <v>100</v>
      </c>
      <c r="X298" s="68">
        <v>0.99099999999999999</v>
      </c>
      <c r="Y298" s="68">
        <v>96.774193548387103</v>
      </c>
      <c r="Z298" s="68">
        <v>98.736326111111097</v>
      </c>
      <c r="AA298" s="68">
        <v>2.1738590000000002</v>
      </c>
      <c r="AB298" s="68">
        <v>100</v>
      </c>
      <c r="AC298" s="68">
        <v>720</v>
      </c>
    </row>
    <row r="299" spans="1:29" x14ac:dyDescent="0.25">
      <c r="A299" s="70" t="s">
        <v>569</v>
      </c>
      <c r="B299" s="68">
        <v>98.821548821548802</v>
      </c>
      <c r="C299" s="68">
        <v>1.2742179487179499</v>
      </c>
      <c r="D299" s="68">
        <v>98.821548821548802</v>
      </c>
      <c r="E299" s="68">
        <v>1.2742179487179499</v>
      </c>
      <c r="F299" s="68">
        <v>98.606271777003499</v>
      </c>
      <c r="G299" s="68">
        <v>0.68236750756563302</v>
      </c>
      <c r="H299" s="68">
        <v>11287</v>
      </c>
      <c r="I299" s="68">
        <v>57007</v>
      </c>
      <c r="J299" s="68">
        <v>97.902097902097907</v>
      </c>
      <c r="K299" s="68">
        <v>0.868282973396027</v>
      </c>
      <c r="L299" s="68">
        <v>3176</v>
      </c>
      <c r="M299" s="68">
        <v>12559</v>
      </c>
      <c r="N299" s="68">
        <v>99.142367066895403</v>
      </c>
      <c r="O299" s="68">
        <v>69435.309986111097</v>
      </c>
      <c r="P299" s="68">
        <v>21917</v>
      </c>
      <c r="Q299" s="68">
        <v>121966</v>
      </c>
      <c r="R299" s="68">
        <v>97.952218430034094</v>
      </c>
      <c r="S299" s="68">
        <v>25742.223166666699</v>
      </c>
      <c r="T299" s="68">
        <v>3928</v>
      </c>
      <c r="U299" s="68">
        <v>43849</v>
      </c>
      <c r="V299" s="68">
        <v>100</v>
      </c>
      <c r="W299" s="68">
        <v>100</v>
      </c>
      <c r="X299" s="68">
        <v>0.99099999999999999</v>
      </c>
      <c r="Y299" s="68">
        <v>96.774193548387103</v>
      </c>
      <c r="Z299" s="68">
        <v>98.736326111111097</v>
      </c>
      <c r="AA299" s="68">
        <v>2.1738590000000002</v>
      </c>
      <c r="AB299" s="68">
        <v>100</v>
      </c>
      <c r="AC299" s="68">
        <v>720</v>
      </c>
    </row>
    <row r="300" spans="1:29" x14ac:dyDescent="0.25">
      <c r="A300" s="70" t="s">
        <v>221</v>
      </c>
      <c r="B300" s="68">
        <v>98.789111119888602</v>
      </c>
      <c r="C300" s="68">
        <v>1.8475225758181</v>
      </c>
      <c r="D300" s="68">
        <v>98.789111119888602</v>
      </c>
      <c r="E300" s="68">
        <v>1.8475225758181</v>
      </c>
      <c r="F300" s="68">
        <v>99.213600823412904</v>
      </c>
      <c r="G300" s="68">
        <v>1.1109350770313</v>
      </c>
      <c r="H300" s="68">
        <v>10994.04875</v>
      </c>
      <c r="I300" s="68">
        <v>33823.99005</v>
      </c>
      <c r="J300" s="68">
        <v>97.961673850095806</v>
      </c>
      <c r="K300" s="68">
        <v>1.3234407784906199</v>
      </c>
      <c r="L300" s="68">
        <v>3671.3706000000002</v>
      </c>
      <c r="M300" s="68">
        <v>8035.5879000000004</v>
      </c>
      <c r="N300" s="68">
        <v>99.823503382298497</v>
      </c>
      <c r="O300" s="68">
        <v>38835.411602357301</v>
      </c>
      <c r="P300" s="68">
        <v>16471.49525</v>
      </c>
      <c r="Q300" s="68">
        <v>68259.688850000006</v>
      </c>
      <c r="R300" s="68">
        <v>98.943825805609094</v>
      </c>
      <c r="S300" s="68">
        <v>15671.652286139801</v>
      </c>
      <c r="T300" s="68">
        <v>4589.7395500000002</v>
      </c>
      <c r="U300" s="68">
        <v>24262.172600000002</v>
      </c>
      <c r="V300" s="68">
        <v>100</v>
      </c>
      <c r="W300" s="68">
        <v>100</v>
      </c>
      <c r="X300" s="68">
        <v>1.0955820000000001</v>
      </c>
      <c r="Y300" s="68">
        <v>98.209568615742398</v>
      </c>
      <c r="Z300" s="68">
        <v>99.347932107609694</v>
      </c>
      <c r="AA300" s="68">
        <v>2.3090424341468898</v>
      </c>
      <c r="AB300" s="68">
        <v>80.559741603437999</v>
      </c>
      <c r="AC300" s="68">
        <v>650.01506977237705</v>
      </c>
    </row>
    <row r="301" spans="1:29" x14ac:dyDescent="0.25">
      <c r="A301" s="70" t="s">
        <v>222</v>
      </c>
      <c r="B301" s="68">
        <v>98.523512215445393</v>
      </c>
      <c r="C301" s="68">
        <v>2.5088635545608802</v>
      </c>
      <c r="D301" s="68">
        <v>98.523512215445393</v>
      </c>
      <c r="E301" s="68">
        <v>2.5088635545608802</v>
      </c>
      <c r="F301" s="68">
        <v>99.568512380788206</v>
      </c>
      <c r="G301" s="68">
        <v>3.2764438926352302</v>
      </c>
      <c r="H301" s="68">
        <v>4170.7254999999996</v>
      </c>
      <c r="I301" s="68">
        <v>10505.123100000001</v>
      </c>
      <c r="J301" s="68">
        <v>97.748612126978003</v>
      </c>
      <c r="K301" s="68">
        <v>3.14664362782153</v>
      </c>
      <c r="L301" s="68">
        <v>1434.3088</v>
      </c>
      <c r="M301" s="68">
        <v>3671.9148</v>
      </c>
      <c r="N301" s="68">
        <v>99.743370475426801</v>
      </c>
      <c r="O301" s="68">
        <v>7768.9060625858901</v>
      </c>
      <c r="P301" s="68">
        <v>4583.3851000000004</v>
      </c>
      <c r="Q301" s="68">
        <v>10829.6281</v>
      </c>
      <c r="R301" s="68">
        <v>99.196956207480198</v>
      </c>
      <c r="S301" s="68">
        <v>2961.85489775734</v>
      </c>
      <c r="T301" s="68">
        <v>1364.3300999999999</v>
      </c>
      <c r="U301" s="68">
        <v>3936.46</v>
      </c>
      <c r="V301" s="68">
        <v>100</v>
      </c>
      <c r="W301" s="68">
        <v>100</v>
      </c>
      <c r="X301" s="68">
        <v>1.310316</v>
      </c>
      <c r="Y301" s="68">
        <v>98.787557974759807</v>
      </c>
      <c r="Z301" s="68">
        <v>99.089967220972397</v>
      </c>
      <c r="AA301" s="68">
        <v>2.55687802994535</v>
      </c>
      <c r="AB301" s="68">
        <v>61.119483206876097</v>
      </c>
      <c r="AC301" s="68">
        <v>580.03013954475398</v>
      </c>
    </row>
    <row r="302" spans="1:29" x14ac:dyDescent="0.25">
      <c r="A302" s="70" t="s">
        <v>223</v>
      </c>
      <c r="B302" s="68">
        <v>99.054710024331797</v>
      </c>
      <c r="C302" s="68">
        <v>1.18618159707532</v>
      </c>
      <c r="D302" s="68">
        <v>99.054710024331797</v>
      </c>
      <c r="E302" s="68">
        <v>1.18618159707532</v>
      </c>
      <c r="F302" s="68">
        <v>98.858689266037601</v>
      </c>
      <c r="G302" s="68">
        <v>0.66886219770755895</v>
      </c>
      <c r="H302" s="68">
        <v>17817.371999999999</v>
      </c>
      <c r="I302" s="68">
        <v>57142.857000000004</v>
      </c>
      <c r="J302" s="68">
        <v>98.174735573213695</v>
      </c>
      <c r="K302" s="68">
        <v>0.83793262258329104</v>
      </c>
      <c r="L302" s="68">
        <v>5908.4323999999997</v>
      </c>
      <c r="M302" s="68">
        <v>12399.261</v>
      </c>
      <c r="N302" s="68">
        <v>99.903636289170095</v>
      </c>
      <c r="O302" s="68">
        <v>69901.917142128703</v>
      </c>
      <c r="P302" s="68">
        <v>28359.6054</v>
      </c>
      <c r="Q302" s="68">
        <v>125689.7496</v>
      </c>
      <c r="R302" s="68">
        <v>98.690695403738005</v>
      </c>
      <c r="S302" s="68">
        <v>28381.4496745223</v>
      </c>
      <c r="T302" s="68">
        <v>7815.1490000000003</v>
      </c>
      <c r="U302" s="68">
        <v>44587.885199999997</v>
      </c>
      <c r="V302" s="68">
        <v>100</v>
      </c>
      <c r="W302" s="68">
        <v>100</v>
      </c>
      <c r="X302" s="68">
        <v>0.88084799999999996</v>
      </c>
      <c r="Y302" s="68">
        <v>97.631579256724905</v>
      </c>
      <c r="Z302" s="68">
        <v>99.605896994247004</v>
      </c>
      <c r="AA302" s="68">
        <v>2.0612068383484199</v>
      </c>
      <c r="AB302" s="68">
        <v>100</v>
      </c>
      <c r="AC302" s="68">
        <v>720</v>
      </c>
    </row>
    <row r="303" spans="1:29" x14ac:dyDescent="0.25">
      <c r="A303" s="70" t="s">
        <v>725</v>
      </c>
      <c r="B303" s="68">
        <v>97.340425531914903</v>
      </c>
      <c r="C303" s="68">
        <v>1.48</v>
      </c>
      <c r="D303" s="68">
        <v>97.340425531914903</v>
      </c>
      <c r="E303" s="68">
        <v>1.48</v>
      </c>
      <c r="F303" s="68">
        <v>96.551724137931004</v>
      </c>
      <c r="G303" s="68">
        <v>0.92695548531641603</v>
      </c>
      <c r="H303" s="68">
        <v>5627</v>
      </c>
      <c r="I303" s="68">
        <v>55427</v>
      </c>
      <c r="J303" s="68">
        <v>93.548387096774206</v>
      </c>
      <c r="K303" s="68">
        <v>1.41470659344455</v>
      </c>
      <c r="L303" s="68">
        <v>1143</v>
      </c>
      <c r="M303" s="68">
        <v>10782</v>
      </c>
      <c r="N303" s="68">
        <v>97.806215722120697</v>
      </c>
      <c r="O303" s="68">
        <v>45596.4</v>
      </c>
      <c r="P303" s="68">
        <v>5589</v>
      </c>
      <c r="Q303" s="68">
        <v>110206</v>
      </c>
      <c r="R303" s="68">
        <v>97.421731123388597</v>
      </c>
      <c r="S303" s="68">
        <v>9726.7999999999993</v>
      </c>
      <c r="T303" s="68">
        <v>818</v>
      </c>
      <c r="U303" s="68">
        <v>23003</v>
      </c>
      <c r="V303" s="68"/>
      <c r="W303" s="68"/>
      <c r="X303" s="68"/>
      <c r="Y303" s="68">
        <v>94.756554307116104</v>
      </c>
      <c r="Z303" s="68">
        <v>93.924901185770807</v>
      </c>
      <c r="AA303" s="68">
        <v>2.448</v>
      </c>
      <c r="AB303" s="68">
        <v>99.802371541501998</v>
      </c>
      <c r="AC303" s="68">
        <v>720</v>
      </c>
    </row>
    <row r="304" spans="1:29" x14ac:dyDescent="0.25">
      <c r="A304" s="70" t="s">
        <v>726</v>
      </c>
      <c r="B304" s="68">
        <v>97.340425531914903</v>
      </c>
      <c r="C304" s="68">
        <v>1.48</v>
      </c>
      <c r="D304" s="68">
        <v>97.340425531914903</v>
      </c>
      <c r="E304" s="68">
        <v>1.48</v>
      </c>
      <c r="F304" s="68">
        <v>96.551724137931004</v>
      </c>
      <c r="G304" s="68">
        <v>0.92695548531641603</v>
      </c>
      <c r="H304" s="68">
        <v>5627</v>
      </c>
      <c r="I304" s="68">
        <v>55427</v>
      </c>
      <c r="J304" s="68">
        <v>93.548387096774206</v>
      </c>
      <c r="K304" s="68">
        <v>1.41470659344455</v>
      </c>
      <c r="L304" s="68">
        <v>1143</v>
      </c>
      <c r="M304" s="68">
        <v>10782</v>
      </c>
      <c r="N304" s="68">
        <v>97.806215722120697</v>
      </c>
      <c r="O304" s="68">
        <v>45596.4</v>
      </c>
      <c r="P304" s="68">
        <v>5589</v>
      </c>
      <c r="Q304" s="68">
        <v>110206</v>
      </c>
      <c r="R304" s="68">
        <v>97.421731123388597</v>
      </c>
      <c r="S304" s="68">
        <v>9726.7999999999993</v>
      </c>
      <c r="T304" s="68">
        <v>818</v>
      </c>
      <c r="U304" s="68">
        <v>23003</v>
      </c>
      <c r="V304" s="68"/>
      <c r="W304" s="68"/>
      <c r="X304" s="68"/>
      <c r="Y304" s="68">
        <v>94.756554307116104</v>
      </c>
      <c r="Z304" s="68">
        <v>93.924901185770807</v>
      </c>
      <c r="AA304" s="68">
        <v>2.448</v>
      </c>
      <c r="AB304" s="68">
        <v>99.802371541501998</v>
      </c>
      <c r="AC304" s="68">
        <v>720</v>
      </c>
    </row>
    <row r="305" spans="1:29" x14ac:dyDescent="0.25">
      <c r="A305" s="70" t="s">
        <v>727</v>
      </c>
      <c r="B305" s="68">
        <v>99.026737560850805</v>
      </c>
      <c r="C305" s="68">
        <v>1.0553592721012801</v>
      </c>
      <c r="D305" s="68">
        <v>99.026737560850805</v>
      </c>
      <c r="E305" s="68">
        <v>1.0553592721012801</v>
      </c>
      <c r="F305" s="68">
        <v>99.414211713459594</v>
      </c>
      <c r="G305" s="68">
        <v>0.58981611040726101</v>
      </c>
      <c r="H305" s="68">
        <v>15666.1235</v>
      </c>
      <c r="I305" s="68">
        <v>65663.597500000003</v>
      </c>
      <c r="J305" s="68">
        <v>98.914200537284501</v>
      </c>
      <c r="K305" s="68">
        <v>0.97194779843733703</v>
      </c>
      <c r="L305" s="68">
        <v>2244.2046</v>
      </c>
      <c r="M305" s="68">
        <v>12117.544599999999</v>
      </c>
      <c r="N305" s="68">
        <v>99.719892660333002</v>
      </c>
      <c r="O305" s="68">
        <v>69422.974205754494</v>
      </c>
      <c r="P305" s="68">
        <v>22274.655900000002</v>
      </c>
      <c r="Q305" s="68">
        <v>127153.29670000001</v>
      </c>
      <c r="R305" s="68">
        <v>99.738532693081495</v>
      </c>
      <c r="S305" s="68">
        <v>18674.873585703099</v>
      </c>
      <c r="T305" s="68">
        <v>2040.4772</v>
      </c>
      <c r="U305" s="68">
        <v>40165.016199999998</v>
      </c>
      <c r="V305" s="68"/>
      <c r="W305" s="68"/>
      <c r="X305" s="68"/>
      <c r="Y305" s="68">
        <v>98.664480065238394</v>
      </c>
      <c r="Z305" s="68">
        <v>98.279262748116196</v>
      </c>
      <c r="AA305" s="68">
        <v>1.9782135742395901</v>
      </c>
      <c r="AB305" s="68">
        <v>99.276003064111194</v>
      </c>
      <c r="AC305" s="68">
        <v>719.48125963979396</v>
      </c>
    </row>
    <row r="306" spans="1:29" x14ac:dyDescent="0.25">
      <c r="A306" s="70" t="s">
        <v>729</v>
      </c>
      <c r="B306" s="68">
        <v>99.026737560850805</v>
      </c>
      <c r="C306" s="68">
        <v>1.0553592721012801</v>
      </c>
      <c r="D306" s="68">
        <v>99.026737560850805</v>
      </c>
      <c r="E306" s="68">
        <v>1.0553592721012801</v>
      </c>
      <c r="F306" s="68">
        <v>99.414211713459594</v>
      </c>
      <c r="G306" s="68">
        <v>0.58981611040726101</v>
      </c>
      <c r="H306" s="68">
        <v>15666.1235</v>
      </c>
      <c r="I306" s="68">
        <v>65663.597500000003</v>
      </c>
      <c r="J306" s="68">
        <v>98.914200537284501</v>
      </c>
      <c r="K306" s="68">
        <v>0.97194779843733703</v>
      </c>
      <c r="L306" s="68">
        <v>2244.2046</v>
      </c>
      <c r="M306" s="68">
        <v>12117.544599999999</v>
      </c>
      <c r="N306" s="68">
        <v>99.719892660333002</v>
      </c>
      <c r="O306" s="68">
        <v>69422.974205754494</v>
      </c>
      <c r="P306" s="68">
        <v>22274.655900000002</v>
      </c>
      <c r="Q306" s="68">
        <v>127153.29670000001</v>
      </c>
      <c r="R306" s="68">
        <v>99.738532693081495</v>
      </c>
      <c r="S306" s="68">
        <v>18674.873585703099</v>
      </c>
      <c r="T306" s="68">
        <v>2040.4772</v>
      </c>
      <c r="U306" s="68">
        <v>40165.016199999998</v>
      </c>
      <c r="V306" s="68"/>
      <c r="W306" s="68"/>
      <c r="X306" s="68"/>
      <c r="Y306" s="68">
        <v>98.664480065238394</v>
      </c>
      <c r="Z306" s="68">
        <v>98.279262748116196</v>
      </c>
      <c r="AA306" s="68">
        <v>1.9782135742395901</v>
      </c>
      <c r="AB306" s="68">
        <v>99.276003064111194</v>
      </c>
      <c r="AC306" s="68">
        <v>719.48125963979396</v>
      </c>
    </row>
    <row r="307" spans="1:29" x14ac:dyDescent="0.25">
      <c r="A307" s="70" t="s">
        <v>730</v>
      </c>
      <c r="B307" s="68">
        <v>97.340425531914903</v>
      </c>
      <c r="C307" s="68">
        <v>1.48</v>
      </c>
      <c r="D307" s="68">
        <v>97.340425531914903</v>
      </c>
      <c r="E307" s="68">
        <v>1.48</v>
      </c>
      <c r="F307" s="68">
        <v>96.551724137931004</v>
      </c>
      <c r="G307" s="68">
        <v>0.92695548531641603</v>
      </c>
      <c r="H307" s="68">
        <v>5627</v>
      </c>
      <c r="I307" s="68">
        <v>55427</v>
      </c>
      <c r="J307" s="68">
        <v>93.548387096774206</v>
      </c>
      <c r="K307" s="68">
        <v>1.41470659344455</v>
      </c>
      <c r="L307" s="68">
        <v>1143</v>
      </c>
      <c r="M307" s="68">
        <v>10782</v>
      </c>
      <c r="N307" s="68">
        <v>97.806215722120697</v>
      </c>
      <c r="O307" s="68">
        <v>45596.4</v>
      </c>
      <c r="P307" s="68">
        <v>5589</v>
      </c>
      <c r="Q307" s="68">
        <v>110206</v>
      </c>
      <c r="R307" s="68">
        <v>97.421731123388597</v>
      </c>
      <c r="S307" s="68">
        <v>9726.7999999999993</v>
      </c>
      <c r="T307" s="68">
        <v>818</v>
      </c>
      <c r="U307" s="68">
        <v>23003</v>
      </c>
      <c r="V307" s="68"/>
      <c r="W307" s="68"/>
      <c r="X307" s="68"/>
      <c r="Y307" s="68">
        <v>94.756554307116104</v>
      </c>
      <c r="Z307" s="68">
        <v>93.924901185770807</v>
      </c>
      <c r="AA307" s="68">
        <v>2.448</v>
      </c>
      <c r="AB307" s="68">
        <v>99.802371541501998</v>
      </c>
      <c r="AC307" s="68">
        <v>720</v>
      </c>
    </row>
    <row r="308" spans="1:29" x14ac:dyDescent="0.25">
      <c r="A308" s="70" t="s">
        <v>731</v>
      </c>
      <c r="B308" s="68">
        <v>97.340425531914903</v>
      </c>
      <c r="C308" s="68">
        <v>1.48</v>
      </c>
      <c r="D308" s="68">
        <v>97.340425531914903</v>
      </c>
      <c r="E308" s="68">
        <v>1.48</v>
      </c>
      <c r="F308" s="68">
        <v>96.551724137931004</v>
      </c>
      <c r="G308" s="68">
        <v>0.92695548531641603</v>
      </c>
      <c r="H308" s="68">
        <v>5627</v>
      </c>
      <c r="I308" s="68">
        <v>55427</v>
      </c>
      <c r="J308" s="68">
        <v>93.548387096774206</v>
      </c>
      <c r="K308" s="68">
        <v>1.41470659344455</v>
      </c>
      <c r="L308" s="68">
        <v>1143</v>
      </c>
      <c r="M308" s="68">
        <v>10782</v>
      </c>
      <c r="N308" s="68">
        <v>97.806215722120697</v>
      </c>
      <c r="O308" s="68">
        <v>45596.4</v>
      </c>
      <c r="P308" s="68">
        <v>5589</v>
      </c>
      <c r="Q308" s="68">
        <v>110206</v>
      </c>
      <c r="R308" s="68">
        <v>97.421731123388597</v>
      </c>
      <c r="S308" s="68">
        <v>9726.7999999999993</v>
      </c>
      <c r="T308" s="68">
        <v>818</v>
      </c>
      <c r="U308" s="68">
        <v>23003</v>
      </c>
      <c r="V308" s="68"/>
      <c r="W308" s="68"/>
      <c r="X308" s="68"/>
      <c r="Y308" s="68">
        <v>94.756554307116104</v>
      </c>
      <c r="Z308" s="68">
        <v>93.924901185770807</v>
      </c>
      <c r="AA308" s="68">
        <v>2.448</v>
      </c>
      <c r="AB308" s="68">
        <v>99.802371541501998</v>
      </c>
      <c r="AC308" s="68">
        <v>720</v>
      </c>
    </row>
    <row r="309" spans="1:29" x14ac:dyDescent="0.25">
      <c r="A309" s="70" t="s">
        <v>732</v>
      </c>
      <c r="B309" s="68">
        <v>98.913608640665004</v>
      </c>
      <c r="C309" s="68">
        <v>1.3476566630747799</v>
      </c>
      <c r="D309" s="68">
        <v>98.913608640665004</v>
      </c>
      <c r="E309" s="68">
        <v>1.3476566630747799</v>
      </c>
      <c r="F309" s="68">
        <v>99.564299374328598</v>
      </c>
      <c r="G309" s="68">
        <v>0.74731785138209195</v>
      </c>
      <c r="H309" s="68">
        <v>7897.527</v>
      </c>
      <c r="I309" s="68">
        <v>62015.504000000001</v>
      </c>
      <c r="J309" s="68">
        <v>96.412761732763997</v>
      </c>
      <c r="K309" s="68">
        <v>1.3785376115727199</v>
      </c>
      <c r="L309" s="68">
        <v>1327.1233</v>
      </c>
      <c r="M309" s="68">
        <v>10928.962</v>
      </c>
      <c r="N309" s="68">
        <v>99.1781391990353</v>
      </c>
      <c r="O309" s="68">
        <v>54633.205788751497</v>
      </c>
      <c r="P309" s="68">
        <v>9588.6550999999999</v>
      </c>
      <c r="Q309" s="68">
        <v>116270.0819</v>
      </c>
      <c r="R309" s="68">
        <v>99.209959465599198</v>
      </c>
      <c r="S309" s="68">
        <v>11697.022744822099</v>
      </c>
      <c r="T309" s="68">
        <v>933.21</v>
      </c>
      <c r="U309" s="68">
        <v>34170.822</v>
      </c>
      <c r="V309" s="68"/>
      <c r="W309" s="68"/>
      <c r="X309" s="68"/>
      <c r="Y309" s="68">
        <v>97.0577314795067</v>
      </c>
      <c r="Z309" s="68">
        <v>96.821798839484003</v>
      </c>
      <c r="AA309" s="68">
        <v>2.23095537327726</v>
      </c>
      <c r="AB309" s="68">
        <v>99.8800581461864</v>
      </c>
      <c r="AC309" s="68">
        <v>720</v>
      </c>
    </row>
    <row r="310" spans="1:29" x14ac:dyDescent="0.25">
      <c r="A310" s="70" t="s">
        <v>734</v>
      </c>
      <c r="B310" s="68">
        <v>98.913608640665004</v>
      </c>
      <c r="C310" s="68">
        <v>1.3476566630747799</v>
      </c>
      <c r="D310" s="68">
        <v>98.913608640665004</v>
      </c>
      <c r="E310" s="68">
        <v>1.3476566630747799</v>
      </c>
      <c r="F310" s="68">
        <v>99.564299374328598</v>
      </c>
      <c r="G310" s="68">
        <v>0.74731785138209195</v>
      </c>
      <c r="H310" s="68">
        <v>7897.527</v>
      </c>
      <c r="I310" s="68">
        <v>62015.504000000001</v>
      </c>
      <c r="J310" s="68">
        <v>96.412761732763997</v>
      </c>
      <c r="K310" s="68">
        <v>1.3785376115727199</v>
      </c>
      <c r="L310" s="68">
        <v>1327.1233</v>
      </c>
      <c r="M310" s="68">
        <v>10928.962</v>
      </c>
      <c r="N310" s="68">
        <v>99.1781391990353</v>
      </c>
      <c r="O310" s="68">
        <v>54633.205788751497</v>
      </c>
      <c r="P310" s="68">
        <v>9588.6550999999999</v>
      </c>
      <c r="Q310" s="68">
        <v>116270.0819</v>
      </c>
      <c r="R310" s="68">
        <v>99.209959465599198</v>
      </c>
      <c r="S310" s="68">
        <v>11697.022744822099</v>
      </c>
      <c r="T310" s="68">
        <v>933.21</v>
      </c>
      <c r="U310" s="68">
        <v>34170.822</v>
      </c>
      <c r="V310" s="68"/>
      <c r="W310" s="68"/>
      <c r="X310" s="68"/>
      <c r="Y310" s="68">
        <v>97.0577314795067</v>
      </c>
      <c r="Z310" s="68">
        <v>96.821798839484003</v>
      </c>
      <c r="AA310" s="68">
        <v>2.23095537327726</v>
      </c>
      <c r="AB310" s="68">
        <v>99.8800581461864</v>
      </c>
      <c r="AC310" s="68">
        <v>720</v>
      </c>
    </row>
    <row r="311" spans="1:29" x14ac:dyDescent="0.25">
      <c r="A311" s="70" t="s">
        <v>224</v>
      </c>
      <c r="B311" s="68">
        <v>99.836601307189497</v>
      </c>
      <c r="C311" s="68">
        <v>1.30729861111111</v>
      </c>
      <c r="D311" s="68">
        <v>99.836601307189497</v>
      </c>
      <c r="E311" s="68">
        <v>1.30729861111111</v>
      </c>
      <c r="F311" s="68">
        <v>99.658703071672406</v>
      </c>
      <c r="G311" s="68">
        <v>0.97583647969653398</v>
      </c>
      <c r="H311" s="68">
        <v>6695</v>
      </c>
      <c r="I311" s="68">
        <v>45198</v>
      </c>
      <c r="J311" s="68">
        <v>99.1666666666667</v>
      </c>
      <c r="K311" s="68">
        <v>1.0605311880280099</v>
      </c>
      <c r="L311" s="68">
        <v>3056</v>
      </c>
      <c r="M311" s="68">
        <v>10360</v>
      </c>
      <c r="N311" s="68">
        <v>99.322033898305094</v>
      </c>
      <c r="O311" s="68">
        <v>32822.1836666667</v>
      </c>
      <c r="P311" s="68">
        <v>8470</v>
      </c>
      <c r="Q311" s="68">
        <v>76575</v>
      </c>
      <c r="R311" s="68">
        <v>99.4940978077572</v>
      </c>
      <c r="S311" s="68">
        <v>16384.996012820498</v>
      </c>
      <c r="T311" s="68">
        <v>3042</v>
      </c>
      <c r="U311" s="68">
        <v>22581</v>
      </c>
      <c r="V311" s="68">
        <v>100</v>
      </c>
      <c r="W311" s="68">
        <v>100</v>
      </c>
      <c r="X311" s="68">
        <v>1.1532309999999999</v>
      </c>
      <c r="Y311" s="68">
        <v>96.735395189003398</v>
      </c>
      <c r="Z311" s="68">
        <v>100.790408525755</v>
      </c>
      <c r="AA311" s="68">
        <v>2.1541153333333298</v>
      </c>
      <c r="AB311" s="68">
        <v>100</v>
      </c>
      <c r="AC311" s="68">
        <v>720</v>
      </c>
    </row>
    <row r="312" spans="1:29" x14ac:dyDescent="0.25">
      <c r="A312" s="70" t="s">
        <v>570</v>
      </c>
      <c r="B312" s="68">
        <v>99.836601307189497</v>
      </c>
      <c r="C312" s="68">
        <v>1.30729861111111</v>
      </c>
      <c r="D312" s="68">
        <v>99.836601307189497</v>
      </c>
      <c r="E312" s="68">
        <v>1.30729861111111</v>
      </c>
      <c r="F312" s="68">
        <v>99.658703071672406</v>
      </c>
      <c r="G312" s="68">
        <v>0.97583647969653398</v>
      </c>
      <c r="H312" s="68">
        <v>6695</v>
      </c>
      <c r="I312" s="68">
        <v>45198</v>
      </c>
      <c r="J312" s="68">
        <v>99.1666666666667</v>
      </c>
      <c r="K312" s="68">
        <v>1.0605311880280099</v>
      </c>
      <c r="L312" s="68">
        <v>3056</v>
      </c>
      <c r="M312" s="68">
        <v>10360</v>
      </c>
      <c r="N312" s="68">
        <v>99.322033898305094</v>
      </c>
      <c r="O312" s="68">
        <v>32822.1836666667</v>
      </c>
      <c r="P312" s="68">
        <v>8470</v>
      </c>
      <c r="Q312" s="68">
        <v>76575</v>
      </c>
      <c r="R312" s="68">
        <v>99.4940978077572</v>
      </c>
      <c r="S312" s="68">
        <v>16384.996012820498</v>
      </c>
      <c r="T312" s="68">
        <v>3042</v>
      </c>
      <c r="U312" s="68">
        <v>22581</v>
      </c>
      <c r="V312" s="68">
        <v>100</v>
      </c>
      <c r="W312" s="68">
        <v>100</v>
      </c>
      <c r="X312" s="68">
        <v>1.1532309999999999</v>
      </c>
      <c r="Y312" s="68">
        <v>96.735395189003398</v>
      </c>
      <c r="Z312" s="68">
        <v>100.790408525755</v>
      </c>
      <c r="AA312" s="68">
        <v>2.1541153333333298</v>
      </c>
      <c r="AB312" s="68">
        <v>100</v>
      </c>
      <c r="AC312" s="68">
        <v>720</v>
      </c>
    </row>
    <row r="313" spans="1:29" x14ac:dyDescent="0.25">
      <c r="A313" s="70" t="s">
        <v>225</v>
      </c>
      <c r="B313" s="68">
        <v>98.867731937985695</v>
      </c>
      <c r="C313" s="68">
        <v>1.88182625808582</v>
      </c>
      <c r="D313" s="68">
        <v>98.867731937985695</v>
      </c>
      <c r="E313" s="68">
        <v>1.88182625808582</v>
      </c>
      <c r="F313" s="68">
        <v>99.397541988220397</v>
      </c>
      <c r="G313" s="68">
        <v>1.05288132458432</v>
      </c>
      <c r="H313" s="68">
        <v>8142.9378500000003</v>
      </c>
      <c r="I313" s="68">
        <v>37229.978199999998</v>
      </c>
      <c r="J313" s="68">
        <v>98.587375706184105</v>
      </c>
      <c r="K313" s="68">
        <v>1.4874182169744099</v>
      </c>
      <c r="L313" s="68">
        <v>2585.0772499999998</v>
      </c>
      <c r="M313" s="68">
        <v>7370.4132</v>
      </c>
      <c r="N313" s="68">
        <v>99.625138946710393</v>
      </c>
      <c r="O313" s="68">
        <v>35095.999710491</v>
      </c>
      <c r="P313" s="68">
        <v>10255.036700000001</v>
      </c>
      <c r="Q313" s="68">
        <v>64551.641799999998</v>
      </c>
      <c r="R313" s="68">
        <v>99.226451754556194</v>
      </c>
      <c r="S313" s="68">
        <v>12197.325206571</v>
      </c>
      <c r="T313" s="68">
        <v>2684.5637000000002</v>
      </c>
      <c r="U313" s="68">
        <v>23547.245599999998</v>
      </c>
      <c r="V313" s="68"/>
      <c r="W313" s="68"/>
      <c r="X313" s="68"/>
      <c r="Y313" s="68">
        <v>98.834855059421201</v>
      </c>
      <c r="Z313" s="68">
        <v>99.250035152883996</v>
      </c>
      <c r="AA313" s="68">
        <v>2.2380501998478399</v>
      </c>
      <c r="AB313" s="68">
        <v>54.2021297736866</v>
      </c>
      <c r="AC313" s="68">
        <v>555.127667185272</v>
      </c>
    </row>
    <row r="314" spans="1:29" x14ac:dyDescent="0.25">
      <c r="A314" s="70" t="s">
        <v>226</v>
      </c>
      <c r="B314" s="68">
        <v>97.994519561583104</v>
      </c>
      <c r="C314" s="68">
        <v>2.4758246688642598</v>
      </c>
      <c r="D314" s="68">
        <v>97.994519561583104</v>
      </c>
      <c r="E314" s="68">
        <v>2.4758246688642598</v>
      </c>
      <c r="F314" s="68">
        <v>99.192669019133604</v>
      </c>
      <c r="G314" s="68">
        <v>1.9968194166292099</v>
      </c>
      <c r="H314" s="68">
        <v>4823.4620000000004</v>
      </c>
      <c r="I314" s="68">
        <v>19032.704399999999</v>
      </c>
      <c r="J314" s="68">
        <v>97.420239158587194</v>
      </c>
      <c r="K314" s="68">
        <v>3.0879503815670102</v>
      </c>
      <c r="L314" s="68">
        <v>1237.6811</v>
      </c>
      <c r="M314" s="68">
        <v>3325.2975999999999</v>
      </c>
      <c r="N314" s="68">
        <v>99.581416552172101</v>
      </c>
      <c r="O314" s="68">
        <v>14470.008829033</v>
      </c>
      <c r="P314" s="68">
        <v>5962.0662000000002</v>
      </c>
      <c r="Q314" s="68">
        <v>21664.456999999999</v>
      </c>
      <c r="R314" s="68">
        <v>99.185180571332197</v>
      </c>
      <c r="S314" s="68">
        <v>2858.80894418242</v>
      </c>
      <c r="T314" s="68">
        <v>1187.8910000000001</v>
      </c>
      <c r="U314" s="68">
        <v>3820.9090000000001</v>
      </c>
      <c r="V314" s="68"/>
      <c r="W314" s="68"/>
      <c r="X314" s="68"/>
      <c r="Y314" s="68">
        <v>99.581416552172101</v>
      </c>
      <c r="Z314" s="68">
        <v>100.000004917878</v>
      </c>
      <c r="AA314" s="68">
        <v>2.2865901915419502</v>
      </c>
      <c r="AB314" s="68">
        <v>8.8346388476906199</v>
      </c>
      <c r="AC314" s="68">
        <v>391.804699851686</v>
      </c>
    </row>
    <row r="315" spans="1:29" x14ac:dyDescent="0.25">
      <c r="A315" s="70" t="s">
        <v>227</v>
      </c>
      <c r="B315" s="68">
        <v>99.7409443143884</v>
      </c>
      <c r="C315" s="68">
        <v>1.2878278473073901</v>
      </c>
      <c r="D315" s="68">
        <v>99.7409443143884</v>
      </c>
      <c r="E315" s="68">
        <v>1.2878278473073901</v>
      </c>
      <c r="F315" s="68">
        <v>99.602414957307303</v>
      </c>
      <c r="G315" s="68">
        <v>0.71492255520387205</v>
      </c>
      <c r="H315" s="68">
        <v>11462.413699999999</v>
      </c>
      <c r="I315" s="68">
        <v>55427.252</v>
      </c>
      <c r="J315" s="68">
        <v>99.754512253780902</v>
      </c>
      <c r="K315" s="68">
        <v>0.97965036777583303</v>
      </c>
      <c r="L315" s="68">
        <v>3932.4733999999999</v>
      </c>
      <c r="M315" s="68">
        <v>11415.5288</v>
      </c>
      <c r="N315" s="68">
        <v>99.6688613412487</v>
      </c>
      <c r="O315" s="68">
        <v>55721.990591948997</v>
      </c>
      <c r="P315" s="68">
        <v>14548.0072</v>
      </c>
      <c r="Q315" s="68">
        <v>107438.8266</v>
      </c>
      <c r="R315" s="68">
        <v>99.267722937780107</v>
      </c>
      <c r="S315" s="68">
        <v>21535.841468959599</v>
      </c>
      <c r="T315" s="68">
        <v>4181.2363999999998</v>
      </c>
      <c r="U315" s="68">
        <v>43273.582199999997</v>
      </c>
      <c r="V315" s="68"/>
      <c r="W315" s="68"/>
      <c r="X315" s="68"/>
      <c r="Y315" s="68">
        <v>98.088293566670302</v>
      </c>
      <c r="Z315" s="68">
        <v>98.500065387890402</v>
      </c>
      <c r="AA315" s="68">
        <v>2.1895102081537399</v>
      </c>
      <c r="AB315" s="68">
        <v>99.569620699682503</v>
      </c>
      <c r="AC315" s="68">
        <v>718.45063451885699</v>
      </c>
    </row>
    <row r="316" spans="1:29" x14ac:dyDescent="0.25">
      <c r="A316" s="70" t="s">
        <v>383</v>
      </c>
      <c r="B316" s="68">
        <v>99.836601307189497</v>
      </c>
      <c r="C316" s="68">
        <v>1.30729861111111</v>
      </c>
      <c r="D316" s="68">
        <v>99.836601307189497</v>
      </c>
      <c r="E316" s="68">
        <v>1.30729861111111</v>
      </c>
      <c r="F316" s="68">
        <v>99.658703071672406</v>
      </c>
      <c r="G316" s="68">
        <v>0.97583647969653398</v>
      </c>
      <c r="H316" s="68">
        <v>6695</v>
      </c>
      <c r="I316" s="68">
        <v>45198</v>
      </c>
      <c r="J316" s="68">
        <v>99.1666666666667</v>
      </c>
      <c r="K316" s="68">
        <v>1.0605311880280099</v>
      </c>
      <c r="L316" s="68">
        <v>3056</v>
      </c>
      <c r="M316" s="68">
        <v>10360</v>
      </c>
      <c r="N316" s="68">
        <v>99.322033898305094</v>
      </c>
      <c r="O316" s="68">
        <v>32822.1836666667</v>
      </c>
      <c r="P316" s="68">
        <v>8470</v>
      </c>
      <c r="Q316" s="68">
        <v>76575</v>
      </c>
      <c r="R316" s="68">
        <v>99.4940978077572</v>
      </c>
      <c r="S316" s="68">
        <v>16384.996012820498</v>
      </c>
      <c r="T316" s="68">
        <v>3042</v>
      </c>
      <c r="U316" s="68">
        <v>22581</v>
      </c>
      <c r="V316" s="68">
        <v>100</v>
      </c>
      <c r="W316" s="68">
        <v>100</v>
      </c>
      <c r="X316" s="68">
        <v>1.1532309999999999</v>
      </c>
      <c r="Y316" s="68">
        <v>96.735395189003398</v>
      </c>
      <c r="Z316" s="68">
        <v>100.790408525755</v>
      </c>
      <c r="AA316" s="68">
        <v>2.1541153333333298</v>
      </c>
      <c r="AB316" s="68">
        <v>100</v>
      </c>
      <c r="AC316" s="68">
        <v>720</v>
      </c>
    </row>
    <row r="317" spans="1:29" x14ac:dyDescent="0.25">
      <c r="A317" s="70" t="s">
        <v>571</v>
      </c>
      <c r="B317" s="68">
        <v>99.836601307189497</v>
      </c>
      <c r="C317" s="68">
        <v>1.30729861111111</v>
      </c>
      <c r="D317" s="68">
        <v>99.836601307189497</v>
      </c>
      <c r="E317" s="68">
        <v>1.30729861111111</v>
      </c>
      <c r="F317" s="68">
        <v>99.658703071672406</v>
      </c>
      <c r="G317" s="68">
        <v>0.97583647969653398</v>
      </c>
      <c r="H317" s="68">
        <v>6695</v>
      </c>
      <c r="I317" s="68">
        <v>45198</v>
      </c>
      <c r="J317" s="68">
        <v>99.1666666666667</v>
      </c>
      <c r="K317" s="68">
        <v>1.0605311880280099</v>
      </c>
      <c r="L317" s="68">
        <v>3056</v>
      </c>
      <c r="M317" s="68">
        <v>10360</v>
      </c>
      <c r="N317" s="68">
        <v>99.322033898305094</v>
      </c>
      <c r="O317" s="68">
        <v>32822.1836666667</v>
      </c>
      <c r="P317" s="68">
        <v>8470</v>
      </c>
      <c r="Q317" s="68">
        <v>76575</v>
      </c>
      <c r="R317" s="68">
        <v>99.4940978077572</v>
      </c>
      <c r="S317" s="68">
        <v>16384.996012820498</v>
      </c>
      <c r="T317" s="68">
        <v>3042</v>
      </c>
      <c r="U317" s="68">
        <v>22581</v>
      </c>
      <c r="V317" s="68">
        <v>100</v>
      </c>
      <c r="W317" s="68">
        <v>100</v>
      </c>
      <c r="X317" s="68">
        <v>1.1532309999999999</v>
      </c>
      <c r="Y317" s="68">
        <v>96.735395189003398</v>
      </c>
      <c r="Z317" s="68">
        <v>100.790408525755</v>
      </c>
      <c r="AA317" s="68">
        <v>2.1541153333333298</v>
      </c>
      <c r="AB317" s="68">
        <v>100</v>
      </c>
      <c r="AC317" s="68">
        <v>720</v>
      </c>
    </row>
    <row r="318" spans="1:29" x14ac:dyDescent="0.25">
      <c r="A318" s="70" t="s">
        <v>228</v>
      </c>
      <c r="B318" s="68">
        <v>99.383184866930094</v>
      </c>
      <c r="C318" s="68">
        <v>1.81294210019792</v>
      </c>
      <c r="D318" s="68">
        <v>99.383184866930094</v>
      </c>
      <c r="E318" s="68">
        <v>1.81294210019792</v>
      </c>
      <c r="F318" s="68">
        <v>99.637178836241304</v>
      </c>
      <c r="G318" s="68">
        <v>1.20028615091332</v>
      </c>
      <c r="H318" s="68">
        <v>6770.0998</v>
      </c>
      <c r="I318" s="68">
        <v>34299.7114</v>
      </c>
      <c r="J318" s="68">
        <v>98.825269158210304</v>
      </c>
      <c r="K318" s="68">
        <v>1.5595025718471101</v>
      </c>
      <c r="L318" s="68">
        <v>2414.6563000000001</v>
      </c>
      <c r="M318" s="68">
        <v>7164.5739999999996</v>
      </c>
      <c r="N318" s="68">
        <v>99.605893910521004</v>
      </c>
      <c r="O318" s="68">
        <v>28524.774220232899</v>
      </c>
      <c r="P318" s="68">
        <v>8082.1813000000002</v>
      </c>
      <c r="Q318" s="68">
        <v>55885.779399999999</v>
      </c>
      <c r="R318" s="68">
        <v>99.196579880117895</v>
      </c>
      <c r="S318" s="68">
        <v>10596.4923119133</v>
      </c>
      <c r="T318" s="68">
        <v>2764.5328500000001</v>
      </c>
      <c r="U318" s="68">
        <v>21275.340749999999</v>
      </c>
      <c r="V318" s="68">
        <v>100</v>
      </c>
      <c r="W318" s="68">
        <v>100</v>
      </c>
      <c r="X318" s="68">
        <v>1.3249169999999999</v>
      </c>
      <c r="Y318" s="68">
        <v>98.204521887294902</v>
      </c>
      <c r="Z318" s="68">
        <v>98.760666175907105</v>
      </c>
      <c r="AA318" s="68">
        <v>2.4327877096305999</v>
      </c>
      <c r="AB318" s="68">
        <v>80.893304796090007</v>
      </c>
      <c r="AC318" s="68">
        <v>651.34507040906794</v>
      </c>
    </row>
    <row r="319" spans="1:29" x14ac:dyDescent="0.25">
      <c r="A319" s="70" t="s">
        <v>229</v>
      </c>
      <c r="B319" s="68">
        <v>98.909107288445995</v>
      </c>
      <c r="C319" s="68">
        <v>2.3184601090315899</v>
      </c>
      <c r="D319" s="68">
        <v>98.909107288445995</v>
      </c>
      <c r="E319" s="68">
        <v>2.3184601090315899</v>
      </c>
      <c r="F319" s="68">
        <v>99.452611574189802</v>
      </c>
      <c r="G319" s="68">
        <v>2.2515735653447702</v>
      </c>
      <c r="H319" s="68">
        <v>3986.0596</v>
      </c>
      <c r="I319" s="68">
        <v>17546.434399999998</v>
      </c>
      <c r="J319" s="68">
        <v>97.978693911944802</v>
      </c>
      <c r="K319" s="68">
        <v>3.3052142358372198</v>
      </c>
      <c r="L319" s="68">
        <v>1104.9176</v>
      </c>
      <c r="M319" s="68">
        <v>3325.0210000000002</v>
      </c>
      <c r="N319" s="68">
        <v>99.558387220048601</v>
      </c>
      <c r="O319" s="68">
        <v>12690.573846275</v>
      </c>
      <c r="P319" s="68">
        <v>4528.4492</v>
      </c>
      <c r="Q319" s="68">
        <v>20514.170399999999</v>
      </c>
      <c r="R319" s="68">
        <v>98.763428680699107</v>
      </c>
      <c r="S319" s="68">
        <v>2719.7629171332401</v>
      </c>
      <c r="T319" s="68">
        <v>1027.8900000000001</v>
      </c>
      <c r="U319" s="68">
        <v>3820.7512000000002</v>
      </c>
      <c r="V319" s="68">
        <v>100</v>
      </c>
      <c r="W319" s="68">
        <v>100</v>
      </c>
      <c r="X319" s="68">
        <v>1.5439229999999999</v>
      </c>
      <c r="Y319" s="68">
        <v>97.509156011339797</v>
      </c>
      <c r="Z319" s="68">
        <v>98.730389928179306</v>
      </c>
      <c r="AA319" s="68">
        <v>2.7298492135716801</v>
      </c>
      <c r="AB319" s="68">
        <v>61.78660959218</v>
      </c>
      <c r="AC319" s="68">
        <v>582.690140818136</v>
      </c>
    </row>
    <row r="320" spans="1:29" x14ac:dyDescent="0.25">
      <c r="A320" s="70" t="s">
        <v>230</v>
      </c>
      <c r="B320" s="68">
        <v>99.857262445414307</v>
      </c>
      <c r="C320" s="68">
        <v>1.3074240913642401</v>
      </c>
      <c r="D320" s="68">
        <v>99.857262445414307</v>
      </c>
      <c r="E320" s="68">
        <v>1.3074240913642401</v>
      </c>
      <c r="F320" s="68">
        <v>99.821746098292806</v>
      </c>
      <c r="G320" s="68">
        <v>0.81823987893942496</v>
      </c>
      <c r="H320" s="68">
        <v>9554.14</v>
      </c>
      <c r="I320" s="68">
        <v>51052.988400000002</v>
      </c>
      <c r="J320" s="68">
        <v>99.671844404475806</v>
      </c>
      <c r="K320" s="68">
        <v>1.02050400332937</v>
      </c>
      <c r="L320" s="68">
        <v>3724.395</v>
      </c>
      <c r="M320" s="68">
        <v>11004.127</v>
      </c>
      <c r="N320" s="68">
        <v>99.653400600993294</v>
      </c>
      <c r="O320" s="68">
        <v>44358.974594190797</v>
      </c>
      <c r="P320" s="68">
        <v>11635.913399999999</v>
      </c>
      <c r="Q320" s="68">
        <v>91257.388399999996</v>
      </c>
      <c r="R320" s="68">
        <v>99.629731079536796</v>
      </c>
      <c r="S320" s="68">
        <v>18473.221706693301</v>
      </c>
      <c r="T320" s="68">
        <v>4501.1756999999998</v>
      </c>
      <c r="U320" s="68">
        <v>38729.9303</v>
      </c>
      <c r="V320" s="68">
        <v>100</v>
      </c>
      <c r="W320" s="68">
        <v>100</v>
      </c>
      <c r="X320" s="68">
        <v>1.1059110000000001</v>
      </c>
      <c r="Y320" s="68">
        <v>98.899887763250106</v>
      </c>
      <c r="Z320" s="68">
        <v>98.790942423635002</v>
      </c>
      <c r="AA320" s="68">
        <v>2.1357262056895201</v>
      </c>
      <c r="AB320" s="68">
        <v>100</v>
      </c>
      <c r="AC320" s="68">
        <v>720</v>
      </c>
    </row>
    <row r="321" spans="1:29" x14ac:dyDescent="0.25">
      <c r="A321" s="70" t="s">
        <v>661</v>
      </c>
      <c r="B321" s="68">
        <v>94.607379375591293</v>
      </c>
      <c r="C321" s="68">
        <v>3.2954393765505601</v>
      </c>
      <c r="D321" s="68">
        <v>94.607379375591293</v>
      </c>
      <c r="E321" s="68">
        <v>3.2954393765505601</v>
      </c>
      <c r="F321" s="68">
        <v>97.662061636556899</v>
      </c>
      <c r="G321" s="68">
        <v>3.19833799672422</v>
      </c>
      <c r="H321" s="68">
        <v>1770.9560550000001</v>
      </c>
      <c r="I321" s="68">
        <v>20460.359375</v>
      </c>
      <c r="J321" s="68">
        <v>85.729729729729698</v>
      </c>
      <c r="K321" s="68">
        <v>3.1407927450536701</v>
      </c>
      <c r="L321" s="68">
        <v>507.26001000000002</v>
      </c>
      <c r="M321" s="68">
        <v>9019.1660159999992</v>
      </c>
      <c r="N321" s="68">
        <v>98.108448928121106</v>
      </c>
      <c r="O321" s="68">
        <v>9068.2540364583292</v>
      </c>
      <c r="P321" s="68">
        <v>2092.8510740000002</v>
      </c>
      <c r="Q321" s="68">
        <v>18621.380859000001</v>
      </c>
      <c r="R321" s="68">
        <v>91.486658195679794</v>
      </c>
      <c r="S321" s="68">
        <v>2851.68641764323</v>
      </c>
      <c r="T321" s="68">
        <v>65.334000000000003</v>
      </c>
      <c r="U321" s="68">
        <v>9644.2402340000008</v>
      </c>
      <c r="V321" s="68"/>
      <c r="W321" s="68"/>
      <c r="X321" s="68"/>
      <c r="Y321" s="68">
        <v>83.652618135376798</v>
      </c>
      <c r="Z321" s="68">
        <v>87.993412488549595</v>
      </c>
      <c r="AA321" s="68">
        <v>3.7211074000000002</v>
      </c>
      <c r="AB321" s="68">
        <v>96.183206106870202</v>
      </c>
      <c r="AC321" s="68">
        <v>694.28571428571399</v>
      </c>
    </row>
    <row r="322" spans="1:29" x14ac:dyDescent="0.25">
      <c r="A322" s="70" t="s">
        <v>662</v>
      </c>
      <c r="B322" s="68">
        <v>94.607379375591293</v>
      </c>
      <c r="C322" s="68">
        <v>3.2954393765505601</v>
      </c>
      <c r="D322" s="68">
        <v>94.607379375591293</v>
      </c>
      <c r="E322" s="68">
        <v>3.2954393765505601</v>
      </c>
      <c r="F322" s="68">
        <v>97.662061636556899</v>
      </c>
      <c r="G322" s="68">
        <v>3.19833799672422</v>
      </c>
      <c r="H322" s="68">
        <v>1770.9560550000001</v>
      </c>
      <c r="I322" s="68">
        <v>20460.359375</v>
      </c>
      <c r="J322" s="68">
        <v>85.729729729729698</v>
      </c>
      <c r="K322" s="68">
        <v>3.1407927450536701</v>
      </c>
      <c r="L322" s="68">
        <v>507.26001000000002</v>
      </c>
      <c r="M322" s="68">
        <v>9019.1660159999992</v>
      </c>
      <c r="N322" s="68">
        <v>98.108448928121106</v>
      </c>
      <c r="O322" s="68">
        <v>9068.2540364583292</v>
      </c>
      <c r="P322" s="68">
        <v>2092.8510740000002</v>
      </c>
      <c r="Q322" s="68">
        <v>18621.380859000001</v>
      </c>
      <c r="R322" s="68">
        <v>91.486658195679794</v>
      </c>
      <c r="S322" s="68">
        <v>2851.68641764323</v>
      </c>
      <c r="T322" s="68">
        <v>65.334000000000003</v>
      </c>
      <c r="U322" s="68">
        <v>9644.2402340000008</v>
      </c>
      <c r="V322" s="68"/>
      <c r="W322" s="68"/>
      <c r="X322" s="68"/>
      <c r="Y322" s="68">
        <v>83.652618135376798</v>
      </c>
      <c r="Z322" s="68">
        <v>87.993412488549595</v>
      </c>
      <c r="AA322" s="68">
        <v>3.7211074000000002</v>
      </c>
      <c r="AB322" s="68">
        <v>96.183206106870202</v>
      </c>
      <c r="AC322" s="68">
        <v>694.28571428571399</v>
      </c>
    </row>
    <row r="323" spans="1:29" x14ac:dyDescent="0.25">
      <c r="A323" s="70" t="s">
        <v>663</v>
      </c>
      <c r="B323" s="68">
        <v>98.938388898092398</v>
      </c>
      <c r="C323" s="68">
        <v>2.27276125337601</v>
      </c>
      <c r="D323" s="68">
        <v>98.938388898092398</v>
      </c>
      <c r="E323" s="68">
        <v>2.27276125337601</v>
      </c>
      <c r="F323" s="68">
        <v>99.988971545580796</v>
      </c>
      <c r="G323" s="68">
        <v>1.5373977546409101</v>
      </c>
      <c r="H323" s="68">
        <v>4907.330078</v>
      </c>
      <c r="I323" s="68">
        <v>28313.5947265</v>
      </c>
      <c r="J323" s="68">
        <v>97.085342587639701</v>
      </c>
      <c r="K323" s="68">
        <v>1.8326371158589301</v>
      </c>
      <c r="L323" s="68">
        <v>740.71298200000001</v>
      </c>
      <c r="M323" s="68">
        <v>6736.2260740000002</v>
      </c>
      <c r="N323" s="68">
        <v>99.859579368720304</v>
      </c>
      <c r="O323" s="68">
        <v>17736.8002502653</v>
      </c>
      <c r="P323" s="68">
        <v>5746.1442875000002</v>
      </c>
      <c r="Q323" s="68">
        <v>34314.675293</v>
      </c>
      <c r="R323" s="68">
        <v>98.904124074806106</v>
      </c>
      <c r="S323" s="68">
        <v>10125.077509802501</v>
      </c>
      <c r="T323" s="68">
        <v>843.72699</v>
      </c>
      <c r="U323" s="68">
        <v>19926.8376465</v>
      </c>
      <c r="V323" s="68"/>
      <c r="W323" s="68"/>
      <c r="X323" s="68"/>
      <c r="Y323" s="68">
        <v>96.665038684873096</v>
      </c>
      <c r="Z323" s="68">
        <v>69.903050393609405</v>
      </c>
      <c r="AA323" s="68">
        <v>3.1416058702383101</v>
      </c>
      <c r="AB323" s="68">
        <v>100</v>
      </c>
      <c r="AC323" s="68">
        <v>720</v>
      </c>
    </row>
    <row r="324" spans="1:29" x14ac:dyDescent="0.25">
      <c r="A324" s="70" t="s">
        <v>664</v>
      </c>
      <c r="B324" s="68">
        <v>97.958947194757002</v>
      </c>
      <c r="C324" s="68">
        <v>3.24442182466343</v>
      </c>
      <c r="D324" s="68">
        <v>97.958947194757002</v>
      </c>
      <c r="E324" s="68">
        <v>3.24442182466343</v>
      </c>
      <c r="F324" s="68">
        <v>100</v>
      </c>
      <c r="G324" s="68">
        <v>3.3792637446481399</v>
      </c>
      <c r="H324" s="68">
        <v>2692.998047</v>
      </c>
      <c r="I324" s="68">
        <v>12182.740234000001</v>
      </c>
      <c r="J324" s="68">
        <v>95.959766373751293</v>
      </c>
      <c r="K324" s="68">
        <v>6.16759184270669</v>
      </c>
      <c r="L324" s="68">
        <v>538.14099099999999</v>
      </c>
      <c r="M324" s="68">
        <v>2252.251953</v>
      </c>
      <c r="N324" s="68">
        <v>99.719158737440594</v>
      </c>
      <c r="O324" s="68">
        <v>8289.0872026987399</v>
      </c>
      <c r="P324" s="68">
        <v>2601.9838869999999</v>
      </c>
      <c r="Q324" s="68">
        <v>14938.459961</v>
      </c>
      <c r="R324" s="68">
        <v>98.835015868846995</v>
      </c>
      <c r="S324" s="68">
        <v>1371.44314626907</v>
      </c>
      <c r="T324" s="68">
        <v>535.76000999999997</v>
      </c>
      <c r="U324" s="68">
        <v>2288.2338869999999</v>
      </c>
      <c r="V324" s="68"/>
      <c r="W324" s="68"/>
      <c r="X324" s="68"/>
      <c r="Y324" s="68">
        <v>94.052474262970193</v>
      </c>
      <c r="Z324" s="68">
        <v>40.015444684238801</v>
      </c>
      <c r="AA324" s="68">
        <v>4.6387217179467299</v>
      </c>
      <c r="AB324" s="68">
        <v>100</v>
      </c>
      <c r="AC324" s="68">
        <v>720</v>
      </c>
    </row>
    <row r="325" spans="1:29" x14ac:dyDescent="0.25">
      <c r="A325" s="70" t="s">
        <v>665</v>
      </c>
      <c r="B325" s="68">
        <v>99.917830601427795</v>
      </c>
      <c r="C325" s="68">
        <v>1.30110068208859</v>
      </c>
      <c r="D325" s="68">
        <v>99.917830601427795</v>
      </c>
      <c r="E325" s="68">
        <v>1.30110068208859</v>
      </c>
      <c r="F325" s="68">
        <v>99.977943091161606</v>
      </c>
      <c r="G325" s="68">
        <v>0.99504757732368798</v>
      </c>
      <c r="H325" s="68">
        <v>7121.6621089999999</v>
      </c>
      <c r="I325" s="68">
        <v>44444.449219000002</v>
      </c>
      <c r="J325" s="68">
        <v>98.210918801527995</v>
      </c>
      <c r="K325" s="68">
        <v>1.07621115046316</v>
      </c>
      <c r="L325" s="68">
        <v>943.28497300000004</v>
      </c>
      <c r="M325" s="68">
        <v>11220.200194999999</v>
      </c>
      <c r="N325" s="68">
        <v>100</v>
      </c>
      <c r="O325" s="68">
        <v>27184.513297831902</v>
      </c>
      <c r="P325" s="68">
        <v>8890.3046880000002</v>
      </c>
      <c r="Q325" s="68">
        <v>53690.890625</v>
      </c>
      <c r="R325" s="68">
        <v>98.973232280765103</v>
      </c>
      <c r="S325" s="68">
        <v>18878.711873335898</v>
      </c>
      <c r="T325" s="68">
        <v>1151.69397</v>
      </c>
      <c r="U325" s="68">
        <v>37565.441405999998</v>
      </c>
      <c r="V325" s="68"/>
      <c r="W325" s="68"/>
      <c r="X325" s="68"/>
      <c r="Y325" s="68">
        <v>99.277603106775999</v>
      </c>
      <c r="Z325" s="68">
        <v>99.790656102979995</v>
      </c>
      <c r="AA325" s="68">
        <v>1.64449002252988</v>
      </c>
      <c r="AB325" s="68">
        <v>100</v>
      </c>
      <c r="AC325" s="68">
        <v>720</v>
      </c>
    </row>
    <row r="326" spans="1:29" x14ac:dyDescent="0.25">
      <c r="A326" s="70" t="s">
        <v>666</v>
      </c>
      <c r="B326" s="68">
        <v>94.607379375591293</v>
      </c>
      <c r="C326" s="68">
        <v>3.2954393765505601</v>
      </c>
      <c r="D326" s="68">
        <v>94.607379375591293</v>
      </c>
      <c r="E326" s="68">
        <v>3.2954393765505601</v>
      </c>
      <c r="F326" s="68">
        <v>97.662061636556899</v>
      </c>
      <c r="G326" s="68">
        <v>3.19833799672422</v>
      </c>
      <c r="H326" s="68">
        <v>1770.9560550000001</v>
      </c>
      <c r="I326" s="68">
        <v>20460.359375</v>
      </c>
      <c r="J326" s="68">
        <v>85.729729729729698</v>
      </c>
      <c r="K326" s="68">
        <v>3.1407927450536701</v>
      </c>
      <c r="L326" s="68">
        <v>507.26001000000002</v>
      </c>
      <c r="M326" s="68">
        <v>9019.1660159999992</v>
      </c>
      <c r="N326" s="68">
        <v>98.108448928121106</v>
      </c>
      <c r="O326" s="68">
        <v>9068.2540364583292</v>
      </c>
      <c r="P326" s="68">
        <v>2092.8510740000002</v>
      </c>
      <c r="Q326" s="68">
        <v>18621.380859000001</v>
      </c>
      <c r="R326" s="68">
        <v>91.486658195679794</v>
      </c>
      <c r="S326" s="68">
        <v>2851.68641764323</v>
      </c>
      <c r="T326" s="68">
        <v>65.334000000000003</v>
      </c>
      <c r="U326" s="68">
        <v>9644.2402340000008</v>
      </c>
      <c r="V326" s="68"/>
      <c r="W326" s="68"/>
      <c r="X326" s="68"/>
      <c r="Y326" s="68">
        <v>83.652618135376798</v>
      </c>
      <c r="Z326" s="68">
        <v>87.993412488549595</v>
      </c>
      <c r="AA326" s="68">
        <v>3.7211074000000002</v>
      </c>
      <c r="AB326" s="68">
        <v>96.183206106870202</v>
      </c>
      <c r="AC326" s="68">
        <v>694.28571428571399</v>
      </c>
    </row>
    <row r="327" spans="1:29" x14ac:dyDescent="0.25">
      <c r="A327" s="70" t="s">
        <v>667</v>
      </c>
      <c r="B327" s="68">
        <v>94.607379375591293</v>
      </c>
      <c r="C327" s="68">
        <v>3.2954393765505601</v>
      </c>
      <c r="D327" s="68">
        <v>94.607379375591293</v>
      </c>
      <c r="E327" s="68">
        <v>3.2954393765505601</v>
      </c>
      <c r="F327" s="68">
        <v>97.662061636556899</v>
      </c>
      <c r="G327" s="68">
        <v>3.19833799672422</v>
      </c>
      <c r="H327" s="68">
        <v>1770.9560550000001</v>
      </c>
      <c r="I327" s="68">
        <v>20460.359375</v>
      </c>
      <c r="J327" s="68">
        <v>85.729729729729698</v>
      </c>
      <c r="K327" s="68">
        <v>3.1407927450536701</v>
      </c>
      <c r="L327" s="68">
        <v>507.26001000000002</v>
      </c>
      <c r="M327" s="68">
        <v>9019.1660159999992</v>
      </c>
      <c r="N327" s="68">
        <v>98.108448928121106</v>
      </c>
      <c r="O327" s="68">
        <v>9068.2540364583292</v>
      </c>
      <c r="P327" s="68">
        <v>2092.8510740000002</v>
      </c>
      <c r="Q327" s="68">
        <v>18621.380859000001</v>
      </c>
      <c r="R327" s="68">
        <v>91.486658195679794</v>
      </c>
      <c r="S327" s="68">
        <v>2851.68641764323</v>
      </c>
      <c r="T327" s="68">
        <v>65.334000000000003</v>
      </c>
      <c r="U327" s="68">
        <v>9644.2402340000008</v>
      </c>
      <c r="V327" s="68"/>
      <c r="W327" s="68"/>
      <c r="X327" s="68"/>
      <c r="Y327" s="68">
        <v>83.652618135376798</v>
      </c>
      <c r="Z327" s="68">
        <v>87.993412488549595</v>
      </c>
      <c r="AA327" s="68">
        <v>3.7211074000000002</v>
      </c>
      <c r="AB327" s="68">
        <v>96.183206106870202</v>
      </c>
      <c r="AC327" s="68">
        <v>694.28571428571399</v>
      </c>
    </row>
    <row r="328" spans="1:29" x14ac:dyDescent="0.25">
      <c r="A328" s="70" t="s">
        <v>668</v>
      </c>
      <c r="B328" s="68">
        <v>98.878745149673307</v>
      </c>
      <c r="C328" s="68">
        <v>2.4038661495506801</v>
      </c>
      <c r="D328" s="68">
        <v>98.878745149673307</v>
      </c>
      <c r="E328" s="68">
        <v>2.4038661495506801</v>
      </c>
      <c r="F328" s="68">
        <v>99.089653064529401</v>
      </c>
      <c r="G328" s="68">
        <v>1.66921158746773</v>
      </c>
      <c r="H328" s="68">
        <v>3885.1409910000002</v>
      </c>
      <c r="I328" s="68">
        <v>20842.805176000002</v>
      </c>
      <c r="J328" s="68">
        <v>93.510927668239603</v>
      </c>
      <c r="K328" s="68">
        <v>2.40588608487431</v>
      </c>
      <c r="L328" s="68">
        <v>651.32000700000003</v>
      </c>
      <c r="M328" s="68">
        <v>5999.1313479999999</v>
      </c>
      <c r="N328" s="68">
        <v>99.722359699742697</v>
      </c>
      <c r="O328" s="68">
        <v>18678.091635448502</v>
      </c>
      <c r="P328" s="68">
        <v>3987.4560544999999</v>
      </c>
      <c r="Q328" s="68">
        <v>25996.224120999999</v>
      </c>
      <c r="R328" s="68">
        <v>99.251382120304896</v>
      </c>
      <c r="S328" s="68">
        <v>6547.2823312108303</v>
      </c>
      <c r="T328" s="68">
        <v>532.0224915</v>
      </c>
      <c r="U328" s="68">
        <v>9867.1154790000001</v>
      </c>
      <c r="V328" s="68"/>
      <c r="W328" s="68"/>
      <c r="X328" s="68"/>
      <c r="Y328" s="68">
        <v>95.908453225519494</v>
      </c>
      <c r="Z328" s="68">
        <v>75.696220857101096</v>
      </c>
      <c r="AA328" s="68">
        <v>2.9046015822723601</v>
      </c>
      <c r="AB328" s="68">
        <v>91.018048019747795</v>
      </c>
      <c r="AC328" s="68">
        <v>678.57803020352799</v>
      </c>
    </row>
    <row r="329" spans="1:29" x14ac:dyDescent="0.25">
      <c r="A329" s="70" t="s">
        <v>669</v>
      </c>
      <c r="B329" s="68">
        <v>98.106554280634796</v>
      </c>
      <c r="C329" s="68">
        <v>3.0918824102736702</v>
      </c>
      <c r="D329" s="68">
        <v>98.106554280634796</v>
      </c>
      <c r="E329" s="68">
        <v>3.0918824102736702</v>
      </c>
      <c r="F329" s="68">
        <v>98.877398260895305</v>
      </c>
      <c r="G329" s="68">
        <v>3.17347825628709</v>
      </c>
      <c r="H329" s="68">
        <v>3274.2160640000002</v>
      </c>
      <c r="I329" s="68">
        <v>13215.860352</v>
      </c>
      <c r="J329" s="68">
        <v>91.084318217279701</v>
      </c>
      <c r="K329" s="68">
        <v>5.9982024826582903</v>
      </c>
      <c r="L329" s="68">
        <v>380.66198700000001</v>
      </c>
      <c r="M329" s="68">
        <v>2771.0429690000001</v>
      </c>
      <c r="N329" s="68">
        <v>99.444719399485294</v>
      </c>
      <c r="O329" s="68">
        <v>8901.6374473707601</v>
      </c>
      <c r="P329" s="68">
        <v>3096.4741210000002</v>
      </c>
      <c r="Q329" s="68">
        <v>15350.209961</v>
      </c>
      <c r="R329" s="68">
        <v>99.154540142812706</v>
      </c>
      <c r="S329" s="68">
        <v>1291.8564822409901</v>
      </c>
      <c r="T329" s="68">
        <v>319.90100100000001</v>
      </c>
      <c r="U329" s="68">
        <v>1869.5200199999999</v>
      </c>
      <c r="V329" s="68"/>
      <c r="W329" s="68"/>
      <c r="X329" s="68"/>
      <c r="Y329" s="68">
        <v>92.729884039017307</v>
      </c>
      <c r="Z329" s="68">
        <v>46.882863016965302</v>
      </c>
      <c r="AA329" s="68">
        <v>4.1710627031045702</v>
      </c>
      <c r="AB329" s="68">
        <v>81.561485930159293</v>
      </c>
      <c r="AC329" s="68">
        <v>631.57865710811905</v>
      </c>
    </row>
    <row r="330" spans="1:29" x14ac:dyDescent="0.25">
      <c r="A330" s="70" t="s">
        <v>670</v>
      </c>
      <c r="B330" s="68">
        <v>99.650936018711803</v>
      </c>
      <c r="C330" s="68">
        <v>1.7158498888276901</v>
      </c>
      <c r="D330" s="68">
        <v>99.650936018711803</v>
      </c>
      <c r="E330" s="68">
        <v>1.7158498888276901</v>
      </c>
      <c r="F330" s="68">
        <v>99.301907868163596</v>
      </c>
      <c r="G330" s="68">
        <v>1.1324274330436599</v>
      </c>
      <c r="H330" s="68">
        <v>4496.0659180000002</v>
      </c>
      <c r="I330" s="68">
        <v>28469.75</v>
      </c>
      <c r="J330" s="68">
        <v>95.937537119199604</v>
      </c>
      <c r="K330" s="68">
        <v>1.5047144025455099</v>
      </c>
      <c r="L330" s="68">
        <v>921.978027</v>
      </c>
      <c r="M330" s="68">
        <v>9227.2197269999997</v>
      </c>
      <c r="N330" s="68">
        <v>100</v>
      </c>
      <c r="O330" s="68">
        <v>28454.545823526201</v>
      </c>
      <c r="P330" s="68">
        <v>4878.4379879999997</v>
      </c>
      <c r="Q330" s="68">
        <v>36642.238280999998</v>
      </c>
      <c r="R330" s="68">
        <v>99.3482240977971</v>
      </c>
      <c r="S330" s="68">
        <v>11802.7081801807</v>
      </c>
      <c r="T330" s="68">
        <v>744.14398200000005</v>
      </c>
      <c r="U330" s="68">
        <v>17864.710938</v>
      </c>
      <c r="V330" s="68"/>
      <c r="W330" s="68"/>
      <c r="X330" s="68"/>
      <c r="Y330" s="68">
        <v>98.2480915328903</v>
      </c>
      <c r="Z330" s="68">
        <v>96.904768417756898</v>
      </c>
      <c r="AA330" s="68">
        <v>1.9724019731911699</v>
      </c>
      <c r="AB330" s="68">
        <v>97.978706612546702</v>
      </c>
      <c r="AC330" s="68">
        <v>713.17269442647103</v>
      </c>
    </row>
    <row r="331" spans="1:29" x14ac:dyDescent="0.25">
      <c r="A331" s="70" t="s">
        <v>671</v>
      </c>
      <c r="B331" s="68">
        <v>92.292089249492903</v>
      </c>
      <c r="C331" s="68">
        <v>3.5413907836465301</v>
      </c>
      <c r="D331" s="68">
        <v>92.292089249492903</v>
      </c>
      <c r="E331" s="68">
        <v>3.5413907836465301</v>
      </c>
      <c r="F331" s="68">
        <v>95.565410199556496</v>
      </c>
      <c r="G331" s="68">
        <v>2.82977727584792</v>
      </c>
      <c r="H331" s="68">
        <v>1941.905029</v>
      </c>
      <c r="I331" s="68">
        <v>26845.640625</v>
      </c>
      <c r="J331" s="68">
        <v>85.330347144456894</v>
      </c>
      <c r="K331" s="68">
        <v>2.0916135150686799</v>
      </c>
      <c r="L331" s="68">
        <v>724.90002400000003</v>
      </c>
      <c r="M331" s="68">
        <v>8918.6181639999995</v>
      </c>
      <c r="N331" s="68">
        <v>95.9424083769634</v>
      </c>
      <c r="O331" s="68">
        <v>11559.120426432301</v>
      </c>
      <c r="P331" s="68">
        <v>2043.3289789999999</v>
      </c>
      <c r="Q331" s="68">
        <v>34456.609375</v>
      </c>
      <c r="R331" s="68">
        <v>93.005181347150298</v>
      </c>
      <c r="S331" s="68">
        <v>6631.2868082682298</v>
      </c>
      <c r="T331" s="68">
        <v>393.12298600000003</v>
      </c>
      <c r="U331" s="68">
        <v>19628.339843999998</v>
      </c>
      <c r="V331" s="68"/>
      <c r="W331" s="68"/>
      <c r="X331" s="68"/>
      <c r="Y331" s="68">
        <v>75.201072386058996</v>
      </c>
      <c r="Z331" s="68">
        <v>96.306596482471804</v>
      </c>
      <c r="AA331" s="68">
        <v>4.1388912666666702</v>
      </c>
      <c r="AB331" s="68">
        <v>96.791443850267399</v>
      </c>
      <c r="AC331" s="68">
        <v>698.57142857142901</v>
      </c>
    </row>
    <row r="332" spans="1:29" x14ac:dyDescent="0.25">
      <c r="A332" s="70" t="s">
        <v>672</v>
      </c>
      <c r="B332" s="68">
        <v>92.292089249492903</v>
      </c>
      <c r="C332" s="68">
        <v>3.5413907836465301</v>
      </c>
      <c r="D332" s="68">
        <v>92.292089249492903</v>
      </c>
      <c r="E332" s="68">
        <v>3.5413907836465301</v>
      </c>
      <c r="F332" s="68">
        <v>95.565410199556496</v>
      </c>
      <c r="G332" s="68">
        <v>2.82977727584792</v>
      </c>
      <c r="H332" s="68">
        <v>1941.905029</v>
      </c>
      <c r="I332" s="68">
        <v>26845.640625</v>
      </c>
      <c r="J332" s="68">
        <v>85.330347144456894</v>
      </c>
      <c r="K332" s="68">
        <v>2.0916135150686799</v>
      </c>
      <c r="L332" s="68">
        <v>724.90002400000003</v>
      </c>
      <c r="M332" s="68">
        <v>8918.6181639999995</v>
      </c>
      <c r="N332" s="68">
        <v>95.9424083769634</v>
      </c>
      <c r="O332" s="68">
        <v>11559.120426432301</v>
      </c>
      <c r="P332" s="68">
        <v>2043.3289789999999</v>
      </c>
      <c r="Q332" s="68">
        <v>34456.609375</v>
      </c>
      <c r="R332" s="68">
        <v>93.005181347150298</v>
      </c>
      <c r="S332" s="68">
        <v>6631.2868082682298</v>
      </c>
      <c r="T332" s="68">
        <v>393.12298600000003</v>
      </c>
      <c r="U332" s="68">
        <v>19628.339843999998</v>
      </c>
      <c r="V332" s="68"/>
      <c r="W332" s="68"/>
      <c r="X332" s="68"/>
      <c r="Y332" s="68">
        <v>75.201072386058996</v>
      </c>
      <c r="Z332" s="68">
        <v>96.306596482471804</v>
      </c>
      <c r="AA332" s="68">
        <v>4.1388912666666702</v>
      </c>
      <c r="AB332" s="68">
        <v>96.791443850267399</v>
      </c>
      <c r="AC332" s="68">
        <v>698.57142857142901</v>
      </c>
    </row>
    <row r="333" spans="1:29" x14ac:dyDescent="0.25">
      <c r="A333" s="70" t="s">
        <v>673</v>
      </c>
      <c r="B333" s="68">
        <v>98.689127317385896</v>
      </c>
      <c r="C333" s="68">
        <v>2.70022822659906</v>
      </c>
      <c r="D333" s="68">
        <v>98.689127317385896</v>
      </c>
      <c r="E333" s="68">
        <v>2.70022822659906</v>
      </c>
      <c r="F333" s="68">
        <v>98.834807874926895</v>
      </c>
      <c r="G333" s="68">
        <v>2.0727842482567498</v>
      </c>
      <c r="H333" s="68">
        <v>3831.773987</v>
      </c>
      <c r="I333" s="68">
        <v>19386.216797000001</v>
      </c>
      <c r="J333" s="68">
        <v>91.376555431572001</v>
      </c>
      <c r="K333" s="68">
        <v>1.7339090874042</v>
      </c>
      <c r="L333" s="68">
        <v>2860.3680574999998</v>
      </c>
      <c r="M333" s="68">
        <v>6011.4371339999998</v>
      </c>
      <c r="N333" s="68">
        <v>99.532873200628799</v>
      </c>
      <c r="O333" s="68">
        <v>12195.568293809099</v>
      </c>
      <c r="P333" s="68">
        <v>4029.1329955000001</v>
      </c>
      <c r="Q333" s="68">
        <v>22134.300049000001</v>
      </c>
      <c r="R333" s="68">
        <v>97.9317889146824</v>
      </c>
      <c r="S333" s="68">
        <v>11309.002738090299</v>
      </c>
      <c r="T333" s="68">
        <v>3811.1809005</v>
      </c>
      <c r="U333" s="68">
        <v>17669.888061500002</v>
      </c>
      <c r="V333" s="68"/>
      <c r="W333" s="68"/>
      <c r="X333" s="68"/>
      <c r="Y333" s="68">
        <v>90.612757028679994</v>
      </c>
      <c r="Z333" s="68">
        <v>59.974365628932702</v>
      </c>
      <c r="AA333" s="68">
        <v>3.7800979556935101</v>
      </c>
      <c r="AB333" s="68">
        <v>99.981246409909204</v>
      </c>
      <c r="AC333" s="68">
        <v>720</v>
      </c>
    </row>
    <row r="334" spans="1:29" x14ac:dyDescent="0.25">
      <c r="A334" s="70" t="s">
        <v>674</v>
      </c>
      <c r="B334" s="68">
        <v>97.458654254036603</v>
      </c>
      <c r="C334" s="68">
        <v>4.0207324006979697</v>
      </c>
      <c r="D334" s="68">
        <v>97.458654254036603</v>
      </c>
      <c r="E334" s="68">
        <v>4.0207324006979697</v>
      </c>
      <c r="F334" s="68">
        <v>97.686378735409804</v>
      </c>
      <c r="G334" s="68">
        <v>5.8786825062949299</v>
      </c>
      <c r="H334" s="68">
        <v>1663.5479740000001</v>
      </c>
      <c r="I334" s="68">
        <v>6427.423828</v>
      </c>
      <c r="J334" s="68">
        <v>82.920740718703897</v>
      </c>
      <c r="K334" s="68">
        <v>10.052328425414901</v>
      </c>
      <c r="L334" s="68">
        <v>380.28201300000001</v>
      </c>
      <c r="M334" s="68">
        <v>1168.0539550000001</v>
      </c>
      <c r="N334" s="68">
        <v>99.304837916597506</v>
      </c>
      <c r="O334" s="68">
        <v>4356.8235345600697</v>
      </c>
      <c r="P334" s="68">
        <v>1605.119995</v>
      </c>
      <c r="Q334" s="68">
        <v>6750.3500979999999</v>
      </c>
      <c r="R334" s="68">
        <v>96.361655648918997</v>
      </c>
      <c r="S334" s="68">
        <v>770.85098186483799</v>
      </c>
      <c r="T334" s="68">
        <v>209.520004</v>
      </c>
      <c r="U334" s="68">
        <v>1181.6979980000001</v>
      </c>
      <c r="V334" s="68"/>
      <c r="W334" s="68"/>
      <c r="X334" s="68"/>
      <c r="Y334" s="68">
        <v>82.359085577565907</v>
      </c>
      <c r="Z334" s="68">
        <v>21.205801067114798</v>
      </c>
      <c r="AA334" s="68">
        <v>6.0946303234873804</v>
      </c>
      <c r="AB334" s="68">
        <v>100</v>
      </c>
      <c r="AC334" s="68">
        <v>720</v>
      </c>
    </row>
    <row r="335" spans="1:29" x14ac:dyDescent="0.25">
      <c r="A335" s="70" t="s">
        <v>675</v>
      </c>
      <c r="B335" s="68">
        <v>99.919600380735204</v>
      </c>
      <c r="C335" s="68">
        <v>1.37972405250015</v>
      </c>
      <c r="D335" s="68">
        <v>99.919600380735204</v>
      </c>
      <c r="E335" s="68">
        <v>1.37972405250015</v>
      </c>
      <c r="F335" s="68">
        <v>99.983237014444001</v>
      </c>
      <c r="G335" s="68">
        <v>1.25821042707673</v>
      </c>
      <c r="H335" s="68">
        <v>6000</v>
      </c>
      <c r="I335" s="68">
        <v>32345.009765999999</v>
      </c>
      <c r="J335" s="68">
        <v>99.832370144440006</v>
      </c>
      <c r="K335" s="68">
        <v>0.94878139043961796</v>
      </c>
      <c r="L335" s="68">
        <v>5340.4541019999997</v>
      </c>
      <c r="M335" s="68">
        <v>10854.820313</v>
      </c>
      <c r="N335" s="68">
        <v>99.760908484660007</v>
      </c>
      <c r="O335" s="68">
        <v>20034.313053058198</v>
      </c>
      <c r="P335" s="68">
        <v>6453.1459960000002</v>
      </c>
      <c r="Q335" s="68">
        <v>37518.25</v>
      </c>
      <c r="R335" s="68">
        <v>99.501922180445803</v>
      </c>
      <c r="S335" s="68">
        <v>21847.154494315801</v>
      </c>
      <c r="T335" s="68">
        <v>7412.841797</v>
      </c>
      <c r="U335" s="68">
        <v>34158.078125</v>
      </c>
      <c r="V335" s="68"/>
      <c r="W335" s="68"/>
      <c r="X335" s="68"/>
      <c r="Y335" s="68">
        <v>98.866428479793996</v>
      </c>
      <c r="Z335" s="68">
        <v>98.742930190750599</v>
      </c>
      <c r="AA335" s="68">
        <v>1.4655655878996501</v>
      </c>
      <c r="AB335" s="68">
        <v>99.962492819818493</v>
      </c>
      <c r="AC335" s="68">
        <v>720</v>
      </c>
    </row>
    <row r="336" spans="1:29" x14ac:dyDescent="0.25">
      <c r="A336" s="70" t="s">
        <v>676</v>
      </c>
      <c r="B336" s="68">
        <v>92.292089249492903</v>
      </c>
      <c r="C336" s="68">
        <v>3.5413907836465301</v>
      </c>
      <c r="D336" s="68">
        <v>92.292089249492903</v>
      </c>
      <c r="E336" s="68">
        <v>3.5413907836465301</v>
      </c>
      <c r="F336" s="68">
        <v>95.565410199556496</v>
      </c>
      <c r="G336" s="68">
        <v>2.82977727584792</v>
      </c>
      <c r="H336" s="68">
        <v>1941.905029</v>
      </c>
      <c r="I336" s="68">
        <v>26845.640625</v>
      </c>
      <c r="J336" s="68">
        <v>85.330347144456894</v>
      </c>
      <c r="K336" s="68">
        <v>2.0916135150686799</v>
      </c>
      <c r="L336" s="68">
        <v>724.90002400000003</v>
      </c>
      <c r="M336" s="68">
        <v>8918.6181639999995</v>
      </c>
      <c r="N336" s="68">
        <v>95.9424083769634</v>
      </c>
      <c r="O336" s="68">
        <v>11559.120426432301</v>
      </c>
      <c r="P336" s="68">
        <v>2043.3289789999999</v>
      </c>
      <c r="Q336" s="68">
        <v>34456.609375</v>
      </c>
      <c r="R336" s="68">
        <v>93.005181347150298</v>
      </c>
      <c r="S336" s="68">
        <v>6631.2868082682298</v>
      </c>
      <c r="T336" s="68">
        <v>393.12298600000003</v>
      </c>
      <c r="U336" s="68">
        <v>19628.339843999998</v>
      </c>
      <c r="V336" s="68"/>
      <c r="W336" s="68"/>
      <c r="X336" s="68"/>
      <c r="Y336" s="68">
        <v>75.201072386058996</v>
      </c>
      <c r="Z336" s="68">
        <v>96.306596482471804</v>
      </c>
      <c r="AA336" s="68">
        <v>4.1388912666666702</v>
      </c>
      <c r="AB336" s="68">
        <v>96.791443850267399</v>
      </c>
      <c r="AC336" s="68">
        <v>698.57142857142901</v>
      </c>
    </row>
    <row r="337" spans="1:29" x14ac:dyDescent="0.25">
      <c r="A337" s="70" t="s">
        <v>677</v>
      </c>
      <c r="B337" s="68">
        <v>92.292089249492903</v>
      </c>
      <c r="C337" s="68">
        <v>3.5413907836465301</v>
      </c>
      <c r="D337" s="68">
        <v>92.292089249492903</v>
      </c>
      <c r="E337" s="68">
        <v>3.5413907836465301</v>
      </c>
      <c r="F337" s="68">
        <v>95.565410199556496</v>
      </c>
      <c r="G337" s="68">
        <v>2.82977727584792</v>
      </c>
      <c r="H337" s="68">
        <v>1941.905029</v>
      </c>
      <c r="I337" s="68">
        <v>26845.640625</v>
      </c>
      <c r="J337" s="68">
        <v>85.330347144456894</v>
      </c>
      <c r="K337" s="68">
        <v>2.0916135150686799</v>
      </c>
      <c r="L337" s="68">
        <v>724.90002400000003</v>
      </c>
      <c r="M337" s="68">
        <v>8918.6181639999995</v>
      </c>
      <c r="N337" s="68">
        <v>95.9424083769634</v>
      </c>
      <c r="O337" s="68">
        <v>11559.120426432301</v>
      </c>
      <c r="P337" s="68">
        <v>2043.3289789999999</v>
      </c>
      <c r="Q337" s="68">
        <v>34456.609375</v>
      </c>
      <c r="R337" s="68">
        <v>93.005181347150298</v>
      </c>
      <c r="S337" s="68">
        <v>6631.2868082682298</v>
      </c>
      <c r="T337" s="68">
        <v>393.12298600000003</v>
      </c>
      <c r="U337" s="68">
        <v>19628.339843999998</v>
      </c>
      <c r="V337" s="68"/>
      <c r="W337" s="68"/>
      <c r="X337" s="68"/>
      <c r="Y337" s="68">
        <v>75.201072386058996</v>
      </c>
      <c r="Z337" s="68">
        <v>96.306596482471804</v>
      </c>
      <c r="AA337" s="68">
        <v>4.1388912666666702</v>
      </c>
      <c r="AB337" s="68">
        <v>96.791443850267399</v>
      </c>
      <c r="AC337" s="68">
        <v>698.57142857142901</v>
      </c>
    </row>
    <row r="338" spans="1:29" x14ac:dyDescent="0.25">
      <c r="A338" s="70" t="s">
        <v>678</v>
      </c>
      <c r="B338" s="68">
        <v>98.299190336229103</v>
      </c>
      <c r="C338" s="68">
        <v>2.7825317436735002</v>
      </c>
      <c r="D338" s="68">
        <v>98.299190336229103</v>
      </c>
      <c r="E338" s="68">
        <v>2.7825317436735002</v>
      </c>
      <c r="F338" s="68">
        <v>98.236509969404096</v>
      </c>
      <c r="G338" s="68">
        <v>2.3772595357063202</v>
      </c>
      <c r="H338" s="68">
        <v>3660.9815675</v>
      </c>
      <c r="I338" s="68">
        <v>17377.853027500001</v>
      </c>
      <c r="J338" s="68">
        <v>92.665387711144902</v>
      </c>
      <c r="K338" s="68">
        <v>2.4030629450902499</v>
      </c>
      <c r="L338" s="68">
        <v>1992.8889775</v>
      </c>
      <c r="M338" s="68">
        <v>4909.2452999999996</v>
      </c>
      <c r="N338" s="68">
        <v>98.773189133456697</v>
      </c>
      <c r="O338" s="68">
        <v>13219.8786628611</v>
      </c>
      <c r="P338" s="68">
        <v>3910.3684079999998</v>
      </c>
      <c r="Q338" s="68">
        <v>17014.620116999999</v>
      </c>
      <c r="R338" s="68">
        <v>97.936419133360999</v>
      </c>
      <c r="S338" s="68">
        <v>8587.0605866699498</v>
      </c>
      <c r="T338" s="68">
        <v>2324.9950560000002</v>
      </c>
      <c r="U338" s="68">
        <v>16510.263489000001</v>
      </c>
      <c r="V338" s="68"/>
      <c r="W338" s="68"/>
      <c r="X338" s="68"/>
      <c r="Y338" s="68">
        <v>90.767378002855693</v>
      </c>
      <c r="Z338" s="68">
        <v>77.0190423821699</v>
      </c>
      <c r="AA338" s="68">
        <v>3.6141960956872898</v>
      </c>
      <c r="AB338" s="68">
        <v>91.631548426109006</v>
      </c>
      <c r="AC338" s="68">
        <v>672.98743660735295</v>
      </c>
    </row>
    <row r="339" spans="1:29" x14ac:dyDescent="0.25">
      <c r="A339" s="70" t="s">
        <v>679</v>
      </c>
      <c r="B339" s="68">
        <v>97.675637872828105</v>
      </c>
      <c r="C339" s="68">
        <v>3.6652743320296</v>
      </c>
      <c r="D339" s="68">
        <v>97.675637872828105</v>
      </c>
      <c r="E339" s="68">
        <v>3.6652743320296</v>
      </c>
      <c r="F339" s="68">
        <v>98.08253644362</v>
      </c>
      <c r="G339" s="68">
        <v>5.6003124700133302</v>
      </c>
      <c r="H339" s="68">
        <v>2904.5139159999999</v>
      </c>
      <c r="I339" s="68">
        <v>6816.2451170000004</v>
      </c>
      <c r="J339" s="68">
        <v>87.2589194485723</v>
      </c>
      <c r="K339" s="68">
        <v>9.0772424419114</v>
      </c>
      <c r="L339" s="68">
        <v>763.86901899999998</v>
      </c>
      <c r="M339" s="68">
        <v>1094.390991</v>
      </c>
      <c r="N339" s="68">
        <v>98.314631610837694</v>
      </c>
      <c r="O339" s="68">
        <v>4770.0663948870197</v>
      </c>
      <c r="P339" s="68">
        <v>3540.2749020000001</v>
      </c>
      <c r="Q339" s="68">
        <v>7012.8007809999999</v>
      </c>
      <c r="R339" s="68">
        <v>96.513078204585398</v>
      </c>
      <c r="S339" s="68">
        <v>878.12574173336895</v>
      </c>
      <c r="T339" s="68">
        <v>884.432007</v>
      </c>
      <c r="U339" s="68">
        <v>1092.8160399999999</v>
      </c>
      <c r="V339" s="68"/>
      <c r="W339" s="68"/>
      <c r="X339" s="68"/>
      <c r="Y339" s="68">
        <v>89.698695347178401</v>
      </c>
      <c r="Z339" s="68">
        <v>40.938281028669998</v>
      </c>
      <c r="AA339" s="68">
        <v>5.3208949172144804</v>
      </c>
      <c r="AB339" s="68">
        <v>81.561485930159293</v>
      </c>
      <c r="AC339" s="68">
        <v>613.79415895771797</v>
      </c>
    </row>
    <row r="340" spans="1:29" x14ac:dyDescent="0.25">
      <c r="A340" s="70" t="s">
        <v>680</v>
      </c>
      <c r="B340" s="68">
        <v>98.9227427996301</v>
      </c>
      <c r="C340" s="68">
        <v>1.89978915531741</v>
      </c>
      <c r="D340" s="68">
        <v>98.9227427996301</v>
      </c>
      <c r="E340" s="68">
        <v>1.89978915531741</v>
      </c>
      <c r="F340" s="68">
        <v>98.390483495188306</v>
      </c>
      <c r="G340" s="68">
        <v>1.50887961817328</v>
      </c>
      <c r="H340" s="68">
        <v>4417.4492190000001</v>
      </c>
      <c r="I340" s="68">
        <v>27939.460938</v>
      </c>
      <c r="J340" s="68">
        <v>98.071855973717504</v>
      </c>
      <c r="K340" s="68">
        <v>1.3848390983749499</v>
      </c>
      <c r="L340" s="68">
        <v>3221.9089359999998</v>
      </c>
      <c r="M340" s="68">
        <v>8724.0996090000008</v>
      </c>
      <c r="N340" s="68">
        <v>99.231746656075799</v>
      </c>
      <c r="O340" s="68">
        <v>21669.690930835099</v>
      </c>
      <c r="P340" s="68">
        <v>4280.4619140000004</v>
      </c>
      <c r="Q340" s="68">
        <v>27016.439452999999</v>
      </c>
      <c r="R340" s="68">
        <v>99.359760062136502</v>
      </c>
      <c r="S340" s="68">
        <v>16295.9954316065</v>
      </c>
      <c r="T340" s="68">
        <v>3765.5581050000001</v>
      </c>
      <c r="U340" s="68">
        <v>31927.710938</v>
      </c>
      <c r="V340" s="68"/>
      <c r="W340" s="68"/>
      <c r="X340" s="68"/>
      <c r="Y340" s="68">
        <v>91.553999508614694</v>
      </c>
      <c r="Z340" s="68">
        <v>103.576882236727</v>
      </c>
      <c r="AA340" s="68">
        <v>2.35795226152874</v>
      </c>
      <c r="AB340" s="68">
        <v>99.043784117938898</v>
      </c>
      <c r="AC340" s="68">
        <v>716.55762552003398</v>
      </c>
    </row>
    <row r="341" spans="1:29" x14ac:dyDescent="0.25">
      <c r="A341" s="70" t="s">
        <v>231</v>
      </c>
      <c r="B341" s="68">
        <v>96.749358426005102</v>
      </c>
      <c r="C341" s="68">
        <v>2.19668383458081</v>
      </c>
      <c r="D341" s="68">
        <v>96.749358426005102</v>
      </c>
      <c r="E341" s="68">
        <v>2.19668383458081</v>
      </c>
      <c r="F341" s="68">
        <v>98.609731876862</v>
      </c>
      <c r="G341" s="68">
        <v>1.3167646233333901</v>
      </c>
      <c r="H341" s="68">
        <v>4875.076172</v>
      </c>
      <c r="I341" s="68">
        <v>40472.179687999997</v>
      </c>
      <c r="J341" s="68">
        <v>95.669291338582696</v>
      </c>
      <c r="K341" s="68">
        <v>1.10261456629113</v>
      </c>
      <c r="L341" s="68">
        <v>2460.0249020000001</v>
      </c>
      <c r="M341" s="68">
        <v>12251.150390999999</v>
      </c>
      <c r="N341" s="68">
        <v>99.766355140186903</v>
      </c>
      <c r="O341" s="68">
        <v>24003.010351562501</v>
      </c>
      <c r="P341" s="68">
        <v>5869.669922</v>
      </c>
      <c r="Q341" s="68">
        <v>51070.398437999997</v>
      </c>
      <c r="R341" s="68">
        <v>96.483001172332905</v>
      </c>
      <c r="S341" s="68">
        <v>10417.770825195301</v>
      </c>
      <c r="T341" s="68">
        <v>756.94397000000004</v>
      </c>
      <c r="U341" s="68">
        <v>22194.900390999999</v>
      </c>
      <c r="V341" s="68"/>
      <c r="W341" s="68"/>
      <c r="X341" s="68"/>
      <c r="Y341" s="68">
        <v>95.947556615017902</v>
      </c>
      <c r="Z341" s="68">
        <v>99.495373689440996</v>
      </c>
      <c r="AA341" s="68">
        <v>2.2121923333333302</v>
      </c>
      <c r="AB341" s="68">
        <v>96.645962732919301</v>
      </c>
      <c r="AC341" s="68">
        <v>708.81987653459805</v>
      </c>
    </row>
    <row r="342" spans="1:29" x14ac:dyDescent="0.25">
      <c r="A342" s="70" t="s">
        <v>572</v>
      </c>
      <c r="B342" s="68">
        <v>96.749358426005102</v>
      </c>
      <c r="C342" s="68">
        <v>2.19668383458081</v>
      </c>
      <c r="D342" s="68">
        <v>96.749358426005102</v>
      </c>
      <c r="E342" s="68">
        <v>2.19668383458081</v>
      </c>
      <c r="F342" s="68">
        <v>98.609731876862</v>
      </c>
      <c r="G342" s="68">
        <v>1.3167646233333901</v>
      </c>
      <c r="H342" s="68">
        <v>4875.076172</v>
      </c>
      <c r="I342" s="68">
        <v>40472.179687999997</v>
      </c>
      <c r="J342" s="68">
        <v>95.669291338582696</v>
      </c>
      <c r="K342" s="68">
        <v>1.10261456629113</v>
      </c>
      <c r="L342" s="68">
        <v>2460.0249020000001</v>
      </c>
      <c r="M342" s="68">
        <v>12251.150390999999</v>
      </c>
      <c r="N342" s="68">
        <v>99.766355140186903</v>
      </c>
      <c r="O342" s="68">
        <v>24003.010351562501</v>
      </c>
      <c r="P342" s="68">
        <v>5869.669922</v>
      </c>
      <c r="Q342" s="68">
        <v>51070.398437999997</v>
      </c>
      <c r="R342" s="68">
        <v>96.483001172332905</v>
      </c>
      <c r="S342" s="68">
        <v>10417.770825195301</v>
      </c>
      <c r="T342" s="68">
        <v>756.94397000000004</v>
      </c>
      <c r="U342" s="68">
        <v>22194.900390999999</v>
      </c>
      <c r="V342" s="68"/>
      <c r="W342" s="68"/>
      <c r="X342" s="68"/>
      <c r="Y342" s="68">
        <v>95.947556615017902</v>
      </c>
      <c r="Z342" s="68">
        <v>99.495373689440996</v>
      </c>
      <c r="AA342" s="68">
        <v>2.2121923333333302</v>
      </c>
      <c r="AB342" s="68">
        <v>96.645962732919301</v>
      </c>
      <c r="AC342" s="68">
        <v>708.81987653459805</v>
      </c>
    </row>
    <row r="343" spans="1:29" x14ac:dyDescent="0.25">
      <c r="A343" s="70" t="s">
        <v>232</v>
      </c>
      <c r="B343" s="68">
        <v>98.007451045382098</v>
      </c>
      <c r="C343" s="68">
        <v>1.87243275535164</v>
      </c>
      <c r="D343" s="68">
        <v>98.007451045382098</v>
      </c>
      <c r="E343" s="68">
        <v>1.87243275535164</v>
      </c>
      <c r="F343" s="68">
        <v>98.903555746970994</v>
      </c>
      <c r="G343" s="68">
        <v>0.99922063518075999</v>
      </c>
      <c r="H343" s="68">
        <v>8466.4924319999991</v>
      </c>
      <c r="I343" s="68">
        <v>38201.995116999999</v>
      </c>
      <c r="J343" s="68">
        <v>99.054860139011296</v>
      </c>
      <c r="K343" s="68">
        <v>1.1547516442724499</v>
      </c>
      <c r="L343" s="68">
        <v>3817.0939939999998</v>
      </c>
      <c r="M343" s="68">
        <v>9413.6807860000008</v>
      </c>
      <c r="N343" s="68">
        <v>99.6244508410295</v>
      </c>
      <c r="O343" s="68">
        <v>33138.704993850399</v>
      </c>
      <c r="P343" s="68">
        <v>10811.186768</v>
      </c>
      <c r="Q343" s="68">
        <v>63820.9697265</v>
      </c>
      <c r="R343" s="68">
        <v>98.836333697305804</v>
      </c>
      <c r="S343" s="68">
        <v>17642.268442158202</v>
      </c>
      <c r="T343" s="68">
        <v>5675.4192505000001</v>
      </c>
      <c r="U343" s="68">
        <v>24218.781494499999</v>
      </c>
      <c r="V343" s="68"/>
      <c r="W343" s="68"/>
      <c r="X343" s="68"/>
      <c r="Y343" s="68">
        <v>97.161237890515395</v>
      </c>
      <c r="Z343" s="68">
        <v>82.817142418327293</v>
      </c>
      <c r="AA343" s="68">
        <v>2.6560853339191501</v>
      </c>
      <c r="AB343" s="68">
        <v>100</v>
      </c>
      <c r="AC343" s="68">
        <v>720</v>
      </c>
    </row>
    <row r="344" spans="1:29" x14ac:dyDescent="0.25">
      <c r="A344" s="70" t="s">
        <v>233</v>
      </c>
      <c r="B344" s="68">
        <v>96.977122266792193</v>
      </c>
      <c r="C344" s="68">
        <v>2.4532678566592301</v>
      </c>
      <c r="D344" s="68">
        <v>96.977122266792193</v>
      </c>
      <c r="E344" s="68">
        <v>2.4532678566592301</v>
      </c>
      <c r="F344" s="68">
        <v>97.987958914397893</v>
      </c>
      <c r="G344" s="68">
        <v>2.5194796515133899</v>
      </c>
      <c r="H344" s="68">
        <v>3724.3950199999999</v>
      </c>
      <c r="I344" s="68">
        <v>14388.490234000001</v>
      </c>
      <c r="J344" s="68">
        <v>98.783255635865402</v>
      </c>
      <c r="K344" s="68">
        <v>3.0130447513368201</v>
      </c>
      <c r="L344" s="68">
        <v>1092.895996</v>
      </c>
      <c r="M344" s="68">
        <v>3874.0920409999999</v>
      </c>
      <c r="N344" s="68">
        <v>99.248901682059099</v>
      </c>
      <c r="O344" s="68">
        <v>12864.8251971668</v>
      </c>
      <c r="P344" s="68">
        <v>4704.9731449999999</v>
      </c>
      <c r="Q344" s="68">
        <v>20552.439452999999</v>
      </c>
      <c r="R344" s="68">
        <v>97.737544679249993</v>
      </c>
      <c r="S344" s="68">
        <v>2946.7275607936099</v>
      </c>
      <c r="T344" s="68">
        <v>1209.8580320000001</v>
      </c>
      <c r="U344" s="68">
        <v>4365.7231449999999</v>
      </c>
      <c r="V344" s="68"/>
      <c r="W344" s="68"/>
      <c r="X344" s="68"/>
      <c r="Y344" s="68">
        <v>94.465325604808498</v>
      </c>
      <c r="Z344" s="68">
        <v>66.019547348247301</v>
      </c>
      <c r="AA344" s="68">
        <v>4.0235011381633399</v>
      </c>
      <c r="AB344" s="68">
        <v>100</v>
      </c>
      <c r="AC344" s="68">
        <v>720</v>
      </c>
    </row>
    <row r="345" spans="1:29" x14ac:dyDescent="0.25">
      <c r="A345" s="70" t="s">
        <v>234</v>
      </c>
      <c r="B345" s="68">
        <v>99.037779823971903</v>
      </c>
      <c r="C345" s="68">
        <v>1.2915976540440599</v>
      </c>
      <c r="D345" s="68">
        <v>99.037779823971903</v>
      </c>
      <c r="E345" s="68">
        <v>1.2915976540440599</v>
      </c>
      <c r="F345" s="68">
        <v>99.819152579543996</v>
      </c>
      <c r="G345" s="68">
        <v>0.62318785067662397</v>
      </c>
      <c r="H345" s="68">
        <v>13208.589844</v>
      </c>
      <c r="I345" s="68">
        <v>62015.5</v>
      </c>
      <c r="J345" s="68">
        <v>99.326464642157305</v>
      </c>
      <c r="K345" s="68">
        <v>0.714242879884048</v>
      </c>
      <c r="L345" s="68">
        <v>6541.2919920000004</v>
      </c>
      <c r="M345" s="68">
        <v>14953.269531</v>
      </c>
      <c r="N345" s="68">
        <v>100</v>
      </c>
      <c r="O345" s="68">
        <v>53412.5847905341</v>
      </c>
      <c r="P345" s="68">
        <v>16917.400390999999</v>
      </c>
      <c r="Q345" s="68">
        <v>107089.5</v>
      </c>
      <c r="R345" s="68">
        <v>99.935122715361601</v>
      </c>
      <c r="S345" s="68">
        <v>32337.809323522699</v>
      </c>
      <c r="T345" s="68">
        <v>10140.980469</v>
      </c>
      <c r="U345" s="68">
        <v>44071.839844000002</v>
      </c>
      <c r="V345" s="68"/>
      <c r="W345" s="68"/>
      <c r="X345" s="68"/>
      <c r="Y345" s="68">
        <v>99.857150176222405</v>
      </c>
      <c r="Z345" s="68">
        <v>99.6147374884073</v>
      </c>
      <c r="AA345" s="68">
        <v>1.28866952967496</v>
      </c>
      <c r="AB345" s="68">
        <v>100</v>
      </c>
      <c r="AC345" s="68">
        <v>720</v>
      </c>
    </row>
    <row r="346" spans="1:29" x14ac:dyDescent="0.25">
      <c r="A346" s="70" t="s">
        <v>384</v>
      </c>
      <c r="B346" s="68">
        <v>96.749358426005102</v>
      </c>
      <c r="C346" s="68">
        <v>2.19668383458081</v>
      </c>
      <c r="D346" s="68">
        <v>96.749358426005102</v>
      </c>
      <c r="E346" s="68">
        <v>2.19668383458081</v>
      </c>
      <c r="F346" s="68">
        <v>98.609731876862</v>
      </c>
      <c r="G346" s="68">
        <v>1.3167646233333901</v>
      </c>
      <c r="H346" s="68">
        <v>4875.076172</v>
      </c>
      <c r="I346" s="68">
        <v>40472.179687999997</v>
      </c>
      <c r="J346" s="68">
        <v>95.669291338582696</v>
      </c>
      <c r="K346" s="68">
        <v>1.10261456629113</v>
      </c>
      <c r="L346" s="68">
        <v>2460.0249020000001</v>
      </c>
      <c r="M346" s="68">
        <v>12251.150390999999</v>
      </c>
      <c r="N346" s="68">
        <v>99.766355140186903</v>
      </c>
      <c r="O346" s="68">
        <v>24003.010351562501</v>
      </c>
      <c r="P346" s="68">
        <v>5869.669922</v>
      </c>
      <c r="Q346" s="68">
        <v>51070.398437999997</v>
      </c>
      <c r="R346" s="68">
        <v>96.483001172332905</v>
      </c>
      <c r="S346" s="68">
        <v>10417.770825195301</v>
      </c>
      <c r="T346" s="68">
        <v>756.94397000000004</v>
      </c>
      <c r="U346" s="68">
        <v>22194.900390999999</v>
      </c>
      <c r="V346" s="68"/>
      <c r="W346" s="68"/>
      <c r="X346" s="68"/>
      <c r="Y346" s="68">
        <v>95.947556615017902</v>
      </c>
      <c r="Z346" s="68">
        <v>99.495373689440996</v>
      </c>
      <c r="AA346" s="68">
        <v>2.2121923333333302</v>
      </c>
      <c r="AB346" s="68">
        <v>96.645962732919301</v>
      </c>
      <c r="AC346" s="68">
        <v>708.81987653459805</v>
      </c>
    </row>
    <row r="347" spans="1:29" x14ac:dyDescent="0.25">
      <c r="A347" s="70" t="s">
        <v>573</v>
      </c>
      <c r="B347" s="68">
        <v>96.749358426005102</v>
      </c>
      <c r="C347" s="68">
        <v>2.19668383458081</v>
      </c>
      <c r="D347" s="68">
        <v>96.749358426005102</v>
      </c>
      <c r="E347" s="68">
        <v>2.19668383458081</v>
      </c>
      <c r="F347" s="68">
        <v>98.609731876862</v>
      </c>
      <c r="G347" s="68">
        <v>1.3167646233333901</v>
      </c>
      <c r="H347" s="68">
        <v>4875.076172</v>
      </c>
      <c r="I347" s="68">
        <v>40472.179687999997</v>
      </c>
      <c r="J347" s="68">
        <v>95.669291338582696</v>
      </c>
      <c r="K347" s="68">
        <v>1.10261456629113</v>
      </c>
      <c r="L347" s="68">
        <v>2460.0249020000001</v>
      </c>
      <c r="M347" s="68">
        <v>12251.150390999999</v>
      </c>
      <c r="N347" s="68">
        <v>99.766355140186903</v>
      </c>
      <c r="O347" s="68">
        <v>24003.010351562501</v>
      </c>
      <c r="P347" s="68">
        <v>5869.669922</v>
      </c>
      <c r="Q347" s="68">
        <v>51070.398437999997</v>
      </c>
      <c r="R347" s="68">
        <v>96.483001172332905</v>
      </c>
      <c r="S347" s="68">
        <v>10417.770825195301</v>
      </c>
      <c r="T347" s="68">
        <v>756.94397000000004</v>
      </c>
      <c r="U347" s="68">
        <v>22194.900390999999</v>
      </c>
      <c r="V347" s="68"/>
      <c r="W347" s="68"/>
      <c r="X347" s="68"/>
      <c r="Y347" s="68">
        <v>95.947556615017902</v>
      </c>
      <c r="Z347" s="68">
        <v>99.495373689440996</v>
      </c>
      <c r="AA347" s="68">
        <v>2.2121923333333302</v>
      </c>
      <c r="AB347" s="68">
        <v>96.645962732919301</v>
      </c>
      <c r="AC347" s="68">
        <v>708.81987653459805</v>
      </c>
    </row>
    <row r="348" spans="1:29" x14ac:dyDescent="0.25">
      <c r="A348" s="70" t="s">
        <v>235</v>
      </c>
      <c r="B348" s="68">
        <v>94.776018977476497</v>
      </c>
      <c r="C348" s="68">
        <v>2.2048260057778499</v>
      </c>
      <c r="D348" s="68">
        <v>94.776018977476497</v>
      </c>
      <c r="E348" s="68">
        <v>2.2048260057778499</v>
      </c>
      <c r="F348" s="68">
        <v>98.274304723813302</v>
      </c>
      <c r="G348" s="68">
        <v>1.2088211721993101</v>
      </c>
      <c r="H348" s="68">
        <v>8055.6555175000003</v>
      </c>
      <c r="I348" s="68">
        <v>30720.354492499999</v>
      </c>
      <c r="J348" s="68">
        <v>97.082100858106401</v>
      </c>
      <c r="K348" s="68">
        <v>1.4302809470084701</v>
      </c>
      <c r="L348" s="68">
        <v>3966.6033935</v>
      </c>
      <c r="M348" s="68">
        <v>7628.29187</v>
      </c>
      <c r="N348" s="68">
        <v>98.410128577837597</v>
      </c>
      <c r="O348" s="68">
        <v>30623.2803814621</v>
      </c>
      <c r="P348" s="68">
        <v>12637.102783</v>
      </c>
      <c r="Q348" s="68">
        <v>48813.195801000002</v>
      </c>
      <c r="R348" s="68">
        <v>96.148142406857204</v>
      </c>
      <c r="S348" s="68">
        <v>14311.966555724101</v>
      </c>
      <c r="T348" s="68">
        <v>8395.7274780000007</v>
      </c>
      <c r="U348" s="68">
        <v>22627.3811035</v>
      </c>
      <c r="V348" s="68"/>
      <c r="W348" s="68"/>
      <c r="X348" s="68"/>
      <c r="Y348" s="68">
        <v>93.981832871329203</v>
      </c>
      <c r="Z348" s="68">
        <v>90.950889355665794</v>
      </c>
      <c r="AA348" s="68">
        <v>2.5372467670365402</v>
      </c>
      <c r="AB348" s="68">
        <v>91.197832673219494</v>
      </c>
      <c r="AC348" s="68">
        <v>679.13603335135201</v>
      </c>
    </row>
    <row r="349" spans="1:29" x14ac:dyDescent="0.25">
      <c r="A349" s="70" t="s">
        <v>236</v>
      </c>
      <c r="B349" s="68">
        <v>95.504428608449402</v>
      </c>
      <c r="C349" s="68">
        <v>2.7190533465261102</v>
      </c>
      <c r="D349" s="68">
        <v>95.504428608449402</v>
      </c>
      <c r="E349" s="68">
        <v>2.7190533465261102</v>
      </c>
      <c r="F349" s="68">
        <v>97.914647240378102</v>
      </c>
      <c r="G349" s="68">
        <v>2.48445170798515</v>
      </c>
      <c r="H349" s="68">
        <v>5162.4008789999998</v>
      </c>
      <c r="I349" s="68">
        <v>12759.169921999999</v>
      </c>
      <c r="J349" s="68">
        <v>95.450989320242499</v>
      </c>
      <c r="K349" s="68">
        <v>3.2507798469337001</v>
      </c>
      <c r="L349" s="68">
        <v>1348.844971</v>
      </c>
      <c r="M349" s="68">
        <v>3892.9440920000002</v>
      </c>
      <c r="N349" s="68">
        <v>98.140368636194097</v>
      </c>
      <c r="O349" s="68">
        <v>12733.4178248807</v>
      </c>
      <c r="P349" s="68">
        <v>5580.1860349999997</v>
      </c>
      <c r="Q349" s="68">
        <v>15454.040039</v>
      </c>
      <c r="R349" s="68">
        <v>93.226992486522306</v>
      </c>
      <c r="S349" s="68">
        <v>2750.04559118927</v>
      </c>
      <c r="T349" s="68">
        <v>1405.954956</v>
      </c>
      <c r="U349" s="68">
        <v>4194.5122069999998</v>
      </c>
      <c r="V349" s="68"/>
      <c r="W349" s="68"/>
      <c r="X349" s="68"/>
      <c r="Y349" s="68">
        <v>87.938556768178501</v>
      </c>
      <c r="Z349" s="68">
        <v>78.234357616854297</v>
      </c>
      <c r="AA349" s="68">
        <v>3.7999264260094998</v>
      </c>
      <c r="AB349" s="68">
        <v>81.561485930159293</v>
      </c>
      <c r="AC349" s="68">
        <v>631.97869545158596</v>
      </c>
    </row>
    <row r="350" spans="1:29" x14ac:dyDescent="0.25">
      <c r="A350" s="70" t="s">
        <v>237</v>
      </c>
      <c r="B350" s="68">
        <v>94.047609346503606</v>
      </c>
      <c r="C350" s="68">
        <v>1.6905986650295901</v>
      </c>
      <c r="D350" s="68">
        <v>94.047609346503606</v>
      </c>
      <c r="E350" s="68">
        <v>1.6905986650295901</v>
      </c>
      <c r="F350" s="68">
        <v>98.633962207248601</v>
      </c>
      <c r="G350" s="68">
        <v>0.79872131278362901</v>
      </c>
      <c r="H350" s="68">
        <v>10948.910156</v>
      </c>
      <c r="I350" s="68">
        <v>48681.539062999997</v>
      </c>
      <c r="J350" s="68">
        <v>98.713212395970302</v>
      </c>
      <c r="K350" s="68">
        <v>0.91683551823457499</v>
      </c>
      <c r="L350" s="68">
        <v>6584.3618159999996</v>
      </c>
      <c r="M350" s="68">
        <v>11363.639648</v>
      </c>
      <c r="N350" s="68">
        <v>98.679888519481096</v>
      </c>
      <c r="O350" s="68">
        <v>48513.142938043602</v>
      </c>
      <c r="P350" s="68">
        <v>19694.019531000002</v>
      </c>
      <c r="Q350" s="68">
        <v>82172.351563000004</v>
      </c>
      <c r="R350" s="68">
        <v>99.069292327192002</v>
      </c>
      <c r="S350" s="68">
        <v>25873.887520258901</v>
      </c>
      <c r="T350" s="68">
        <v>15385.5</v>
      </c>
      <c r="U350" s="68">
        <v>41060.25</v>
      </c>
      <c r="V350" s="68"/>
      <c r="W350" s="68"/>
      <c r="X350" s="68"/>
      <c r="Y350" s="68">
        <v>98.430085982506398</v>
      </c>
      <c r="Z350" s="68">
        <v>100.311102409817</v>
      </c>
      <c r="AA350" s="68">
        <v>1.6078305653643601</v>
      </c>
      <c r="AB350" s="68">
        <v>98.290824727289504</v>
      </c>
      <c r="AC350" s="68">
        <v>713.846970175519</v>
      </c>
    </row>
    <row r="351" spans="1:29" x14ac:dyDescent="0.25">
      <c r="A351" s="70" t="s">
        <v>705</v>
      </c>
      <c r="B351" s="68">
        <v>77.826086956521706</v>
      </c>
      <c r="C351" s="68">
        <v>4.6174999999999997</v>
      </c>
      <c r="D351" s="68">
        <v>77.826086956521706</v>
      </c>
      <c r="E351" s="68">
        <v>4.6174999999999997</v>
      </c>
      <c r="F351" s="68">
        <v>88.188976377952798</v>
      </c>
      <c r="G351" s="68">
        <v>6.90531048047204</v>
      </c>
      <c r="H351" s="68">
        <v>1045</v>
      </c>
      <c r="I351" s="68">
        <v>7338</v>
      </c>
      <c r="J351" s="68">
        <v>30.4</v>
      </c>
      <c r="K351" s="68">
        <v>5.7146843390303497</v>
      </c>
      <c r="L351" s="68">
        <v>492</v>
      </c>
      <c r="M351" s="68">
        <v>2686</v>
      </c>
      <c r="N351" s="68">
        <v>96.6386554621849</v>
      </c>
      <c r="O351" s="68">
        <v>4715</v>
      </c>
      <c r="P351" s="68">
        <v>799</v>
      </c>
      <c r="Q351" s="68">
        <v>15332</v>
      </c>
      <c r="R351" s="68">
        <v>67.543859649122794</v>
      </c>
      <c r="S351" s="68">
        <v>855</v>
      </c>
      <c r="T351" s="68">
        <v>251</v>
      </c>
      <c r="U351" s="68">
        <v>1776</v>
      </c>
      <c r="V351" s="68"/>
      <c r="W351" s="68"/>
      <c r="X351" s="68"/>
      <c r="Y351" s="68">
        <v>53.448275862069003</v>
      </c>
      <c r="Z351" s="68">
        <v>87.346129032258105</v>
      </c>
      <c r="AA351" s="68">
        <v>6.39</v>
      </c>
      <c r="AB351" s="68">
        <v>0</v>
      </c>
      <c r="AC351" s="68">
        <v>360</v>
      </c>
    </row>
    <row r="352" spans="1:29" x14ac:dyDescent="0.25">
      <c r="A352" s="70" t="s">
        <v>706</v>
      </c>
      <c r="B352" s="68">
        <v>77.826086956521706</v>
      </c>
      <c r="C352" s="68">
        <v>4.6174999999999997</v>
      </c>
      <c r="D352" s="68">
        <v>77.826086956521706</v>
      </c>
      <c r="E352" s="68">
        <v>4.6174999999999997</v>
      </c>
      <c r="F352" s="68">
        <v>88.188976377952798</v>
      </c>
      <c r="G352" s="68">
        <v>6.90531048047204</v>
      </c>
      <c r="H352" s="68">
        <v>1045</v>
      </c>
      <c r="I352" s="68">
        <v>7338</v>
      </c>
      <c r="J352" s="68">
        <v>30.4</v>
      </c>
      <c r="K352" s="68">
        <v>5.7146843390303497</v>
      </c>
      <c r="L352" s="68">
        <v>492</v>
      </c>
      <c r="M352" s="68">
        <v>2686</v>
      </c>
      <c r="N352" s="68">
        <v>96.6386554621849</v>
      </c>
      <c r="O352" s="68">
        <v>4715</v>
      </c>
      <c r="P352" s="68">
        <v>799</v>
      </c>
      <c r="Q352" s="68">
        <v>15332</v>
      </c>
      <c r="R352" s="68">
        <v>67.543859649122794</v>
      </c>
      <c r="S352" s="68">
        <v>855</v>
      </c>
      <c r="T352" s="68">
        <v>251</v>
      </c>
      <c r="U352" s="68">
        <v>1776</v>
      </c>
      <c r="V352" s="68"/>
      <c r="W352" s="68"/>
      <c r="X352" s="68"/>
      <c r="Y352" s="68">
        <v>53.448275862069003</v>
      </c>
      <c r="Z352" s="68">
        <v>87.346129032258105</v>
      </c>
      <c r="AA352" s="68">
        <v>6.39</v>
      </c>
      <c r="AB352" s="68">
        <v>0</v>
      </c>
      <c r="AC352" s="68">
        <v>360</v>
      </c>
    </row>
    <row r="353" spans="1:29" x14ac:dyDescent="0.25">
      <c r="A353" s="70" t="s">
        <v>707</v>
      </c>
      <c r="B353" s="68">
        <v>90.312342590517105</v>
      </c>
      <c r="C353" s="68">
        <v>4.0520427330329696</v>
      </c>
      <c r="D353" s="68">
        <v>90.312342590517105</v>
      </c>
      <c r="E353" s="68">
        <v>4.0520427330329696</v>
      </c>
      <c r="F353" s="68">
        <v>97.8818552521182</v>
      </c>
      <c r="G353" s="68">
        <v>5.09857412516208</v>
      </c>
      <c r="H353" s="68">
        <v>1231.5</v>
      </c>
      <c r="I353" s="68">
        <v>6417</v>
      </c>
      <c r="J353" s="68">
        <v>85.303834371791297</v>
      </c>
      <c r="K353" s="68">
        <v>4.8508727452022304</v>
      </c>
      <c r="L353" s="68">
        <v>641.5</v>
      </c>
      <c r="M353" s="68">
        <v>2383.5</v>
      </c>
      <c r="N353" s="68">
        <v>97.333065312750705</v>
      </c>
      <c r="O353" s="68">
        <v>5723.8371433366101</v>
      </c>
      <c r="P353" s="68">
        <v>1239</v>
      </c>
      <c r="Q353" s="68">
        <v>7304</v>
      </c>
      <c r="R353" s="68">
        <v>97.319273762934799</v>
      </c>
      <c r="S353" s="68">
        <v>1728.8660301253001</v>
      </c>
      <c r="T353" s="68">
        <v>161</v>
      </c>
      <c r="U353" s="68">
        <v>2847.5</v>
      </c>
      <c r="V353" s="68"/>
      <c r="W353" s="68"/>
      <c r="X353" s="68"/>
      <c r="Y353" s="68">
        <v>78.427062168648604</v>
      </c>
      <c r="Z353" s="68">
        <v>86.288526453249901</v>
      </c>
      <c r="AA353" s="68">
        <v>5.5559190458461503</v>
      </c>
      <c r="AB353" s="68">
        <v>63.626732865613903</v>
      </c>
      <c r="AC353" s="68">
        <v>541.08049397900902</v>
      </c>
    </row>
    <row r="354" spans="1:29" x14ac:dyDescent="0.25">
      <c r="A354" s="70" t="s">
        <v>708</v>
      </c>
      <c r="B354" s="68">
        <v>88.561726240215705</v>
      </c>
      <c r="C354" s="68">
        <v>4.1813521467004504</v>
      </c>
      <c r="D354" s="68">
        <v>88.561726240215705</v>
      </c>
      <c r="E354" s="68">
        <v>4.1813521467004504</v>
      </c>
      <c r="F354" s="68">
        <v>98.093840511285705</v>
      </c>
      <c r="G354" s="68">
        <v>6.1018379146786996</v>
      </c>
      <c r="H354" s="68">
        <v>1273</v>
      </c>
      <c r="I354" s="68">
        <v>6478</v>
      </c>
      <c r="J354" s="68">
        <v>87.247604528940997</v>
      </c>
      <c r="K354" s="68">
        <v>5.2944402226931802</v>
      </c>
      <c r="L354" s="68">
        <v>647</v>
      </c>
      <c r="M354" s="68">
        <v>2473</v>
      </c>
      <c r="N354" s="68">
        <v>97.502006138967701</v>
      </c>
      <c r="O354" s="68">
        <v>4146.9644071432904</v>
      </c>
      <c r="P354" s="68">
        <v>1227</v>
      </c>
      <c r="Q354" s="68">
        <v>7484</v>
      </c>
      <c r="R354" s="68">
        <v>97.407496925605599</v>
      </c>
      <c r="S354" s="68">
        <v>1555.93960167554</v>
      </c>
      <c r="T354" s="68">
        <v>149</v>
      </c>
      <c r="U354" s="68">
        <v>2872</v>
      </c>
      <c r="V354" s="68"/>
      <c r="W354" s="68"/>
      <c r="X354" s="68"/>
      <c r="Y354" s="68">
        <v>84.180975346732495</v>
      </c>
      <c r="Z354" s="68">
        <v>86.663157154455803</v>
      </c>
      <c r="AA354" s="68">
        <v>5.5830642213911901</v>
      </c>
      <c r="AB354" s="68">
        <v>56.2218876713791</v>
      </c>
      <c r="AC354" s="68">
        <v>514.21387970679598</v>
      </c>
    </row>
    <row r="355" spans="1:29" x14ac:dyDescent="0.25">
      <c r="A355" s="70" t="s">
        <v>709</v>
      </c>
      <c r="B355" s="68">
        <v>92.062958940818504</v>
      </c>
      <c r="C355" s="68">
        <v>3.9227333193654998</v>
      </c>
      <c r="D355" s="68">
        <v>92.062958940818504</v>
      </c>
      <c r="E355" s="68">
        <v>3.9227333193654998</v>
      </c>
      <c r="F355" s="68">
        <v>97.669869992950595</v>
      </c>
      <c r="G355" s="68">
        <v>4.3786386462763698</v>
      </c>
      <c r="H355" s="68">
        <v>1190</v>
      </c>
      <c r="I355" s="68">
        <v>6356</v>
      </c>
      <c r="J355" s="68">
        <v>83.360064214641696</v>
      </c>
      <c r="K355" s="68">
        <v>4.4758838118220998</v>
      </c>
      <c r="L355" s="68">
        <v>636</v>
      </c>
      <c r="M355" s="68">
        <v>2294</v>
      </c>
      <c r="N355" s="68">
        <v>97.164124486533595</v>
      </c>
      <c r="O355" s="68">
        <v>7300.7098795299398</v>
      </c>
      <c r="P355" s="68">
        <v>1251</v>
      </c>
      <c r="Q355" s="68">
        <v>7124</v>
      </c>
      <c r="R355" s="68">
        <v>97.231050600263998</v>
      </c>
      <c r="S355" s="68">
        <v>1901.79245857507</v>
      </c>
      <c r="T355" s="68">
        <v>173</v>
      </c>
      <c r="U355" s="68">
        <v>2823</v>
      </c>
      <c r="V355" s="68"/>
      <c r="W355" s="68"/>
      <c r="X355" s="68"/>
      <c r="Y355" s="68">
        <v>72.673148990564698</v>
      </c>
      <c r="Z355" s="68">
        <v>85.913895752043899</v>
      </c>
      <c r="AA355" s="68">
        <v>5.5287738703011202</v>
      </c>
      <c r="AB355" s="68">
        <v>71.031578059848698</v>
      </c>
      <c r="AC355" s="68">
        <v>567.94710825122195</v>
      </c>
    </row>
    <row r="356" spans="1:29" x14ac:dyDescent="0.25">
      <c r="A356" s="70" t="s">
        <v>710</v>
      </c>
      <c r="B356" s="68">
        <v>77.826086956521706</v>
      </c>
      <c r="C356" s="68">
        <v>4.6174999999999997</v>
      </c>
      <c r="D356" s="68">
        <v>77.826086956521706</v>
      </c>
      <c r="E356" s="68">
        <v>4.6174999999999997</v>
      </c>
      <c r="F356" s="68">
        <v>88.188976377952798</v>
      </c>
      <c r="G356" s="68">
        <v>6.90531048047204</v>
      </c>
      <c r="H356" s="68">
        <v>1045</v>
      </c>
      <c r="I356" s="68">
        <v>7338</v>
      </c>
      <c r="J356" s="68">
        <v>30.4</v>
      </c>
      <c r="K356" s="68">
        <v>5.7146843390303497</v>
      </c>
      <c r="L356" s="68">
        <v>492</v>
      </c>
      <c r="M356" s="68">
        <v>2686</v>
      </c>
      <c r="N356" s="68">
        <v>96.6386554621849</v>
      </c>
      <c r="O356" s="68">
        <v>4715</v>
      </c>
      <c r="P356" s="68">
        <v>799</v>
      </c>
      <c r="Q356" s="68">
        <v>15332</v>
      </c>
      <c r="R356" s="68">
        <v>67.543859649122794</v>
      </c>
      <c r="S356" s="68">
        <v>855</v>
      </c>
      <c r="T356" s="68">
        <v>251</v>
      </c>
      <c r="U356" s="68">
        <v>1776</v>
      </c>
      <c r="V356" s="68"/>
      <c r="W356" s="68"/>
      <c r="X356" s="68"/>
      <c r="Y356" s="68">
        <v>53.448275862069003</v>
      </c>
      <c r="Z356" s="68">
        <v>87.346129032258105</v>
      </c>
      <c r="AA356" s="68">
        <v>6.39</v>
      </c>
      <c r="AB356" s="68">
        <v>0</v>
      </c>
      <c r="AC356" s="68">
        <v>360</v>
      </c>
    </row>
    <row r="357" spans="1:29" x14ac:dyDescent="0.25">
      <c r="A357" s="70" t="s">
        <v>711</v>
      </c>
      <c r="B357" s="68">
        <v>77.826086956521706</v>
      </c>
      <c r="C357" s="68">
        <v>4.6174999999999997</v>
      </c>
      <c r="D357" s="68">
        <v>77.826086956521706</v>
      </c>
      <c r="E357" s="68">
        <v>4.6174999999999997</v>
      </c>
      <c r="F357" s="68">
        <v>88.188976377952798</v>
      </c>
      <c r="G357" s="68">
        <v>6.90531048047204</v>
      </c>
      <c r="H357" s="68">
        <v>1045</v>
      </c>
      <c r="I357" s="68">
        <v>7338</v>
      </c>
      <c r="J357" s="68">
        <v>30.4</v>
      </c>
      <c r="K357" s="68">
        <v>5.7146843390303497</v>
      </c>
      <c r="L357" s="68">
        <v>492</v>
      </c>
      <c r="M357" s="68">
        <v>2686</v>
      </c>
      <c r="N357" s="68">
        <v>96.6386554621849</v>
      </c>
      <c r="O357" s="68">
        <v>4715</v>
      </c>
      <c r="P357" s="68">
        <v>799</v>
      </c>
      <c r="Q357" s="68">
        <v>15332</v>
      </c>
      <c r="R357" s="68">
        <v>67.543859649122794</v>
      </c>
      <c r="S357" s="68">
        <v>855</v>
      </c>
      <c r="T357" s="68">
        <v>251</v>
      </c>
      <c r="U357" s="68">
        <v>1776</v>
      </c>
      <c r="V357" s="68"/>
      <c r="W357" s="68"/>
      <c r="X357" s="68"/>
      <c r="Y357" s="68">
        <v>53.448275862069003</v>
      </c>
      <c r="Z357" s="68">
        <v>87.346129032258105</v>
      </c>
      <c r="AA357" s="68">
        <v>6.39</v>
      </c>
      <c r="AB357" s="68">
        <v>0</v>
      </c>
      <c r="AC357" s="68">
        <v>360</v>
      </c>
    </row>
    <row r="358" spans="1:29" x14ac:dyDescent="0.25">
      <c r="A358" s="70" t="s">
        <v>712</v>
      </c>
      <c r="B358" s="68">
        <v>90.593708558921193</v>
      </c>
      <c r="C358" s="68">
        <v>4.1519475996538997</v>
      </c>
      <c r="D358" s="68">
        <v>90.593708558921193</v>
      </c>
      <c r="E358" s="68">
        <v>4.1519475996538997</v>
      </c>
      <c r="F358" s="68">
        <v>97.376601729001095</v>
      </c>
      <c r="G358" s="68">
        <v>5.58227037253869</v>
      </c>
      <c r="H358" s="68">
        <v>1270</v>
      </c>
      <c r="I358" s="68">
        <v>6922.5</v>
      </c>
      <c r="J358" s="68">
        <v>84.097560646069198</v>
      </c>
      <c r="K358" s="68">
        <v>4.9891508699279301</v>
      </c>
      <c r="L358" s="68">
        <v>629.5</v>
      </c>
      <c r="M358" s="68">
        <v>2566.5</v>
      </c>
      <c r="N358" s="68">
        <v>98.174610717634593</v>
      </c>
      <c r="O358" s="68">
        <v>4931.0795840118199</v>
      </c>
      <c r="P358" s="68">
        <v>1194</v>
      </c>
      <c r="Q358" s="68">
        <v>6830</v>
      </c>
      <c r="R358" s="68">
        <v>98.358199830167393</v>
      </c>
      <c r="S358" s="68">
        <v>1773.01129675167</v>
      </c>
      <c r="T358" s="68">
        <v>368.5</v>
      </c>
      <c r="U358" s="68">
        <v>3088</v>
      </c>
      <c r="V358" s="68"/>
      <c r="W358" s="68"/>
      <c r="X358" s="68"/>
      <c r="Y358" s="68">
        <v>79.999955415234496</v>
      </c>
      <c r="Z358" s="68">
        <v>86.390084997927701</v>
      </c>
      <c r="AA358" s="68">
        <v>5.4927993670989199</v>
      </c>
      <c r="AB358" s="68">
        <v>47.746710794333801</v>
      </c>
      <c r="AC358" s="68">
        <v>531.88815885960196</v>
      </c>
    </row>
    <row r="359" spans="1:29" x14ac:dyDescent="0.25">
      <c r="A359" s="70" t="s">
        <v>713</v>
      </c>
      <c r="B359" s="68">
        <v>88.958089817783303</v>
      </c>
      <c r="C359" s="68">
        <v>4.2820064260433597</v>
      </c>
      <c r="D359" s="68">
        <v>88.958089817783303</v>
      </c>
      <c r="E359" s="68">
        <v>4.2820064260433597</v>
      </c>
      <c r="F359" s="68">
        <v>97.606432833420499</v>
      </c>
      <c r="G359" s="68">
        <v>6.2371904794520798</v>
      </c>
      <c r="H359" s="68">
        <v>1293</v>
      </c>
      <c r="I359" s="68">
        <v>6877</v>
      </c>
      <c r="J359" s="68">
        <v>84.149330165669298</v>
      </c>
      <c r="K359" s="68">
        <v>5.2642605798464199</v>
      </c>
      <c r="L359" s="68">
        <v>621</v>
      </c>
      <c r="M359" s="68">
        <v>2524</v>
      </c>
      <c r="N359" s="68">
        <v>97.922911535236096</v>
      </c>
      <c r="O359" s="68">
        <v>3822.83545273558</v>
      </c>
      <c r="P359" s="68">
        <v>1188</v>
      </c>
      <c r="Q359" s="68">
        <v>6801</v>
      </c>
      <c r="R359" s="68">
        <v>98.616831507799802</v>
      </c>
      <c r="S359" s="68">
        <v>1597.5503878484001</v>
      </c>
      <c r="T359" s="68">
        <v>377</v>
      </c>
      <c r="U359" s="68">
        <v>2781</v>
      </c>
      <c r="V359" s="68"/>
      <c r="W359" s="68"/>
      <c r="X359" s="68"/>
      <c r="Y359" s="68">
        <v>79.665099261261702</v>
      </c>
      <c r="Z359" s="68">
        <v>85.826101847969099</v>
      </c>
      <c r="AA359" s="68">
        <v>5.4192015263235502</v>
      </c>
      <c r="AB359" s="68">
        <v>46.967703878484002</v>
      </c>
      <c r="AC359" s="68">
        <v>529.08373396254206</v>
      </c>
    </row>
    <row r="360" spans="1:29" x14ac:dyDescent="0.25">
      <c r="A360" s="70" t="s">
        <v>714</v>
      </c>
      <c r="B360" s="68">
        <v>92.506247809598904</v>
      </c>
      <c r="C360" s="68">
        <v>3.9998689983816602</v>
      </c>
      <c r="D360" s="68">
        <v>92.506247809598904</v>
      </c>
      <c r="E360" s="68">
        <v>3.9998689983816602</v>
      </c>
      <c r="F360" s="68">
        <v>97.107858777374702</v>
      </c>
      <c r="G360" s="68">
        <v>4.9718292271898399</v>
      </c>
      <c r="H360" s="68">
        <v>1247</v>
      </c>
      <c r="I360" s="68">
        <v>6968</v>
      </c>
      <c r="J360" s="68">
        <v>84.037026222163604</v>
      </c>
      <c r="K360" s="68">
        <v>4.7018321391225202</v>
      </c>
      <c r="L360" s="68">
        <v>638</v>
      </c>
      <c r="M360" s="68">
        <v>2609</v>
      </c>
      <c r="N360" s="68">
        <v>98.468924149972594</v>
      </c>
      <c r="O360" s="68">
        <v>6226.9563963087803</v>
      </c>
      <c r="P360" s="68">
        <v>1200</v>
      </c>
      <c r="Q360" s="68">
        <v>6859</v>
      </c>
      <c r="R360" s="68">
        <v>98.05578018768</v>
      </c>
      <c r="S360" s="68">
        <v>1978.1788378154399</v>
      </c>
      <c r="T360" s="68">
        <v>360</v>
      </c>
      <c r="U360" s="68">
        <v>3395</v>
      </c>
      <c r="V360" s="68"/>
      <c r="W360" s="68"/>
      <c r="X360" s="68"/>
      <c r="Y360" s="68">
        <v>80.391504815896297</v>
      </c>
      <c r="Z360" s="68">
        <v>87.049554031809095</v>
      </c>
      <c r="AA360" s="68">
        <v>5.5788577838361197</v>
      </c>
      <c r="AB360" s="68">
        <v>48.657608466046398</v>
      </c>
      <c r="AC360" s="68">
        <v>535.16739047776696</v>
      </c>
    </row>
    <row r="361" spans="1:29" x14ac:dyDescent="0.25">
      <c r="A361" s="70" t="s">
        <v>238</v>
      </c>
      <c r="B361" s="68">
        <v>97.256857855361602</v>
      </c>
      <c r="C361" s="68">
        <v>2.5556222222222198</v>
      </c>
      <c r="D361" s="68">
        <v>97.256857855361602</v>
      </c>
      <c r="E361" s="68">
        <v>2.5556222222222198</v>
      </c>
      <c r="F361" s="68">
        <v>99.507389162561594</v>
      </c>
      <c r="G361" s="68">
        <v>2.0632963988036499</v>
      </c>
      <c r="H361" s="68">
        <v>2865</v>
      </c>
      <c r="I361" s="68">
        <v>37242</v>
      </c>
      <c r="J361" s="68">
        <v>96.019900497512396</v>
      </c>
      <c r="K361" s="68">
        <v>1.78737376890942</v>
      </c>
      <c r="L361" s="68">
        <v>1178</v>
      </c>
      <c r="M361" s="68">
        <v>11028</v>
      </c>
      <c r="N361" s="68">
        <v>99.319727891156504</v>
      </c>
      <c r="O361" s="68">
        <v>14989.051149999999</v>
      </c>
      <c r="P361" s="68">
        <v>2932</v>
      </c>
      <c r="Q361" s="68">
        <v>48537</v>
      </c>
      <c r="R361" s="68">
        <v>97.2222222222222</v>
      </c>
      <c r="S361" s="68">
        <v>5654.0710227272702</v>
      </c>
      <c r="T361" s="68">
        <v>656</v>
      </c>
      <c r="U361" s="68">
        <v>20243</v>
      </c>
      <c r="V361" s="68">
        <v>32.758620689655203</v>
      </c>
      <c r="W361" s="68">
        <v>305.26315789473699</v>
      </c>
      <c r="X361" s="68">
        <v>1.613</v>
      </c>
      <c r="Y361" s="68">
        <v>99.310344827586206</v>
      </c>
      <c r="Z361" s="68">
        <v>96.299131944444397</v>
      </c>
      <c r="AA361" s="68">
        <v>2.2959999999999998</v>
      </c>
      <c r="AB361" s="68">
        <v>64</v>
      </c>
      <c r="AC361" s="68">
        <v>607.745</v>
      </c>
    </row>
    <row r="362" spans="1:29" x14ac:dyDescent="0.25">
      <c r="A362" s="70" t="s">
        <v>574</v>
      </c>
      <c r="B362" s="68">
        <v>97.256857855361602</v>
      </c>
      <c r="C362" s="68">
        <v>2.5556222222222198</v>
      </c>
      <c r="D362" s="68">
        <v>97.256857855361602</v>
      </c>
      <c r="E362" s="68">
        <v>2.5556222222222198</v>
      </c>
      <c r="F362" s="68">
        <v>99.507389162561594</v>
      </c>
      <c r="G362" s="68">
        <v>2.0632963988036499</v>
      </c>
      <c r="H362" s="68">
        <v>2865</v>
      </c>
      <c r="I362" s="68">
        <v>37242</v>
      </c>
      <c r="J362" s="68">
        <v>96.019900497512396</v>
      </c>
      <c r="K362" s="68">
        <v>1.78737376890942</v>
      </c>
      <c r="L362" s="68">
        <v>1178</v>
      </c>
      <c r="M362" s="68">
        <v>11028</v>
      </c>
      <c r="N362" s="68">
        <v>99.319727891156504</v>
      </c>
      <c r="O362" s="68">
        <v>14989.051149999999</v>
      </c>
      <c r="P362" s="68">
        <v>2932</v>
      </c>
      <c r="Q362" s="68">
        <v>48537</v>
      </c>
      <c r="R362" s="68">
        <v>97.2222222222222</v>
      </c>
      <c r="S362" s="68">
        <v>5654.0710227272702</v>
      </c>
      <c r="T362" s="68">
        <v>656</v>
      </c>
      <c r="U362" s="68">
        <v>20243</v>
      </c>
      <c r="V362" s="68">
        <v>32.758620689655203</v>
      </c>
      <c r="W362" s="68">
        <v>305.26315789473699</v>
      </c>
      <c r="X362" s="68">
        <v>1.613</v>
      </c>
      <c r="Y362" s="68">
        <v>99.310344827586206</v>
      </c>
      <c r="Z362" s="68">
        <v>96.299131944444397</v>
      </c>
      <c r="AA362" s="68">
        <v>2.2959999999999998</v>
      </c>
      <c r="AB362" s="68">
        <v>64</v>
      </c>
      <c r="AC362" s="68">
        <v>607.745</v>
      </c>
    </row>
    <row r="363" spans="1:29" x14ac:dyDescent="0.25">
      <c r="A363" s="70" t="s">
        <v>239</v>
      </c>
      <c r="B363" s="68">
        <v>97.878000881398194</v>
      </c>
      <c r="C363" s="68">
        <v>2.0088626424206901</v>
      </c>
      <c r="D363" s="68">
        <v>97.878000881398194</v>
      </c>
      <c r="E363" s="68">
        <v>2.0088626424206901</v>
      </c>
      <c r="F363" s="68">
        <v>99.7745644601127</v>
      </c>
      <c r="G363" s="68">
        <v>1.27119857473175</v>
      </c>
      <c r="H363" s="68">
        <v>8054.5</v>
      </c>
      <c r="I363" s="68">
        <v>35352.5</v>
      </c>
      <c r="J363" s="68">
        <v>97.526694696748194</v>
      </c>
      <c r="K363" s="68">
        <v>1.1766171444053299</v>
      </c>
      <c r="L363" s="68">
        <v>2578.5</v>
      </c>
      <c r="M363" s="68">
        <v>8721</v>
      </c>
      <c r="N363" s="68">
        <v>99.405352562445103</v>
      </c>
      <c r="O363" s="68">
        <v>27468.075778362101</v>
      </c>
      <c r="P363" s="68">
        <v>10726</v>
      </c>
      <c r="Q363" s="68">
        <v>53778</v>
      </c>
      <c r="R363" s="68">
        <v>99.2734828930882</v>
      </c>
      <c r="S363" s="68">
        <v>14386.7201778083</v>
      </c>
      <c r="T363" s="68">
        <v>3615</v>
      </c>
      <c r="U363" s="68">
        <v>23583</v>
      </c>
      <c r="V363" s="68">
        <v>100</v>
      </c>
      <c r="W363" s="68">
        <v>100</v>
      </c>
      <c r="X363" s="68">
        <v>0.64749999999999996</v>
      </c>
      <c r="Y363" s="68">
        <v>97.663106931685803</v>
      </c>
      <c r="Z363" s="68">
        <v>95.216421544733393</v>
      </c>
      <c r="AA363" s="68">
        <v>1.89086762709773</v>
      </c>
      <c r="AB363" s="68">
        <v>77.212466900046195</v>
      </c>
      <c r="AC363" s="68">
        <v>612.79888093526199</v>
      </c>
    </row>
    <row r="364" spans="1:29" x14ac:dyDescent="0.25">
      <c r="A364" s="70" t="s">
        <v>240</v>
      </c>
      <c r="B364" s="68">
        <v>96.959297154021897</v>
      </c>
      <c r="C364" s="68">
        <v>2.29684109486112</v>
      </c>
      <c r="D364" s="68">
        <v>96.959297154021897</v>
      </c>
      <c r="E364" s="68">
        <v>2.29684109486112</v>
      </c>
      <c r="F364" s="68">
        <v>99.6512249160849</v>
      </c>
      <c r="G364" s="68">
        <v>2.8687279247007802</v>
      </c>
      <c r="H364" s="68">
        <v>3029</v>
      </c>
      <c r="I364" s="68">
        <v>17695</v>
      </c>
      <c r="J364" s="68">
        <v>95.547733817817104</v>
      </c>
      <c r="K364" s="68">
        <v>3.5940392665760501</v>
      </c>
      <c r="L364" s="68">
        <v>851</v>
      </c>
      <c r="M364" s="68">
        <v>3659</v>
      </c>
      <c r="N364" s="68">
        <v>99.263942394555599</v>
      </c>
      <c r="O364" s="68">
        <v>9993.2864364847301</v>
      </c>
      <c r="P364" s="68">
        <v>3671</v>
      </c>
      <c r="Q364" s="68">
        <v>19084</v>
      </c>
      <c r="R364" s="68">
        <v>99.116159134039606</v>
      </c>
      <c r="S364" s="68">
        <v>2573.3875511340598</v>
      </c>
      <c r="T364" s="68">
        <v>716</v>
      </c>
      <c r="U364" s="68">
        <v>3844</v>
      </c>
      <c r="V364" s="68">
        <v>100</v>
      </c>
      <c r="W364" s="68">
        <v>100</v>
      </c>
      <c r="X364" s="68">
        <v>0.92300000000000004</v>
      </c>
      <c r="Y364" s="68">
        <v>97.454298636293998</v>
      </c>
      <c r="Z364" s="68">
        <v>94.646684317202002</v>
      </c>
      <c r="AA364" s="68">
        <v>2.0479245707992701</v>
      </c>
      <c r="AB364" s="68">
        <v>56.304791325764398</v>
      </c>
      <c r="AC364" s="68">
        <v>514.21387970679598</v>
      </c>
    </row>
    <row r="365" spans="1:29" x14ac:dyDescent="0.25">
      <c r="A365" s="70" t="s">
        <v>241</v>
      </c>
      <c r="B365" s="68">
        <v>98.796704608774505</v>
      </c>
      <c r="C365" s="68">
        <v>1.7208841899802501</v>
      </c>
      <c r="D365" s="68">
        <v>98.796704608774505</v>
      </c>
      <c r="E365" s="68">
        <v>1.7208841899802501</v>
      </c>
      <c r="F365" s="68">
        <v>99.8979040041405</v>
      </c>
      <c r="G365" s="68">
        <v>0.81650532535486298</v>
      </c>
      <c r="H365" s="68">
        <v>13080</v>
      </c>
      <c r="I365" s="68">
        <v>53010</v>
      </c>
      <c r="J365" s="68">
        <v>99.505655575679299</v>
      </c>
      <c r="K365" s="68">
        <v>0.70345760294418802</v>
      </c>
      <c r="L365" s="68">
        <v>4306</v>
      </c>
      <c r="M365" s="68">
        <v>13783</v>
      </c>
      <c r="N365" s="68">
        <v>99.546762730334706</v>
      </c>
      <c r="O365" s="68">
        <v>44942.865120239403</v>
      </c>
      <c r="P365" s="68">
        <v>17781</v>
      </c>
      <c r="Q365" s="68">
        <v>88472</v>
      </c>
      <c r="R365" s="68">
        <v>99.430806652136795</v>
      </c>
      <c r="S365" s="68">
        <v>26200.052804482501</v>
      </c>
      <c r="T365" s="68">
        <v>6514</v>
      </c>
      <c r="U365" s="68">
        <v>43322</v>
      </c>
      <c r="V365" s="68">
        <v>100</v>
      </c>
      <c r="W365" s="68">
        <v>100</v>
      </c>
      <c r="X365" s="68">
        <v>0.372</v>
      </c>
      <c r="Y365" s="68">
        <v>97.871915227077494</v>
      </c>
      <c r="Z365" s="68">
        <v>95.786158772264699</v>
      </c>
      <c r="AA365" s="68">
        <v>1.7338106833961799</v>
      </c>
      <c r="AB365" s="68">
        <v>98.120142474328105</v>
      </c>
      <c r="AC365" s="68">
        <v>711.383882163728</v>
      </c>
    </row>
    <row r="366" spans="1:29" x14ac:dyDescent="0.25">
      <c r="A366" s="70" t="s">
        <v>385</v>
      </c>
      <c r="B366" s="68">
        <v>97.264437689969597</v>
      </c>
      <c r="C366" s="68">
        <v>2.391</v>
      </c>
      <c r="D366" s="68">
        <v>97.264437689969597</v>
      </c>
      <c r="E366" s="68">
        <v>2.391</v>
      </c>
      <c r="F366" s="68">
        <v>99.401197604790397</v>
      </c>
      <c r="G366" s="68">
        <v>1.55029044816027</v>
      </c>
      <c r="H366" s="68">
        <v>2865</v>
      </c>
      <c r="I366" s="68">
        <v>37242</v>
      </c>
      <c r="J366" s="68">
        <v>95.151515151515198</v>
      </c>
      <c r="K366" s="68">
        <v>1.2700880213996599</v>
      </c>
      <c r="L366" s="68">
        <v>1178</v>
      </c>
      <c r="M366" s="68">
        <v>11028</v>
      </c>
      <c r="N366" s="68">
        <v>100</v>
      </c>
      <c r="O366" s="68">
        <v>22438</v>
      </c>
      <c r="P366" s="68">
        <v>2932</v>
      </c>
      <c r="Q366" s="68">
        <v>48537</v>
      </c>
      <c r="R366" s="68">
        <v>97.6</v>
      </c>
      <c r="S366" s="68">
        <v>8762</v>
      </c>
      <c r="T366" s="68">
        <v>656</v>
      </c>
      <c r="U366" s="68">
        <v>20243</v>
      </c>
      <c r="V366" s="68"/>
      <c r="W366" s="68"/>
      <c r="X366" s="68"/>
      <c r="Y366" s="68">
        <v>99.206349206349202</v>
      </c>
      <c r="Z366" s="68">
        <v>92.000159999999994</v>
      </c>
      <c r="AA366" s="68">
        <v>3.37</v>
      </c>
      <c r="AB366" s="68">
        <v>64</v>
      </c>
      <c r="AC366" s="68">
        <v>607.745</v>
      </c>
    </row>
    <row r="367" spans="1:29" x14ac:dyDescent="0.25">
      <c r="A367" s="70" t="s">
        <v>575</v>
      </c>
      <c r="B367" s="68">
        <v>97.264437689969597</v>
      </c>
      <c r="C367" s="68">
        <v>2.391</v>
      </c>
      <c r="D367" s="68">
        <v>97.264437689969597</v>
      </c>
      <c r="E367" s="68">
        <v>2.391</v>
      </c>
      <c r="F367" s="68">
        <v>99.401197604790397</v>
      </c>
      <c r="G367" s="68">
        <v>1.55029044816027</v>
      </c>
      <c r="H367" s="68">
        <v>2865</v>
      </c>
      <c r="I367" s="68">
        <v>37242</v>
      </c>
      <c r="J367" s="68">
        <v>95.151515151515198</v>
      </c>
      <c r="K367" s="68">
        <v>1.2700880213996599</v>
      </c>
      <c r="L367" s="68">
        <v>1178</v>
      </c>
      <c r="M367" s="68">
        <v>11028</v>
      </c>
      <c r="N367" s="68">
        <v>100</v>
      </c>
      <c r="O367" s="68">
        <v>22438</v>
      </c>
      <c r="P367" s="68">
        <v>2932</v>
      </c>
      <c r="Q367" s="68">
        <v>48537</v>
      </c>
      <c r="R367" s="68">
        <v>97.6</v>
      </c>
      <c r="S367" s="68">
        <v>8762</v>
      </c>
      <c r="T367" s="68">
        <v>656</v>
      </c>
      <c r="U367" s="68">
        <v>20243</v>
      </c>
      <c r="V367" s="68"/>
      <c r="W367" s="68"/>
      <c r="X367" s="68"/>
      <c r="Y367" s="68">
        <v>99.206349206349202</v>
      </c>
      <c r="Z367" s="68">
        <v>92.000159999999994</v>
      </c>
      <c r="AA367" s="68">
        <v>3.37</v>
      </c>
      <c r="AB367" s="68">
        <v>64</v>
      </c>
      <c r="AC367" s="68">
        <v>607.745</v>
      </c>
    </row>
    <row r="368" spans="1:29" x14ac:dyDescent="0.25">
      <c r="A368" s="70" t="s">
        <v>242</v>
      </c>
      <c r="B368" s="68">
        <v>98.652481287521695</v>
      </c>
      <c r="C368" s="68">
        <v>1.9850235813828501</v>
      </c>
      <c r="D368" s="68">
        <v>98.652481287521695</v>
      </c>
      <c r="E368" s="68">
        <v>1.9850235813828501</v>
      </c>
      <c r="F368" s="68">
        <v>99.462073658402005</v>
      </c>
      <c r="G368" s="68">
        <v>1.25196183559827</v>
      </c>
      <c r="H368" s="68">
        <v>7392</v>
      </c>
      <c r="I368" s="68">
        <v>32865.5</v>
      </c>
      <c r="J368" s="68">
        <v>96.935607266321</v>
      </c>
      <c r="K368" s="68">
        <v>1.26983801860367</v>
      </c>
      <c r="L368" s="68">
        <v>2277</v>
      </c>
      <c r="M368" s="68">
        <v>8075</v>
      </c>
      <c r="N368" s="68">
        <v>99.741619636512695</v>
      </c>
      <c r="O368" s="68">
        <v>26820.794233303201</v>
      </c>
      <c r="P368" s="68">
        <v>10231</v>
      </c>
      <c r="Q368" s="68">
        <v>44307.5</v>
      </c>
      <c r="R368" s="68">
        <v>99.403001201486703</v>
      </c>
      <c r="S368" s="68">
        <v>14117.1094812714</v>
      </c>
      <c r="T368" s="68">
        <v>2766</v>
      </c>
      <c r="U368" s="68">
        <v>21995</v>
      </c>
      <c r="V368" s="68">
        <v>100</v>
      </c>
      <c r="W368" s="68">
        <v>100</v>
      </c>
      <c r="X368" s="68">
        <v>0.45625755001565899</v>
      </c>
      <c r="Y368" s="68">
        <v>95.168222423373393</v>
      </c>
      <c r="Z368" s="68">
        <v>92.137281539471104</v>
      </c>
      <c r="AA368" s="68">
        <v>2.56428074316235</v>
      </c>
      <c r="AB368" s="68">
        <v>70.599092215876695</v>
      </c>
      <c r="AC368" s="68">
        <v>614.15709474796199</v>
      </c>
    </row>
    <row r="369" spans="1:29" x14ac:dyDescent="0.25">
      <c r="A369" s="70" t="s">
        <v>243</v>
      </c>
      <c r="B369" s="68">
        <v>97.882884886030297</v>
      </c>
      <c r="C369" s="68">
        <v>2.2248054893544298</v>
      </c>
      <c r="D369" s="68">
        <v>97.882884886030297</v>
      </c>
      <c r="E369" s="68">
        <v>2.2248054893544298</v>
      </c>
      <c r="F369" s="68">
        <v>98.971724174671195</v>
      </c>
      <c r="G369" s="68">
        <v>2.7677785179091599</v>
      </c>
      <c r="H369" s="68">
        <v>2552</v>
      </c>
      <c r="I369" s="68">
        <v>16164</v>
      </c>
      <c r="J369" s="68">
        <v>94.4017666345366</v>
      </c>
      <c r="K369" s="68">
        <v>3.43171918676979</v>
      </c>
      <c r="L369" s="68">
        <v>979</v>
      </c>
      <c r="M369" s="68">
        <v>3602</v>
      </c>
      <c r="N369" s="68">
        <v>99.556121037391193</v>
      </c>
      <c r="O369" s="68">
        <v>9381.0504086012606</v>
      </c>
      <c r="P369" s="68">
        <v>2620</v>
      </c>
      <c r="Q369" s="68">
        <v>13952</v>
      </c>
      <c r="R369" s="68">
        <v>99.409113633689401</v>
      </c>
      <c r="S369" s="68">
        <v>2488.9415442995801</v>
      </c>
      <c r="T369" s="68">
        <v>676</v>
      </c>
      <c r="U369" s="68">
        <v>3879</v>
      </c>
      <c r="V369" s="68">
        <v>100</v>
      </c>
      <c r="W369" s="68">
        <v>100</v>
      </c>
      <c r="X369" s="68">
        <v>0.621</v>
      </c>
      <c r="Y369" s="68">
        <v>96.737843833573294</v>
      </c>
      <c r="Z369" s="68">
        <v>90.454929249582705</v>
      </c>
      <c r="AA369" s="68">
        <v>2.8397749154771699</v>
      </c>
      <c r="AB369" s="68">
        <v>46.967703878484002</v>
      </c>
      <c r="AC369" s="68">
        <v>529.08373396254206</v>
      </c>
    </row>
    <row r="370" spans="1:29" x14ac:dyDescent="0.25">
      <c r="A370" s="70" t="s">
        <v>244</v>
      </c>
      <c r="B370" s="68">
        <v>99.422077689013193</v>
      </c>
      <c r="C370" s="68">
        <v>1.7452416734112699</v>
      </c>
      <c r="D370" s="68">
        <v>99.422077689013193</v>
      </c>
      <c r="E370" s="68">
        <v>1.7452416734112699</v>
      </c>
      <c r="F370" s="68">
        <v>99.952423142132702</v>
      </c>
      <c r="G370" s="68">
        <v>0.80893569813342803</v>
      </c>
      <c r="H370" s="68">
        <v>12232</v>
      </c>
      <c r="I370" s="68">
        <v>49567</v>
      </c>
      <c r="J370" s="68">
        <v>99.4694478981055</v>
      </c>
      <c r="K370" s="68">
        <v>0.77905592391608902</v>
      </c>
      <c r="L370" s="68">
        <v>3575</v>
      </c>
      <c r="M370" s="68">
        <v>12548</v>
      </c>
      <c r="N370" s="68">
        <v>99.927118235634197</v>
      </c>
      <c r="O370" s="68">
        <v>44260.538058005201</v>
      </c>
      <c r="P370" s="68">
        <v>17842</v>
      </c>
      <c r="Q370" s="68">
        <v>74663</v>
      </c>
      <c r="R370" s="68">
        <v>99.396888769283905</v>
      </c>
      <c r="S370" s="68">
        <v>25745.277418243299</v>
      </c>
      <c r="T370" s="68">
        <v>4856</v>
      </c>
      <c r="U370" s="68">
        <v>40111</v>
      </c>
      <c r="V370" s="68">
        <v>100</v>
      </c>
      <c r="W370" s="68">
        <v>100</v>
      </c>
      <c r="X370" s="68">
        <v>0.37113367067672098</v>
      </c>
      <c r="Y370" s="68">
        <v>93.598601013173393</v>
      </c>
      <c r="Z370" s="68">
        <v>93.819633829359503</v>
      </c>
      <c r="AA370" s="68">
        <v>2.2887865708475301</v>
      </c>
      <c r="AB370" s="68">
        <v>98.231422786891699</v>
      </c>
      <c r="AC370" s="68">
        <v>713.63390899379499</v>
      </c>
    </row>
    <row r="371" spans="1:29" x14ac:dyDescent="0.25">
      <c r="A371" s="70" t="s">
        <v>715</v>
      </c>
      <c r="B371" s="68">
        <v>92.874692874692897</v>
      </c>
      <c r="C371" s="68">
        <v>3.5838337243401801</v>
      </c>
      <c r="D371" s="68">
        <v>92.874692874692897</v>
      </c>
      <c r="E371" s="68">
        <v>3.5838337243401801</v>
      </c>
      <c r="F371" s="68">
        <v>93.981481481481495</v>
      </c>
      <c r="G371" s="68">
        <v>2.8284709743334302</v>
      </c>
      <c r="H371" s="68">
        <v>5536</v>
      </c>
      <c r="I371" s="68">
        <v>16901</v>
      </c>
      <c r="J371" s="68">
        <v>86.124401913875602</v>
      </c>
      <c r="K371" s="68">
        <v>2.5896504430754002</v>
      </c>
      <c r="L371" s="68">
        <v>1264</v>
      </c>
      <c r="M371" s="68">
        <v>7136</v>
      </c>
      <c r="N371" s="68">
        <v>92.993630573248396</v>
      </c>
      <c r="O371" s="68">
        <v>14330.896467532501</v>
      </c>
      <c r="P371" s="68">
        <v>5679</v>
      </c>
      <c r="Q371" s="68">
        <v>39605</v>
      </c>
      <c r="R371" s="68">
        <v>68.831168831168796</v>
      </c>
      <c r="S371" s="68">
        <v>7280.3314935065</v>
      </c>
      <c r="T371" s="68">
        <v>115</v>
      </c>
      <c r="U371" s="68">
        <v>22207</v>
      </c>
      <c r="V371" s="68">
        <v>30.769230769230798</v>
      </c>
      <c r="W371" s="68">
        <v>311.45833333333297</v>
      </c>
      <c r="X371" s="68">
        <v>0.98950000000000005</v>
      </c>
      <c r="Y371" s="68">
        <v>89.677419354838705</v>
      </c>
      <c r="Z371" s="68">
        <v>103.398381294964</v>
      </c>
      <c r="AA371" s="68">
        <v>2.3690000000000002</v>
      </c>
      <c r="AB371" s="68">
        <v>80.327868852459005</v>
      </c>
      <c r="AC371" s="68">
        <v>646.26499999999999</v>
      </c>
    </row>
    <row r="372" spans="1:29" x14ac:dyDescent="0.25">
      <c r="A372" s="70" t="s">
        <v>716</v>
      </c>
      <c r="B372" s="68">
        <v>92.874692874692897</v>
      </c>
      <c r="C372" s="68">
        <v>3.5838337243401801</v>
      </c>
      <c r="D372" s="68">
        <v>92.874692874692897</v>
      </c>
      <c r="E372" s="68">
        <v>3.5838337243401801</v>
      </c>
      <c r="F372" s="68">
        <v>93.981481481481495</v>
      </c>
      <c r="G372" s="68">
        <v>2.8284709743334302</v>
      </c>
      <c r="H372" s="68">
        <v>5536</v>
      </c>
      <c r="I372" s="68">
        <v>16901</v>
      </c>
      <c r="J372" s="68">
        <v>86.124401913875602</v>
      </c>
      <c r="K372" s="68">
        <v>2.5896504430754002</v>
      </c>
      <c r="L372" s="68">
        <v>1264</v>
      </c>
      <c r="M372" s="68">
        <v>7136</v>
      </c>
      <c r="N372" s="68">
        <v>92.993630573248396</v>
      </c>
      <c r="O372" s="68">
        <v>14330.896467532501</v>
      </c>
      <c r="P372" s="68">
        <v>5679</v>
      </c>
      <c r="Q372" s="68">
        <v>39605</v>
      </c>
      <c r="R372" s="68">
        <v>68.831168831168796</v>
      </c>
      <c r="S372" s="68">
        <v>7280.3314935065</v>
      </c>
      <c r="T372" s="68">
        <v>115</v>
      </c>
      <c r="U372" s="68">
        <v>22207</v>
      </c>
      <c r="V372" s="68">
        <v>30.769230769230798</v>
      </c>
      <c r="W372" s="68">
        <v>311.45833333333297</v>
      </c>
      <c r="X372" s="68">
        <v>0.98950000000000005</v>
      </c>
      <c r="Y372" s="68">
        <v>89.677419354838705</v>
      </c>
      <c r="Z372" s="68">
        <v>103.398381294964</v>
      </c>
      <c r="AA372" s="68">
        <v>2.3690000000000002</v>
      </c>
      <c r="AB372" s="68">
        <v>80.327868852459005</v>
      </c>
      <c r="AC372" s="68">
        <v>646.26499999999999</v>
      </c>
    </row>
    <row r="373" spans="1:29" x14ac:dyDescent="0.25">
      <c r="A373" s="70" t="s">
        <v>717</v>
      </c>
      <c r="B373" s="68">
        <v>97.348256560757704</v>
      </c>
      <c r="C373" s="68">
        <v>2.4704447507990301</v>
      </c>
      <c r="D373" s="68">
        <v>97.348256560757704</v>
      </c>
      <c r="E373" s="68">
        <v>2.4704447507990301</v>
      </c>
      <c r="F373" s="68">
        <v>99.579024887892501</v>
      </c>
      <c r="G373" s="68">
        <v>1.8429260305933299</v>
      </c>
      <c r="H373" s="68">
        <v>5937.5</v>
      </c>
      <c r="I373" s="68">
        <v>15928.5</v>
      </c>
      <c r="J373" s="68">
        <v>97.812952561836497</v>
      </c>
      <c r="K373" s="68">
        <v>1.34470330093969</v>
      </c>
      <c r="L373" s="68">
        <v>1134.5</v>
      </c>
      <c r="M373" s="68">
        <v>6519.5</v>
      </c>
      <c r="N373" s="68">
        <v>99.323973148048296</v>
      </c>
      <c r="O373" s="68">
        <v>24712.8137609843</v>
      </c>
      <c r="P373" s="68">
        <v>9288</v>
      </c>
      <c r="Q373" s="68">
        <v>47021</v>
      </c>
      <c r="R373" s="68">
        <v>99.485483968553595</v>
      </c>
      <c r="S373" s="68">
        <v>14822.948329316099</v>
      </c>
      <c r="T373" s="68">
        <v>2042.5</v>
      </c>
      <c r="U373" s="68">
        <v>23593</v>
      </c>
      <c r="V373" s="68">
        <v>99.657534246575295</v>
      </c>
      <c r="W373" s="68">
        <v>100.344827586207</v>
      </c>
      <c r="X373" s="68">
        <v>0.66935650000000002</v>
      </c>
      <c r="Y373" s="68">
        <v>98.609797252012001</v>
      </c>
      <c r="Z373" s="68">
        <v>97.009926105621105</v>
      </c>
      <c r="AA373" s="68">
        <v>2.0902337895570202</v>
      </c>
      <c r="AB373" s="68">
        <v>74.6719180847644</v>
      </c>
      <c r="AC373" s="68">
        <v>601.27292052352198</v>
      </c>
    </row>
    <row r="374" spans="1:29" x14ac:dyDescent="0.25">
      <c r="A374" s="70" t="s">
        <v>718</v>
      </c>
      <c r="B374" s="68">
        <v>96.839222202053193</v>
      </c>
      <c r="C374" s="68">
        <v>3.1934093086306699</v>
      </c>
      <c r="D374" s="68">
        <v>96.839222202053193</v>
      </c>
      <c r="E374" s="68">
        <v>3.1934093086306699</v>
      </c>
      <c r="F374" s="68">
        <v>99.292275692101398</v>
      </c>
      <c r="G374" s="68">
        <v>3.5802890421025002</v>
      </c>
      <c r="H374" s="68">
        <v>4128</v>
      </c>
      <c r="I374" s="68">
        <v>11658</v>
      </c>
      <c r="J374" s="68">
        <v>96.382297984377104</v>
      </c>
      <c r="K374" s="68">
        <v>3.87289453165508</v>
      </c>
      <c r="L374" s="68">
        <v>739</v>
      </c>
      <c r="M374" s="68">
        <v>3511</v>
      </c>
      <c r="N374" s="68">
        <v>99.147204377738902</v>
      </c>
      <c r="O374" s="68">
        <v>9902.0135407924699</v>
      </c>
      <c r="P374" s="68">
        <v>5405</v>
      </c>
      <c r="Q374" s="68">
        <v>17778</v>
      </c>
      <c r="R374" s="68">
        <v>99.562692883271893</v>
      </c>
      <c r="S374" s="68">
        <v>2639.36728139757</v>
      </c>
      <c r="T374" s="68">
        <v>676</v>
      </c>
      <c r="U374" s="68">
        <v>4151</v>
      </c>
      <c r="V374" s="68">
        <v>100</v>
      </c>
      <c r="W374" s="68">
        <v>100</v>
      </c>
      <c r="X374" s="68">
        <v>0.94199999999999995</v>
      </c>
      <c r="Y374" s="68">
        <v>98.944138697334196</v>
      </c>
      <c r="Z374" s="68">
        <v>95.226764093556298</v>
      </c>
      <c r="AA374" s="68">
        <v>2.3903709349068798</v>
      </c>
      <c r="AB374" s="68">
        <v>56.2792304115614</v>
      </c>
      <c r="AC374" s="68">
        <v>514.21387970679598</v>
      </c>
    </row>
    <row r="375" spans="1:29" x14ac:dyDescent="0.25">
      <c r="A375" s="70" t="s">
        <v>719</v>
      </c>
      <c r="B375" s="68">
        <v>97.857290919462201</v>
      </c>
      <c r="C375" s="68">
        <v>1.74748019296738</v>
      </c>
      <c r="D375" s="68">
        <v>97.857290919462201</v>
      </c>
      <c r="E375" s="68">
        <v>1.74748019296738</v>
      </c>
      <c r="F375" s="68">
        <v>99.865774083683604</v>
      </c>
      <c r="G375" s="68">
        <v>1.2408122619187401</v>
      </c>
      <c r="H375" s="68">
        <v>7747</v>
      </c>
      <c r="I375" s="68">
        <v>20199</v>
      </c>
      <c r="J375" s="68">
        <v>99.243607139295804</v>
      </c>
      <c r="K375" s="68">
        <v>0.81359542025246401</v>
      </c>
      <c r="L375" s="68">
        <v>1530</v>
      </c>
      <c r="M375" s="68">
        <v>9528</v>
      </c>
      <c r="N375" s="68">
        <v>99.500741918357704</v>
      </c>
      <c r="O375" s="68">
        <v>39523.613981176197</v>
      </c>
      <c r="P375" s="68">
        <v>13171</v>
      </c>
      <c r="Q375" s="68">
        <v>76264</v>
      </c>
      <c r="R375" s="68">
        <v>99.408275053835396</v>
      </c>
      <c r="S375" s="68">
        <v>27006.529377234699</v>
      </c>
      <c r="T375" s="68">
        <v>3409</v>
      </c>
      <c r="U375" s="68">
        <v>43035</v>
      </c>
      <c r="V375" s="68">
        <v>99.315068493150704</v>
      </c>
      <c r="W375" s="68">
        <v>100.68965517241401</v>
      </c>
      <c r="X375" s="68">
        <v>0.39671299999999998</v>
      </c>
      <c r="Y375" s="68">
        <v>98.275455806689706</v>
      </c>
      <c r="Z375" s="68">
        <v>98.793088117685897</v>
      </c>
      <c r="AA375" s="68">
        <v>1.79009664420716</v>
      </c>
      <c r="AB375" s="68">
        <v>93.064605757967399</v>
      </c>
      <c r="AC375" s="68">
        <v>688.33196134024899</v>
      </c>
    </row>
    <row r="376" spans="1:29" x14ac:dyDescent="0.25">
      <c r="A376" s="70" t="s">
        <v>720</v>
      </c>
      <c r="B376" s="68">
        <v>91.641791044776099</v>
      </c>
      <c r="C376" s="68">
        <v>2.5963333333333298</v>
      </c>
      <c r="D376" s="68">
        <v>91.641791044776099</v>
      </c>
      <c r="E376" s="68">
        <v>2.5963333333333298</v>
      </c>
      <c r="F376" s="68">
        <v>92.7777777777778</v>
      </c>
      <c r="G376" s="68">
        <v>2.2685552421878401</v>
      </c>
      <c r="H376" s="68">
        <v>5536</v>
      </c>
      <c r="I376" s="68">
        <v>16901</v>
      </c>
      <c r="J376" s="68">
        <v>85.549132947976901</v>
      </c>
      <c r="K376" s="68">
        <v>1.8249148098341601</v>
      </c>
      <c r="L376" s="68">
        <v>1264</v>
      </c>
      <c r="M376" s="68">
        <v>7136</v>
      </c>
      <c r="N376" s="68">
        <v>92.086330935251794</v>
      </c>
      <c r="O376" s="68">
        <v>21857</v>
      </c>
      <c r="P376" s="68">
        <v>5679</v>
      </c>
      <c r="Q376" s="68">
        <v>39605</v>
      </c>
      <c r="R376" s="68">
        <v>64.705882352941202</v>
      </c>
      <c r="S376" s="68">
        <v>12972.5</v>
      </c>
      <c r="T376" s="68">
        <v>115</v>
      </c>
      <c r="U376" s="68">
        <v>22207</v>
      </c>
      <c r="V376" s="68"/>
      <c r="W376" s="68"/>
      <c r="X376" s="68"/>
      <c r="Y376" s="68">
        <v>88.405797101449295</v>
      </c>
      <c r="Z376" s="68">
        <v>96.656557377049197</v>
      </c>
      <c r="AA376" s="68">
        <v>3.6549999999999998</v>
      </c>
      <c r="AB376" s="68">
        <v>80.327868852459005</v>
      </c>
      <c r="AC376" s="68">
        <v>646.26499999999999</v>
      </c>
    </row>
    <row r="377" spans="1:29" x14ac:dyDescent="0.25">
      <c r="A377" s="70" t="s">
        <v>721</v>
      </c>
      <c r="B377" s="68">
        <v>91.641791044776099</v>
      </c>
      <c r="C377" s="68">
        <v>2.5963333333333298</v>
      </c>
      <c r="D377" s="68">
        <v>91.641791044776099</v>
      </c>
      <c r="E377" s="68">
        <v>2.5963333333333298</v>
      </c>
      <c r="F377" s="68">
        <v>92.7777777777778</v>
      </c>
      <c r="G377" s="68">
        <v>2.2685552421878401</v>
      </c>
      <c r="H377" s="68">
        <v>5536</v>
      </c>
      <c r="I377" s="68">
        <v>16901</v>
      </c>
      <c r="J377" s="68">
        <v>85.549132947976901</v>
      </c>
      <c r="K377" s="68">
        <v>1.8249148098341601</v>
      </c>
      <c r="L377" s="68">
        <v>1264</v>
      </c>
      <c r="M377" s="68">
        <v>7136</v>
      </c>
      <c r="N377" s="68">
        <v>92.086330935251794</v>
      </c>
      <c r="O377" s="68">
        <v>21857</v>
      </c>
      <c r="P377" s="68">
        <v>5679</v>
      </c>
      <c r="Q377" s="68">
        <v>39605</v>
      </c>
      <c r="R377" s="68">
        <v>64.705882352941202</v>
      </c>
      <c r="S377" s="68">
        <v>12972.5</v>
      </c>
      <c r="T377" s="68">
        <v>115</v>
      </c>
      <c r="U377" s="68">
        <v>22207</v>
      </c>
      <c r="V377" s="68"/>
      <c r="W377" s="68"/>
      <c r="X377" s="68"/>
      <c r="Y377" s="68">
        <v>88.405797101449295</v>
      </c>
      <c r="Z377" s="68">
        <v>96.656557377049197</v>
      </c>
      <c r="AA377" s="68">
        <v>3.6549999999999998</v>
      </c>
      <c r="AB377" s="68">
        <v>80.327868852459005</v>
      </c>
      <c r="AC377" s="68">
        <v>646.26499999999999</v>
      </c>
    </row>
    <row r="378" spans="1:29" x14ac:dyDescent="0.25">
      <c r="A378" s="70" t="s">
        <v>722</v>
      </c>
      <c r="B378" s="68">
        <v>98.881282541398903</v>
      </c>
      <c r="C378" s="68">
        <v>2.5443052607162899</v>
      </c>
      <c r="D378" s="68">
        <v>98.881282541398903</v>
      </c>
      <c r="E378" s="68">
        <v>2.5443052607162899</v>
      </c>
      <c r="F378" s="68">
        <v>99.828435682122901</v>
      </c>
      <c r="G378" s="68">
        <v>2.3609574944995799</v>
      </c>
      <c r="H378" s="68">
        <v>4792.5</v>
      </c>
      <c r="I378" s="68">
        <v>15575</v>
      </c>
      <c r="J378" s="68">
        <v>97.658840224608696</v>
      </c>
      <c r="K378" s="68">
        <v>2.3094316687177399</v>
      </c>
      <c r="L378" s="68">
        <v>884</v>
      </c>
      <c r="M378" s="68">
        <v>4773.5</v>
      </c>
      <c r="N378" s="68">
        <v>99.569432185301906</v>
      </c>
      <c r="O378" s="68">
        <v>20526.584025326702</v>
      </c>
      <c r="P378" s="68">
        <v>7642.5</v>
      </c>
      <c r="Q378" s="68">
        <v>37211.5</v>
      </c>
      <c r="R378" s="68">
        <v>99.185428589235201</v>
      </c>
      <c r="S378" s="68">
        <v>8946.3363706698292</v>
      </c>
      <c r="T378" s="68">
        <v>1325.5</v>
      </c>
      <c r="U378" s="68">
        <v>16113.5</v>
      </c>
      <c r="V378" s="68">
        <v>100</v>
      </c>
      <c r="W378" s="68">
        <v>97.237748606901405</v>
      </c>
      <c r="X378" s="68">
        <v>0.83967485643165096</v>
      </c>
      <c r="Y378" s="68">
        <v>96.659340203235502</v>
      </c>
      <c r="Z378" s="68">
        <v>94.903169804202093</v>
      </c>
      <c r="AA378" s="68">
        <v>2.8809626985368499</v>
      </c>
      <c r="AB378" s="68">
        <v>66.529500146008601</v>
      </c>
      <c r="AC378" s="68">
        <v>599.50653818530998</v>
      </c>
    </row>
    <row r="379" spans="1:29" x14ac:dyDescent="0.25">
      <c r="A379" s="70" t="s">
        <v>723</v>
      </c>
      <c r="B379" s="68">
        <v>98.264467195806802</v>
      </c>
      <c r="C379" s="68">
        <v>2.9884728645887102</v>
      </c>
      <c r="D379" s="68">
        <v>98.264467195806802</v>
      </c>
      <c r="E379" s="68">
        <v>2.9884728645887102</v>
      </c>
      <c r="F379" s="68">
        <v>99.762922384532999</v>
      </c>
      <c r="G379" s="68">
        <v>3.0579761680864701</v>
      </c>
      <c r="H379" s="68">
        <v>4917</v>
      </c>
      <c r="I379" s="68">
        <v>12602</v>
      </c>
      <c r="J379" s="68">
        <v>97.960029693281101</v>
      </c>
      <c r="K379" s="68">
        <v>3.8044881819893699</v>
      </c>
      <c r="L379" s="68">
        <v>1249</v>
      </c>
      <c r="M379" s="68">
        <v>2981</v>
      </c>
      <c r="N379" s="68">
        <v>99.3749311034627</v>
      </c>
      <c r="O379" s="68">
        <v>11628.2042118067</v>
      </c>
      <c r="P379" s="68">
        <v>6171</v>
      </c>
      <c r="Q379" s="68">
        <v>20442</v>
      </c>
      <c r="R379" s="68">
        <v>99.254273402364007</v>
      </c>
      <c r="S379" s="68">
        <v>2650.8079361066498</v>
      </c>
      <c r="T379" s="68">
        <v>1590</v>
      </c>
      <c r="U379" s="68">
        <v>3742</v>
      </c>
      <c r="V379" s="68">
        <v>100</v>
      </c>
      <c r="W379" s="68">
        <v>100</v>
      </c>
      <c r="X379" s="68">
        <v>0.71899999999999997</v>
      </c>
      <c r="Y379" s="68">
        <v>99.2481027835574</v>
      </c>
      <c r="Z379" s="68">
        <v>92.590320556976494</v>
      </c>
      <c r="AA379" s="68">
        <v>3.2021951798843702</v>
      </c>
      <c r="AB379" s="68">
        <v>46.967703878484002</v>
      </c>
      <c r="AC379" s="68">
        <v>529.08373396254206</v>
      </c>
    </row>
    <row r="380" spans="1:29" x14ac:dyDescent="0.25">
      <c r="A380" s="70" t="s">
        <v>724</v>
      </c>
      <c r="B380" s="68">
        <v>99.498097886991005</v>
      </c>
      <c r="C380" s="68">
        <v>2.1001376568438799</v>
      </c>
      <c r="D380" s="68">
        <v>99.498097886991005</v>
      </c>
      <c r="E380" s="68">
        <v>2.1001376568438799</v>
      </c>
      <c r="F380" s="68">
        <v>99.893948979712704</v>
      </c>
      <c r="G380" s="68">
        <v>1.92270617043711</v>
      </c>
      <c r="H380" s="68">
        <v>4668</v>
      </c>
      <c r="I380" s="68">
        <v>18548</v>
      </c>
      <c r="J380" s="68">
        <v>97.357650755936405</v>
      </c>
      <c r="K380" s="68">
        <v>1.65791704683716</v>
      </c>
      <c r="L380" s="68">
        <v>519</v>
      </c>
      <c r="M380" s="68">
        <v>6566</v>
      </c>
      <c r="N380" s="68">
        <v>99.763933267141098</v>
      </c>
      <c r="O380" s="68">
        <v>29424.963838846801</v>
      </c>
      <c r="P380" s="68">
        <v>9114</v>
      </c>
      <c r="Q380" s="68">
        <v>53981</v>
      </c>
      <c r="R380" s="68">
        <v>99.116583776106395</v>
      </c>
      <c r="S380" s="68">
        <v>15241.864805233001</v>
      </c>
      <c r="T380" s="68">
        <v>1061</v>
      </c>
      <c r="U380" s="68">
        <v>28485</v>
      </c>
      <c r="V380" s="68">
        <v>100</v>
      </c>
      <c r="W380" s="68">
        <v>95.810468908728296</v>
      </c>
      <c r="X380" s="68">
        <v>0.90202862086278501</v>
      </c>
      <c r="Y380" s="68">
        <v>94.070577622913603</v>
      </c>
      <c r="Z380" s="68">
        <v>97.216019051427594</v>
      </c>
      <c r="AA380" s="68">
        <v>2.5597302171893399</v>
      </c>
      <c r="AB380" s="68">
        <v>89.403231190061504</v>
      </c>
      <c r="AC380" s="68">
        <v>681.85236477147998</v>
      </c>
    </row>
    <row r="381" spans="1:29" x14ac:dyDescent="0.25">
      <c r="A381" s="70" t="s">
        <v>245</v>
      </c>
      <c r="B381" s="68">
        <v>96.629213483146103</v>
      </c>
      <c r="C381" s="68">
        <v>2.5346357494722001</v>
      </c>
      <c r="D381" s="68">
        <v>96.629213483146103</v>
      </c>
      <c r="E381" s="68">
        <v>2.5346357494722001</v>
      </c>
      <c r="F381" s="68">
        <v>97.757847533632301</v>
      </c>
      <c r="G381" s="68">
        <v>2.58849274990258</v>
      </c>
      <c r="H381" s="68">
        <v>2692</v>
      </c>
      <c r="I381" s="68">
        <v>28123</v>
      </c>
      <c r="J381" s="68">
        <v>92.376681614349806</v>
      </c>
      <c r="K381" s="68">
        <v>2.6071019092058401</v>
      </c>
      <c r="L381" s="68">
        <v>866</v>
      </c>
      <c r="M381" s="68">
        <v>10344</v>
      </c>
      <c r="N381" s="68">
        <v>94.968553459119505</v>
      </c>
      <c r="O381" s="68">
        <v>12352.988363636399</v>
      </c>
      <c r="P381" s="68">
        <v>2705</v>
      </c>
      <c r="Q381" s="68">
        <v>27240</v>
      </c>
      <c r="R381" s="68">
        <v>81.410256410256395</v>
      </c>
      <c r="S381" s="68">
        <v>5734.8689393939403</v>
      </c>
      <c r="T381" s="68">
        <v>370</v>
      </c>
      <c r="U381" s="68">
        <v>20891</v>
      </c>
      <c r="V381" s="68">
        <v>26.5625</v>
      </c>
      <c r="W381" s="68">
        <v>376.47058823529397</v>
      </c>
      <c r="X381" s="68">
        <v>3.0289999999999999</v>
      </c>
      <c r="Y381" s="68">
        <v>91.082802547770697</v>
      </c>
      <c r="Z381" s="68">
        <v>103.540402097902</v>
      </c>
      <c r="AA381" s="68">
        <v>2.6739999999999999</v>
      </c>
      <c r="AB381" s="68">
        <v>50.793650793650798</v>
      </c>
      <c r="AC381" s="68">
        <v>544.91</v>
      </c>
    </row>
    <row r="382" spans="1:29" x14ac:dyDescent="0.25">
      <c r="A382" s="70" t="s">
        <v>576</v>
      </c>
      <c r="B382" s="68">
        <v>96.629213483146103</v>
      </c>
      <c r="C382" s="68">
        <v>2.5346357494722001</v>
      </c>
      <c r="D382" s="68">
        <v>96.629213483146103</v>
      </c>
      <c r="E382" s="68">
        <v>2.5346357494722001</v>
      </c>
      <c r="F382" s="68">
        <v>97.757847533632301</v>
      </c>
      <c r="G382" s="68">
        <v>2.58849274990258</v>
      </c>
      <c r="H382" s="68">
        <v>2692</v>
      </c>
      <c r="I382" s="68">
        <v>28123</v>
      </c>
      <c r="J382" s="68">
        <v>92.376681614349806</v>
      </c>
      <c r="K382" s="68">
        <v>2.6071019092058401</v>
      </c>
      <c r="L382" s="68">
        <v>866</v>
      </c>
      <c r="M382" s="68">
        <v>10344</v>
      </c>
      <c r="N382" s="68">
        <v>94.968553459119505</v>
      </c>
      <c r="O382" s="68">
        <v>12352.988363636399</v>
      </c>
      <c r="P382" s="68">
        <v>2705</v>
      </c>
      <c r="Q382" s="68">
        <v>27240</v>
      </c>
      <c r="R382" s="68">
        <v>81.410256410256395</v>
      </c>
      <c r="S382" s="68">
        <v>5734.8689393939403</v>
      </c>
      <c r="T382" s="68">
        <v>370</v>
      </c>
      <c r="U382" s="68">
        <v>20891</v>
      </c>
      <c r="V382" s="68">
        <v>26.5625</v>
      </c>
      <c r="W382" s="68">
        <v>376.47058823529397</v>
      </c>
      <c r="X382" s="68">
        <v>3.0289999999999999</v>
      </c>
      <c r="Y382" s="68">
        <v>91.082802547770697</v>
      </c>
      <c r="Z382" s="68">
        <v>103.540402097902</v>
      </c>
      <c r="AA382" s="68">
        <v>2.6739999999999999</v>
      </c>
      <c r="AB382" s="68">
        <v>50.793650793650798</v>
      </c>
      <c r="AC382" s="68">
        <v>544.91</v>
      </c>
    </row>
    <row r="383" spans="1:29" x14ac:dyDescent="0.25">
      <c r="A383" s="70" t="s">
        <v>246</v>
      </c>
      <c r="B383" s="68">
        <v>98.942431569692602</v>
      </c>
      <c r="C383" s="68">
        <v>1.9932047238695501</v>
      </c>
      <c r="D383" s="68">
        <v>98.942431569692602</v>
      </c>
      <c r="E383" s="68">
        <v>1.9932047238695501</v>
      </c>
      <c r="F383" s="68">
        <v>99.752203618863902</v>
      </c>
      <c r="G383" s="68">
        <v>1.1820440580004901</v>
      </c>
      <c r="H383" s="68">
        <v>8850.5</v>
      </c>
      <c r="I383" s="68">
        <v>32012.5</v>
      </c>
      <c r="J383" s="68">
        <v>98.761611651107998</v>
      </c>
      <c r="K383" s="68">
        <v>1.07412621157463</v>
      </c>
      <c r="L383" s="68">
        <v>2692.5</v>
      </c>
      <c r="M383" s="68">
        <v>7705.5</v>
      </c>
      <c r="N383" s="68">
        <v>99.624877863691196</v>
      </c>
      <c r="O383" s="68">
        <v>30785.896473753801</v>
      </c>
      <c r="P383" s="68">
        <v>10655</v>
      </c>
      <c r="Q383" s="68">
        <v>62060.5</v>
      </c>
      <c r="R383" s="68">
        <v>99.5221562617443</v>
      </c>
      <c r="S383" s="68">
        <v>16892.770531509599</v>
      </c>
      <c r="T383" s="68">
        <v>3874</v>
      </c>
      <c r="U383" s="68">
        <v>22809</v>
      </c>
      <c r="V383" s="68">
        <v>100</v>
      </c>
      <c r="W383" s="68">
        <v>100</v>
      </c>
      <c r="X383" s="68">
        <v>0.5595</v>
      </c>
      <c r="Y383" s="68">
        <v>98.823393333819695</v>
      </c>
      <c r="Z383" s="68">
        <v>97.517894307025401</v>
      </c>
      <c r="AA383" s="68">
        <v>1.72408968129278</v>
      </c>
      <c r="AB383" s="68">
        <v>77.960844986945901</v>
      </c>
      <c r="AC383" s="68">
        <v>616.37414347779998</v>
      </c>
    </row>
    <row r="384" spans="1:29" x14ac:dyDescent="0.25">
      <c r="A384" s="70" t="s">
        <v>247</v>
      </c>
      <c r="B384" s="68">
        <v>98.583762617455704</v>
      </c>
      <c r="C384" s="68">
        <v>2.4478563619071001</v>
      </c>
      <c r="D384" s="68">
        <v>98.583762617455704</v>
      </c>
      <c r="E384" s="68">
        <v>2.4478563619071001</v>
      </c>
      <c r="F384" s="68">
        <v>99.587872336977995</v>
      </c>
      <c r="G384" s="68">
        <v>2.5572855240347598</v>
      </c>
      <c r="H384" s="68">
        <v>4565</v>
      </c>
      <c r="I384" s="68">
        <v>16064</v>
      </c>
      <c r="J384" s="68">
        <v>97.599032186358201</v>
      </c>
      <c r="K384" s="68">
        <v>3.3001575683831601</v>
      </c>
      <c r="L384" s="68">
        <v>942</v>
      </c>
      <c r="M384" s="68">
        <v>3449</v>
      </c>
      <c r="N384" s="68">
        <v>99.466455203032197</v>
      </c>
      <c r="O384" s="68">
        <v>10468.084612857599</v>
      </c>
      <c r="P384" s="68">
        <v>4520</v>
      </c>
      <c r="Q384" s="68">
        <v>18328</v>
      </c>
      <c r="R384" s="68">
        <v>99.232948327787099</v>
      </c>
      <c r="S384" s="68">
        <v>3024.0848728249098</v>
      </c>
      <c r="T384" s="68">
        <v>962</v>
      </c>
      <c r="U384" s="68">
        <v>4017</v>
      </c>
      <c r="V384" s="68">
        <v>100</v>
      </c>
      <c r="W384" s="68">
        <v>100</v>
      </c>
      <c r="X384" s="68">
        <v>0.745</v>
      </c>
      <c r="Y384" s="68">
        <v>98.994580954489294</v>
      </c>
      <c r="Z384" s="68">
        <v>95.253885375460399</v>
      </c>
      <c r="AA384" s="68">
        <v>1.88148265281466</v>
      </c>
      <c r="AB384" s="68">
        <v>56.328283956792603</v>
      </c>
      <c r="AC384" s="68">
        <v>514.21387970679598</v>
      </c>
    </row>
    <row r="385" spans="1:29" x14ac:dyDescent="0.25">
      <c r="A385" s="70" t="s">
        <v>248</v>
      </c>
      <c r="B385" s="68">
        <v>99.301100521929499</v>
      </c>
      <c r="C385" s="68">
        <v>1.53855308583201</v>
      </c>
      <c r="D385" s="68">
        <v>99.301100521929499</v>
      </c>
      <c r="E385" s="68">
        <v>1.53855308583201</v>
      </c>
      <c r="F385" s="68">
        <v>99.916534900749795</v>
      </c>
      <c r="G385" s="68">
        <v>0.76867219625691496</v>
      </c>
      <c r="H385" s="68">
        <v>13136</v>
      </c>
      <c r="I385" s="68">
        <v>47961</v>
      </c>
      <c r="J385" s="68">
        <v>99.924191115857795</v>
      </c>
      <c r="K385" s="68">
        <v>0.64145214622820801</v>
      </c>
      <c r="L385" s="68">
        <v>4443</v>
      </c>
      <c r="M385" s="68">
        <v>11962</v>
      </c>
      <c r="N385" s="68">
        <v>99.783300524350196</v>
      </c>
      <c r="O385" s="68">
        <v>51103.70833465</v>
      </c>
      <c r="P385" s="68">
        <v>16790</v>
      </c>
      <c r="Q385" s="68">
        <v>105793</v>
      </c>
      <c r="R385" s="68">
        <v>99.811364195701501</v>
      </c>
      <c r="S385" s="68">
        <v>30761.4561901942</v>
      </c>
      <c r="T385" s="68">
        <v>6786</v>
      </c>
      <c r="U385" s="68">
        <v>41601</v>
      </c>
      <c r="V385" s="68">
        <v>100</v>
      </c>
      <c r="W385" s="68">
        <v>100</v>
      </c>
      <c r="X385" s="68">
        <v>0.374</v>
      </c>
      <c r="Y385" s="68">
        <v>98.652205713149996</v>
      </c>
      <c r="Z385" s="68">
        <v>99.781903238590303</v>
      </c>
      <c r="AA385" s="68">
        <v>1.5666967097708899</v>
      </c>
      <c r="AB385" s="68">
        <v>99.593406017099198</v>
      </c>
      <c r="AC385" s="68">
        <v>718.53440724880397</v>
      </c>
    </row>
    <row r="386" spans="1:29" x14ac:dyDescent="0.25">
      <c r="A386" s="70" t="s">
        <v>386</v>
      </c>
      <c r="B386" s="68">
        <v>95.978552278820402</v>
      </c>
      <c r="C386" s="68">
        <v>2.5390000000000001</v>
      </c>
      <c r="D386" s="68">
        <v>95.978552278820402</v>
      </c>
      <c r="E386" s="68">
        <v>2.5390000000000001</v>
      </c>
      <c r="F386" s="68">
        <v>97.326203208556095</v>
      </c>
      <c r="G386" s="68">
        <v>2.0799820348773901</v>
      </c>
      <c r="H386" s="68">
        <v>2692</v>
      </c>
      <c r="I386" s="68">
        <v>28123</v>
      </c>
      <c r="J386" s="68">
        <v>90.909090909090907</v>
      </c>
      <c r="K386" s="68">
        <v>1.8887660077453501</v>
      </c>
      <c r="L386" s="68">
        <v>866</v>
      </c>
      <c r="M386" s="68">
        <v>10344</v>
      </c>
      <c r="N386" s="68">
        <v>94.366197183098606</v>
      </c>
      <c r="O386" s="68">
        <v>17957</v>
      </c>
      <c r="P386" s="68">
        <v>2705</v>
      </c>
      <c r="Q386" s="68">
        <v>27240</v>
      </c>
      <c r="R386" s="68">
        <v>79.136690647481998</v>
      </c>
      <c r="S386" s="68">
        <v>9028</v>
      </c>
      <c r="T386" s="68">
        <v>370</v>
      </c>
      <c r="U386" s="68">
        <v>20891</v>
      </c>
      <c r="V386" s="68"/>
      <c r="W386" s="68"/>
      <c r="X386" s="68"/>
      <c r="Y386" s="68">
        <v>90</v>
      </c>
      <c r="Z386" s="68">
        <v>98.461111111111094</v>
      </c>
      <c r="AA386" s="68">
        <v>3.6349999999999998</v>
      </c>
      <c r="AB386" s="68">
        <v>50.793650793650798</v>
      </c>
      <c r="AC386" s="68">
        <v>544.91</v>
      </c>
    </row>
    <row r="387" spans="1:29" x14ac:dyDescent="0.25">
      <c r="A387" s="70" t="s">
        <v>577</v>
      </c>
      <c r="B387" s="68">
        <v>95.978552278820402</v>
      </c>
      <c r="C387" s="68">
        <v>2.5390000000000001</v>
      </c>
      <c r="D387" s="68">
        <v>95.978552278820402</v>
      </c>
      <c r="E387" s="68">
        <v>2.5390000000000001</v>
      </c>
      <c r="F387" s="68">
        <v>97.326203208556095</v>
      </c>
      <c r="G387" s="68">
        <v>2.0799820348773901</v>
      </c>
      <c r="H387" s="68">
        <v>2692</v>
      </c>
      <c r="I387" s="68">
        <v>28123</v>
      </c>
      <c r="J387" s="68">
        <v>90.909090909090907</v>
      </c>
      <c r="K387" s="68">
        <v>1.8887660077453501</v>
      </c>
      <c r="L387" s="68">
        <v>866</v>
      </c>
      <c r="M387" s="68">
        <v>10344</v>
      </c>
      <c r="N387" s="68">
        <v>94.366197183098606</v>
      </c>
      <c r="O387" s="68">
        <v>17957</v>
      </c>
      <c r="P387" s="68">
        <v>2705</v>
      </c>
      <c r="Q387" s="68">
        <v>27240</v>
      </c>
      <c r="R387" s="68">
        <v>79.136690647481998</v>
      </c>
      <c r="S387" s="68">
        <v>9028</v>
      </c>
      <c r="T387" s="68">
        <v>370</v>
      </c>
      <c r="U387" s="68">
        <v>20891</v>
      </c>
      <c r="V387" s="68"/>
      <c r="W387" s="68"/>
      <c r="X387" s="68"/>
      <c r="Y387" s="68">
        <v>90</v>
      </c>
      <c r="Z387" s="68">
        <v>98.461111111111094</v>
      </c>
      <c r="AA387" s="68">
        <v>3.6349999999999998</v>
      </c>
      <c r="AB387" s="68">
        <v>50.793650793650798</v>
      </c>
      <c r="AC387" s="68">
        <v>544.91</v>
      </c>
    </row>
    <row r="388" spans="1:29" x14ac:dyDescent="0.25">
      <c r="A388" s="70" t="s">
        <v>249</v>
      </c>
      <c r="B388" s="68">
        <v>99.337011808898097</v>
      </c>
      <c r="C388" s="68">
        <v>1.85137011852026</v>
      </c>
      <c r="D388" s="68">
        <v>99.337011808898097</v>
      </c>
      <c r="E388" s="68">
        <v>1.85137011852026</v>
      </c>
      <c r="F388" s="68">
        <v>99.605650166262507</v>
      </c>
      <c r="G388" s="68">
        <v>1.0950277822052701</v>
      </c>
      <c r="H388" s="68">
        <v>5995.5</v>
      </c>
      <c r="I388" s="68">
        <v>26430.5</v>
      </c>
      <c r="J388" s="68">
        <v>98.164155001668803</v>
      </c>
      <c r="K388" s="68">
        <v>1.2560444243815301</v>
      </c>
      <c r="L388" s="68">
        <v>2340.5</v>
      </c>
      <c r="M388" s="68">
        <v>7659</v>
      </c>
      <c r="N388" s="68">
        <v>99.429388562581494</v>
      </c>
      <c r="O388" s="68">
        <v>33374.841635368597</v>
      </c>
      <c r="P388" s="68">
        <v>6412.5</v>
      </c>
      <c r="Q388" s="68">
        <v>48382.5</v>
      </c>
      <c r="R388" s="68">
        <v>99.043182766259207</v>
      </c>
      <c r="S388" s="68">
        <v>16008.41697916</v>
      </c>
      <c r="T388" s="68">
        <v>2750.5</v>
      </c>
      <c r="U388" s="68">
        <v>22053.5</v>
      </c>
      <c r="V388" s="68">
        <v>100</v>
      </c>
      <c r="W388" s="68">
        <v>100</v>
      </c>
      <c r="X388" s="68">
        <v>0.42539993054845598</v>
      </c>
      <c r="Y388" s="68">
        <v>99.384337832206896</v>
      </c>
      <c r="Z388" s="68">
        <v>96.390253474173903</v>
      </c>
      <c r="AA388" s="68">
        <v>2.2412303282901598</v>
      </c>
      <c r="AB388" s="68">
        <v>71.380448288347495</v>
      </c>
      <c r="AC388" s="68">
        <v>616.96974950646495</v>
      </c>
    </row>
    <row r="389" spans="1:29" x14ac:dyDescent="0.25">
      <c r="A389" s="70" t="s">
        <v>250</v>
      </c>
      <c r="B389" s="68">
        <v>98.746426074683697</v>
      </c>
      <c r="C389" s="68">
        <v>2.1957134679983201</v>
      </c>
      <c r="D389" s="68">
        <v>98.746426074683697</v>
      </c>
      <c r="E389" s="68">
        <v>2.1957134679983201</v>
      </c>
      <c r="F389" s="68">
        <v>99.2113003325249</v>
      </c>
      <c r="G389" s="68">
        <v>2.1966176948152598</v>
      </c>
      <c r="H389" s="68">
        <v>4331</v>
      </c>
      <c r="I389" s="68">
        <v>16080</v>
      </c>
      <c r="J389" s="68">
        <v>96.397952578176003</v>
      </c>
      <c r="K389" s="68">
        <v>3.4417586469099199</v>
      </c>
      <c r="L389" s="68">
        <v>775</v>
      </c>
      <c r="M389" s="68">
        <v>3595</v>
      </c>
      <c r="N389" s="68">
        <v>99.267810739534497</v>
      </c>
      <c r="O389" s="68">
        <v>12468.3643566512</v>
      </c>
      <c r="P389" s="68">
        <v>5061</v>
      </c>
      <c r="Q389" s="68">
        <v>18981</v>
      </c>
      <c r="R389" s="68">
        <v>98.719778169030704</v>
      </c>
      <c r="S389" s="68">
        <v>2828.8460606796498</v>
      </c>
      <c r="T389" s="68">
        <v>629</v>
      </c>
      <c r="U389" s="68">
        <v>4125</v>
      </c>
      <c r="V389" s="68">
        <v>100</v>
      </c>
      <c r="W389" s="68">
        <v>100</v>
      </c>
      <c r="X389" s="68">
        <v>0.54700000000000004</v>
      </c>
      <c r="Y389" s="68">
        <v>99.247242570777999</v>
      </c>
      <c r="Z389" s="68">
        <v>92.851706836255005</v>
      </c>
      <c r="AA389" s="68">
        <v>2.4206050748813199</v>
      </c>
      <c r="AB389" s="68">
        <v>46.967703878484002</v>
      </c>
      <c r="AC389" s="68">
        <v>529.08373396254206</v>
      </c>
    </row>
    <row r="390" spans="1:29" x14ac:dyDescent="0.25">
      <c r="A390" s="70" t="s">
        <v>251</v>
      </c>
      <c r="B390" s="68">
        <v>99.927597543112597</v>
      </c>
      <c r="C390" s="68">
        <v>1.5070267690421999</v>
      </c>
      <c r="D390" s="68">
        <v>99.927597543112597</v>
      </c>
      <c r="E390" s="68">
        <v>1.5070267690421999</v>
      </c>
      <c r="F390" s="68">
        <v>100</v>
      </c>
      <c r="G390" s="68">
        <v>0.72929229721356104</v>
      </c>
      <c r="H390" s="68">
        <v>7660</v>
      </c>
      <c r="I390" s="68">
        <v>36781</v>
      </c>
      <c r="J390" s="68">
        <v>99.930357425161503</v>
      </c>
      <c r="K390" s="68">
        <v>0.76819593071616399</v>
      </c>
      <c r="L390" s="68">
        <v>3906</v>
      </c>
      <c r="M390" s="68">
        <v>11723</v>
      </c>
      <c r="N390" s="68">
        <v>99.590966385628505</v>
      </c>
      <c r="O390" s="68">
        <v>54281.318914085998</v>
      </c>
      <c r="P390" s="68">
        <v>7764</v>
      </c>
      <c r="Q390" s="68">
        <v>77784</v>
      </c>
      <c r="R390" s="68">
        <v>99.366587363487795</v>
      </c>
      <c r="S390" s="68">
        <v>29187.9878976404</v>
      </c>
      <c r="T390" s="68">
        <v>4872</v>
      </c>
      <c r="U390" s="68">
        <v>39982</v>
      </c>
      <c r="V390" s="68">
        <v>100</v>
      </c>
      <c r="W390" s="68">
        <v>100</v>
      </c>
      <c r="X390" s="68">
        <v>0.36256810037606602</v>
      </c>
      <c r="Y390" s="68">
        <v>99.521433093635693</v>
      </c>
      <c r="Z390" s="68">
        <v>99.928800112092802</v>
      </c>
      <c r="AA390" s="68">
        <v>2.0618555816990098</v>
      </c>
      <c r="AB390" s="68">
        <v>99.926423414643196</v>
      </c>
      <c r="AC390" s="68">
        <v>719.73541859905697</v>
      </c>
    </row>
    <row r="391" spans="1:29" x14ac:dyDescent="0.25">
      <c r="A391" s="70" t="s">
        <v>252</v>
      </c>
      <c r="B391" s="68">
        <v>95.5304740406321</v>
      </c>
      <c r="C391" s="68">
        <v>1.34337895526331</v>
      </c>
      <c r="D391" s="68">
        <v>95.5304740406321</v>
      </c>
      <c r="E391" s="68">
        <v>1.34337895526331</v>
      </c>
      <c r="F391" s="68">
        <v>97.175141242937897</v>
      </c>
      <c r="G391" s="68">
        <v>1.1321613011568501</v>
      </c>
      <c r="H391" s="68">
        <v>4575.3504999999996</v>
      </c>
      <c r="I391" s="68">
        <v>41522.491000000002</v>
      </c>
      <c r="J391" s="68">
        <v>96.775599128540307</v>
      </c>
      <c r="K391" s="68">
        <v>0.96495558216900001</v>
      </c>
      <c r="L391" s="68">
        <v>1607.7170000000001</v>
      </c>
      <c r="M391" s="68">
        <v>14625.228999999999</v>
      </c>
      <c r="N391" s="68">
        <v>96.605744125326396</v>
      </c>
      <c r="O391" s="68">
        <v>31450.597882618102</v>
      </c>
      <c r="P391" s="68">
        <v>5831.0243</v>
      </c>
      <c r="Q391" s="68">
        <v>68755.228900000002</v>
      </c>
      <c r="R391" s="68">
        <v>96.753246753246799</v>
      </c>
      <c r="S391" s="68">
        <v>20571.925906176399</v>
      </c>
      <c r="T391" s="68">
        <v>1522.4531999999999</v>
      </c>
      <c r="U391" s="68">
        <v>38117.240599999997</v>
      </c>
      <c r="V391" s="68"/>
      <c r="W391" s="68"/>
      <c r="X391" s="68"/>
      <c r="Y391" s="68">
        <v>93.8965059708094</v>
      </c>
      <c r="Z391" s="68">
        <v>99.987504067999794</v>
      </c>
      <c r="AA391" s="68">
        <v>2.2157075454545501</v>
      </c>
      <c r="AB391" s="68">
        <v>57.936881771078703</v>
      </c>
      <c r="AC391" s="68">
        <v>651.21515121616301</v>
      </c>
    </row>
    <row r="392" spans="1:29" x14ac:dyDescent="0.25">
      <c r="A392" s="70" t="s">
        <v>578</v>
      </c>
      <c r="B392" s="68">
        <v>95.5304740406321</v>
      </c>
      <c r="C392" s="68">
        <v>1.34337895526331</v>
      </c>
      <c r="D392" s="68">
        <v>95.5304740406321</v>
      </c>
      <c r="E392" s="68">
        <v>1.34337895526331</v>
      </c>
      <c r="F392" s="68">
        <v>97.175141242937897</v>
      </c>
      <c r="G392" s="68">
        <v>1.1321613011568501</v>
      </c>
      <c r="H392" s="68">
        <v>4575.3504999999996</v>
      </c>
      <c r="I392" s="68">
        <v>41522.491000000002</v>
      </c>
      <c r="J392" s="68">
        <v>96.775599128540307</v>
      </c>
      <c r="K392" s="68">
        <v>0.96495558216900001</v>
      </c>
      <c r="L392" s="68">
        <v>1607.7170000000001</v>
      </c>
      <c r="M392" s="68">
        <v>14625.228999999999</v>
      </c>
      <c r="N392" s="68">
        <v>96.605744125326396</v>
      </c>
      <c r="O392" s="68">
        <v>31450.597882618102</v>
      </c>
      <c r="P392" s="68">
        <v>5831.0243</v>
      </c>
      <c r="Q392" s="68">
        <v>68755.228900000002</v>
      </c>
      <c r="R392" s="68">
        <v>96.753246753246799</v>
      </c>
      <c r="S392" s="68">
        <v>20571.925906176399</v>
      </c>
      <c r="T392" s="68">
        <v>1522.4531999999999</v>
      </c>
      <c r="U392" s="68">
        <v>38117.240599999997</v>
      </c>
      <c r="V392" s="68"/>
      <c r="W392" s="68"/>
      <c r="X392" s="68"/>
      <c r="Y392" s="68">
        <v>93.8965059708094</v>
      </c>
      <c r="Z392" s="68">
        <v>99.987504067999794</v>
      </c>
      <c r="AA392" s="68">
        <v>2.2157075454545501</v>
      </c>
      <c r="AB392" s="68">
        <v>57.936881771078703</v>
      </c>
      <c r="AC392" s="68">
        <v>651.21515121616301</v>
      </c>
    </row>
    <row r="393" spans="1:29" x14ac:dyDescent="0.25">
      <c r="A393" s="70" t="s">
        <v>253</v>
      </c>
      <c r="B393" s="68">
        <v>95.001737476975805</v>
      </c>
      <c r="C393" s="68">
        <v>1.879876288612</v>
      </c>
      <c r="D393" s="68">
        <v>95.001737476975805</v>
      </c>
      <c r="E393" s="68">
        <v>1.879876288612</v>
      </c>
      <c r="F393" s="68">
        <v>96.539155065735997</v>
      </c>
      <c r="G393" s="68">
        <v>1.51898294795817</v>
      </c>
      <c r="H393" s="68">
        <v>7061.9390909090898</v>
      </c>
      <c r="I393" s="68">
        <v>39632.401818181803</v>
      </c>
      <c r="J393" s="68">
        <v>95.419022306582903</v>
      </c>
      <c r="K393" s="68">
        <v>1.4452352168329301</v>
      </c>
      <c r="L393" s="68">
        <v>3848.4036363636401</v>
      </c>
      <c r="M393" s="68">
        <v>14187.377272727301</v>
      </c>
      <c r="N393" s="68">
        <v>96.695401594694005</v>
      </c>
      <c r="O393" s="68">
        <v>25266.274890312299</v>
      </c>
      <c r="P393" s="68">
        <v>8047.4399090909101</v>
      </c>
      <c r="Q393" s="68">
        <v>77975.066999999995</v>
      </c>
      <c r="R393" s="68">
        <v>94.850086343950494</v>
      </c>
      <c r="S393" s="68">
        <v>12761.956670499399</v>
      </c>
      <c r="T393" s="68">
        <v>4767.8860000000004</v>
      </c>
      <c r="U393" s="68">
        <v>38252.691818181796</v>
      </c>
      <c r="V393" s="68"/>
      <c r="W393" s="68"/>
      <c r="X393" s="68"/>
      <c r="Y393" s="68">
        <v>94.174056325848795</v>
      </c>
      <c r="Z393" s="68">
        <v>98.597920482849204</v>
      </c>
      <c r="AA393" s="68">
        <v>2.19955915387352</v>
      </c>
      <c r="AB393" s="68">
        <v>0.52471063060059098</v>
      </c>
      <c r="AC393" s="68">
        <v>488.61909449744797</v>
      </c>
    </row>
    <row r="394" spans="1:29" x14ac:dyDescent="0.25">
      <c r="A394" s="70" t="s">
        <v>254</v>
      </c>
      <c r="B394" s="68">
        <v>91.864973169253204</v>
      </c>
      <c r="C394" s="68">
        <v>2.5675305502467398</v>
      </c>
      <c r="D394" s="68">
        <v>91.864973169253204</v>
      </c>
      <c r="E394" s="68">
        <v>2.5675305502467398</v>
      </c>
      <c r="F394" s="68">
        <v>94.630320899502394</v>
      </c>
      <c r="G394" s="68">
        <v>3.0432371727638801</v>
      </c>
      <c r="H394" s="68">
        <v>1952</v>
      </c>
      <c r="I394" s="68">
        <v>16376</v>
      </c>
      <c r="J394" s="68">
        <v>91.918597044896799</v>
      </c>
      <c r="K394" s="68">
        <v>4.9811281823230997</v>
      </c>
      <c r="L394" s="68">
        <v>774</v>
      </c>
      <c r="M394" s="68">
        <v>2215</v>
      </c>
      <c r="N394" s="68">
        <v>94.682852393534404</v>
      </c>
      <c r="O394" s="68">
        <v>9034.0478596010107</v>
      </c>
      <c r="P394" s="68">
        <v>2179</v>
      </c>
      <c r="Q394" s="68">
        <v>18675</v>
      </c>
      <c r="R394" s="68">
        <v>90.6069173773882</v>
      </c>
      <c r="S394" s="68">
        <v>1730.2946411526</v>
      </c>
      <c r="T394" s="68">
        <v>693</v>
      </c>
      <c r="U394" s="68">
        <v>2329</v>
      </c>
      <c r="V394" s="68"/>
      <c r="W394" s="68"/>
      <c r="X394" s="68"/>
      <c r="Y394" s="68">
        <v>89.904492141638897</v>
      </c>
      <c r="Z394" s="68">
        <v>97.285581733519606</v>
      </c>
      <c r="AA394" s="68">
        <v>2.4939244940092098</v>
      </c>
      <c r="AB394" s="68">
        <v>0</v>
      </c>
      <c r="AC394" s="68">
        <v>363.86817779943698</v>
      </c>
    </row>
    <row r="395" spans="1:29" x14ac:dyDescent="0.25">
      <c r="A395" s="70" t="s">
        <v>255</v>
      </c>
      <c r="B395" s="68">
        <v>98.138501784698406</v>
      </c>
      <c r="C395" s="68">
        <v>1.1922220269772601</v>
      </c>
      <c r="D395" s="68">
        <v>98.138501784698406</v>
      </c>
      <c r="E395" s="68">
        <v>1.1922220269772601</v>
      </c>
      <c r="F395" s="68">
        <v>98.4479892319697</v>
      </c>
      <c r="G395" s="68">
        <v>1.01207095310141</v>
      </c>
      <c r="H395" s="68">
        <v>7572.933</v>
      </c>
      <c r="I395" s="68">
        <v>41958.042000000001</v>
      </c>
      <c r="J395" s="68">
        <v>98.919447568269106</v>
      </c>
      <c r="K395" s="68">
        <v>0.845237054565804</v>
      </c>
      <c r="L395" s="68">
        <v>4155.8440000000001</v>
      </c>
      <c r="M395" s="68">
        <v>15384.615</v>
      </c>
      <c r="N395" s="68">
        <v>98.707950795853606</v>
      </c>
      <c r="O395" s="68">
        <v>41498.501921023701</v>
      </c>
      <c r="P395" s="68">
        <v>8634.2839000000004</v>
      </c>
      <c r="Q395" s="68">
        <v>83905.073699999994</v>
      </c>
      <c r="R395" s="68">
        <v>99.093255310512802</v>
      </c>
      <c r="S395" s="68">
        <v>23793.618699846302</v>
      </c>
      <c r="T395" s="68">
        <v>5175.3746000000001</v>
      </c>
      <c r="U395" s="68">
        <v>41845.061000000002</v>
      </c>
      <c r="V395" s="68"/>
      <c r="W395" s="68"/>
      <c r="X395" s="68"/>
      <c r="Y395" s="68">
        <v>98.443620510058693</v>
      </c>
      <c r="Z395" s="68">
        <v>99.910259232178802</v>
      </c>
      <c r="AA395" s="68">
        <v>1.9051938137378299</v>
      </c>
      <c r="AB395" s="68">
        <v>1.04942126120118</v>
      </c>
      <c r="AC395" s="68">
        <v>613.37001119545903</v>
      </c>
    </row>
    <row r="396" spans="1:29" x14ac:dyDescent="0.25">
      <c r="A396" s="70" t="s">
        <v>387</v>
      </c>
      <c r="B396" s="68">
        <v>95.5304740406321</v>
      </c>
      <c r="C396" s="68">
        <v>1.34337895526331</v>
      </c>
      <c r="D396" s="68">
        <v>95.5304740406321</v>
      </c>
      <c r="E396" s="68">
        <v>1.34337895526331</v>
      </c>
      <c r="F396" s="68">
        <v>97.175141242937897</v>
      </c>
      <c r="G396" s="68">
        <v>1.1321613011568501</v>
      </c>
      <c r="H396" s="68">
        <v>4575.3504999999996</v>
      </c>
      <c r="I396" s="68">
        <v>41522.491000000002</v>
      </c>
      <c r="J396" s="68">
        <v>96.775599128540307</v>
      </c>
      <c r="K396" s="68">
        <v>0.96495558216900001</v>
      </c>
      <c r="L396" s="68">
        <v>1607.7170000000001</v>
      </c>
      <c r="M396" s="68">
        <v>14625.228999999999</v>
      </c>
      <c r="N396" s="68">
        <v>96.605744125326396</v>
      </c>
      <c r="O396" s="68">
        <v>31450.597882618102</v>
      </c>
      <c r="P396" s="68">
        <v>5831.0243</v>
      </c>
      <c r="Q396" s="68">
        <v>68755.228900000002</v>
      </c>
      <c r="R396" s="68">
        <v>96.753246753246799</v>
      </c>
      <c r="S396" s="68">
        <v>20571.925906176399</v>
      </c>
      <c r="T396" s="68">
        <v>1522.4531999999999</v>
      </c>
      <c r="U396" s="68">
        <v>38117.240599999997</v>
      </c>
      <c r="V396" s="68"/>
      <c r="W396" s="68"/>
      <c r="X396" s="68"/>
      <c r="Y396" s="68">
        <v>93.8965059708094</v>
      </c>
      <c r="Z396" s="68">
        <v>99.987504067999794</v>
      </c>
      <c r="AA396" s="68">
        <v>2.2157075454545501</v>
      </c>
      <c r="AB396" s="68">
        <v>57.936881771078703</v>
      </c>
      <c r="AC396" s="68">
        <v>651.21515121616301</v>
      </c>
    </row>
    <row r="397" spans="1:29" x14ac:dyDescent="0.25">
      <c r="A397" s="70" t="s">
        <v>579</v>
      </c>
      <c r="B397" s="68">
        <v>95.5304740406321</v>
      </c>
      <c r="C397" s="68">
        <v>1.34337895526331</v>
      </c>
      <c r="D397" s="68">
        <v>95.5304740406321</v>
      </c>
      <c r="E397" s="68">
        <v>1.34337895526331</v>
      </c>
      <c r="F397" s="68">
        <v>97.175141242937897</v>
      </c>
      <c r="G397" s="68">
        <v>1.1321613011568501</v>
      </c>
      <c r="H397" s="68">
        <v>4575.3504999999996</v>
      </c>
      <c r="I397" s="68">
        <v>41522.491000000002</v>
      </c>
      <c r="J397" s="68">
        <v>96.775599128540307</v>
      </c>
      <c r="K397" s="68">
        <v>0.96495558216900001</v>
      </c>
      <c r="L397" s="68">
        <v>1607.7170000000001</v>
      </c>
      <c r="M397" s="68">
        <v>14625.228999999999</v>
      </c>
      <c r="N397" s="68">
        <v>96.605744125326396</v>
      </c>
      <c r="O397" s="68">
        <v>31450.597882618102</v>
      </c>
      <c r="P397" s="68">
        <v>5831.0243</v>
      </c>
      <c r="Q397" s="68">
        <v>68755.228900000002</v>
      </c>
      <c r="R397" s="68">
        <v>96.753246753246799</v>
      </c>
      <c r="S397" s="68">
        <v>20571.925906176399</v>
      </c>
      <c r="T397" s="68">
        <v>1522.4531999999999</v>
      </c>
      <c r="U397" s="68">
        <v>38117.240599999997</v>
      </c>
      <c r="V397" s="68"/>
      <c r="W397" s="68"/>
      <c r="X397" s="68"/>
      <c r="Y397" s="68">
        <v>93.8965059708094</v>
      </c>
      <c r="Z397" s="68">
        <v>99.987504067999794</v>
      </c>
      <c r="AA397" s="68">
        <v>2.2157075454545501</v>
      </c>
      <c r="AB397" s="68">
        <v>57.936881771078703</v>
      </c>
      <c r="AC397" s="68">
        <v>651.21515121616301</v>
      </c>
    </row>
    <row r="398" spans="1:29" x14ac:dyDescent="0.25">
      <c r="A398" s="70" t="s">
        <v>256</v>
      </c>
      <c r="B398" s="68">
        <v>96.084813935668805</v>
      </c>
      <c r="C398" s="68">
        <v>1.9287963139621001</v>
      </c>
      <c r="D398" s="68">
        <v>96.084813935668805</v>
      </c>
      <c r="E398" s="68">
        <v>1.9287963139621001</v>
      </c>
      <c r="F398" s="68">
        <v>97.601355337611494</v>
      </c>
      <c r="G398" s="68">
        <v>1.5657081711398499</v>
      </c>
      <c r="H398" s="68">
        <v>6638.0654230769196</v>
      </c>
      <c r="I398" s="68">
        <v>36434.062038461503</v>
      </c>
      <c r="J398" s="68">
        <v>95.422076130165294</v>
      </c>
      <c r="K398" s="68">
        <v>1.53760023892516</v>
      </c>
      <c r="L398" s="68">
        <v>3311.4192692307702</v>
      </c>
      <c r="M398" s="68">
        <v>12313.5068307692</v>
      </c>
      <c r="N398" s="68">
        <v>97.392406913000997</v>
      </c>
      <c r="O398" s="68">
        <v>21389.5032781437</v>
      </c>
      <c r="P398" s="68">
        <v>7960.40475384615</v>
      </c>
      <c r="Q398" s="68">
        <v>59589.661469230799</v>
      </c>
      <c r="R398" s="68">
        <v>94.970441604927998</v>
      </c>
      <c r="S398" s="68">
        <v>11937.880072186699</v>
      </c>
      <c r="T398" s="68">
        <v>3715.92730769231</v>
      </c>
      <c r="U398" s="68">
        <v>34947.539123076902</v>
      </c>
      <c r="V398" s="68"/>
      <c r="W398" s="68"/>
      <c r="X398" s="68"/>
      <c r="Y398" s="68">
        <v>96.502723596771105</v>
      </c>
      <c r="Z398" s="68">
        <v>98.461680365536196</v>
      </c>
      <c r="AA398" s="68">
        <v>2.2394263796992</v>
      </c>
      <c r="AB398" s="68">
        <v>0.55784415544879895</v>
      </c>
      <c r="AC398" s="68">
        <v>490.59383989362902</v>
      </c>
    </row>
    <row r="399" spans="1:29" x14ac:dyDescent="0.25">
      <c r="A399" s="70" t="s">
        <v>257</v>
      </c>
      <c r="B399" s="68">
        <v>94.154613858681302</v>
      </c>
      <c r="C399" s="68">
        <v>2.6738493454846202</v>
      </c>
      <c r="D399" s="68">
        <v>94.154613858681302</v>
      </c>
      <c r="E399" s="68">
        <v>2.6738493454846202</v>
      </c>
      <c r="F399" s="68">
        <v>96.692942121692397</v>
      </c>
      <c r="G399" s="68">
        <v>2.82852309548224</v>
      </c>
      <c r="H399" s="68">
        <v>2217</v>
      </c>
      <c r="I399" s="68">
        <v>16085</v>
      </c>
      <c r="J399" s="68">
        <v>92.233528312536507</v>
      </c>
      <c r="K399" s="68">
        <v>4.8796125371707699</v>
      </c>
      <c r="L399" s="68">
        <v>792</v>
      </c>
      <c r="M399" s="68">
        <v>2258</v>
      </c>
      <c r="N399" s="68">
        <v>96.238080638489507</v>
      </c>
      <c r="O399" s="68">
        <v>9918.3247123581205</v>
      </c>
      <c r="P399" s="68">
        <v>2600</v>
      </c>
      <c r="Q399" s="68">
        <v>18660</v>
      </c>
      <c r="R399" s="68">
        <v>91.4221240039181</v>
      </c>
      <c r="S399" s="68">
        <v>1708.37281179001</v>
      </c>
      <c r="T399" s="68">
        <v>751</v>
      </c>
      <c r="U399" s="68">
        <v>2340</v>
      </c>
      <c r="V399" s="68"/>
      <c r="W399" s="68"/>
      <c r="X399" s="68"/>
      <c r="Y399" s="68">
        <v>95.158886515939898</v>
      </c>
      <c r="Z399" s="68">
        <v>96.923360424535105</v>
      </c>
      <c r="AA399" s="68">
        <v>2.6009665703776998</v>
      </c>
      <c r="AB399" s="68">
        <v>0</v>
      </c>
      <c r="AC399" s="68">
        <v>370.31895679243502</v>
      </c>
    </row>
    <row r="400" spans="1:29" x14ac:dyDescent="0.25">
      <c r="A400" s="70" t="s">
        <v>335</v>
      </c>
      <c r="B400" s="68">
        <v>98.015014012656195</v>
      </c>
      <c r="C400" s="68">
        <v>1.1837432824395699</v>
      </c>
      <c r="D400" s="68">
        <v>98.015014012656195</v>
      </c>
      <c r="E400" s="68">
        <v>1.1837432824395699</v>
      </c>
      <c r="F400" s="68">
        <v>98.509768553530606</v>
      </c>
      <c r="G400" s="68">
        <v>1.0824433721670701</v>
      </c>
      <c r="H400" s="68">
        <v>7441.8954999999996</v>
      </c>
      <c r="I400" s="68">
        <v>40133.891499999998</v>
      </c>
      <c r="J400" s="68">
        <v>98.610623947793997</v>
      </c>
      <c r="K400" s="68">
        <v>0.91258036619424299</v>
      </c>
      <c r="L400" s="68">
        <v>3769.4955</v>
      </c>
      <c r="M400" s="68">
        <v>14141.7808</v>
      </c>
      <c r="N400" s="68">
        <v>98.546733187512501</v>
      </c>
      <c r="O400" s="68">
        <v>32860.6818439294</v>
      </c>
      <c r="P400" s="68">
        <v>8935.0238000000008</v>
      </c>
      <c r="Q400" s="68">
        <v>67031.418099999995</v>
      </c>
      <c r="R400" s="68">
        <v>98.518759205937897</v>
      </c>
      <c r="S400" s="68">
        <v>22167.387332583501</v>
      </c>
      <c r="T400" s="68">
        <v>4255.0050000000001</v>
      </c>
      <c r="U400" s="68">
        <v>40876.1826</v>
      </c>
      <c r="V400" s="68"/>
      <c r="W400" s="68"/>
      <c r="X400" s="68"/>
      <c r="Y400" s="68">
        <v>97.846560677602298</v>
      </c>
      <c r="Z400" s="68">
        <v>100.000000306537</v>
      </c>
      <c r="AA400" s="68">
        <v>1.8778861890206999</v>
      </c>
      <c r="AB400" s="68">
        <v>1.1156883108975999</v>
      </c>
      <c r="AC400" s="68">
        <v>610.86872299482297</v>
      </c>
    </row>
    <row r="401" spans="1:29" x14ac:dyDescent="0.25">
      <c r="A401" s="70" t="s">
        <v>258</v>
      </c>
      <c r="B401" s="68">
        <v>94.167980184643099</v>
      </c>
      <c r="C401" s="68">
        <v>2.1751055695270498</v>
      </c>
      <c r="D401" s="68">
        <v>94.167980184643099</v>
      </c>
      <c r="E401" s="68">
        <v>2.1751055695270498</v>
      </c>
      <c r="F401" s="68">
        <v>96.825396825396794</v>
      </c>
      <c r="G401" s="68">
        <v>2.1472815257321201</v>
      </c>
      <c r="H401" s="68">
        <v>1451.8235</v>
      </c>
      <c r="I401" s="68">
        <v>25751.102999999999</v>
      </c>
      <c r="J401" s="68">
        <v>96.116504854368898</v>
      </c>
      <c r="K401" s="68">
        <v>2.2104347130772899</v>
      </c>
      <c r="L401" s="68">
        <v>875.59939999999995</v>
      </c>
      <c r="M401" s="68">
        <v>7368.5196999999998</v>
      </c>
      <c r="N401" s="68">
        <v>96.345222369000396</v>
      </c>
      <c r="O401" s="68">
        <v>19233.020416012201</v>
      </c>
      <c r="P401" s="68">
        <v>2538.9866000000002</v>
      </c>
      <c r="Q401" s="68">
        <v>45895.793700000002</v>
      </c>
      <c r="R401" s="68">
        <v>96.515218350242606</v>
      </c>
      <c r="S401" s="68">
        <v>7819.4241738398996</v>
      </c>
      <c r="T401" s="68">
        <v>878.49779999999998</v>
      </c>
      <c r="U401" s="68">
        <v>24147.755099999998</v>
      </c>
      <c r="V401" s="68"/>
      <c r="W401" s="68"/>
      <c r="X401" s="68"/>
      <c r="Y401" s="68">
        <v>93.485051316376598</v>
      </c>
      <c r="Z401" s="68">
        <v>97.462252072032996</v>
      </c>
      <c r="AA401" s="68">
        <v>2.4979528181818198</v>
      </c>
      <c r="AB401" s="68">
        <v>25.489260143198099</v>
      </c>
      <c r="AC401" s="68">
        <v>499.31049091153199</v>
      </c>
    </row>
    <row r="402" spans="1:29" x14ac:dyDescent="0.25">
      <c r="A402" s="70" t="s">
        <v>580</v>
      </c>
      <c r="B402" s="68">
        <v>94.167980184643099</v>
      </c>
      <c r="C402" s="68">
        <v>2.1751055695270498</v>
      </c>
      <c r="D402" s="68">
        <v>94.167980184643099</v>
      </c>
      <c r="E402" s="68">
        <v>2.1751055695270498</v>
      </c>
      <c r="F402" s="68">
        <v>96.825396825396794</v>
      </c>
      <c r="G402" s="68">
        <v>2.1472815257321201</v>
      </c>
      <c r="H402" s="68">
        <v>1451.8235</v>
      </c>
      <c r="I402" s="68">
        <v>25751.102999999999</v>
      </c>
      <c r="J402" s="68">
        <v>96.116504854368898</v>
      </c>
      <c r="K402" s="68">
        <v>2.2104347130772899</v>
      </c>
      <c r="L402" s="68">
        <v>875.59939999999995</v>
      </c>
      <c r="M402" s="68">
        <v>7368.5196999999998</v>
      </c>
      <c r="N402" s="68">
        <v>96.345222369000396</v>
      </c>
      <c r="O402" s="68">
        <v>19233.020416012201</v>
      </c>
      <c r="P402" s="68">
        <v>2538.9866000000002</v>
      </c>
      <c r="Q402" s="68">
        <v>45895.793700000002</v>
      </c>
      <c r="R402" s="68">
        <v>96.515218350242606</v>
      </c>
      <c r="S402" s="68">
        <v>7819.4241738398996</v>
      </c>
      <c r="T402" s="68">
        <v>878.49779999999998</v>
      </c>
      <c r="U402" s="68">
        <v>24147.755099999998</v>
      </c>
      <c r="V402" s="68"/>
      <c r="W402" s="68"/>
      <c r="X402" s="68"/>
      <c r="Y402" s="68">
        <v>93.485051316376598</v>
      </c>
      <c r="Z402" s="68">
        <v>97.462252072032996</v>
      </c>
      <c r="AA402" s="68">
        <v>2.4979528181818198</v>
      </c>
      <c r="AB402" s="68">
        <v>25.489260143198099</v>
      </c>
      <c r="AC402" s="68">
        <v>499.31049091153199</v>
      </c>
    </row>
    <row r="403" spans="1:29" x14ac:dyDescent="0.25">
      <c r="A403" s="70" t="s">
        <v>259</v>
      </c>
      <c r="B403" s="68">
        <v>95.935197681527697</v>
      </c>
      <c r="C403" s="68">
        <v>2.23880574744974</v>
      </c>
      <c r="D403" s="68">
        <v>95.935197681527697</v>
      </c>
      <c r="E403" s="68">
        <v>2.23880574744974</v>
      </c>
      <c r="F403" s="68">
        <v>97.856911874858696</v>
      </c>
      <c r="G403" s="68">
        <v>2.3714643098851198</v>
      </c>
      <c r="H403" s="68">
        <v>2405.88763636364</v>
      </c>
      <c r="I403" s="68">
        <v>28263.624545454499</v>
      </c>
      <c r="J403" s="68">
        <v>96.752507547820102</v>
      </c>
      <c r="K403" s="68">
        <v>2.3735194915989899</v>
      </c>
      <c r="L403" s="68">
        <v>1387.55418181818</v>
      </c>
      <c r="M403" s="68">
        <v>7217.9645454545498</v>
      </c>
      <c r="N403" s="68">
        <v>98.063025848107003</v>
      </c>
      <c r="O403" s="68">
        <v>14514.3100868445</v>
      </c>
      <c r="P403" s="68">
        <v>3049.9177272727302</v>
      </c>
      <c r="Q403" s="68">
        <v>43156.270909090897</v>
      </c>
      <c r="R403" s="68">
        <v>96.820022405487293</v>
      </c>
      <c r="S403" s="68">
        <v>6887.2447397045598</v>
      </c>
      <c r="T403" s="68">
        <v>1481.69490909091</v>
      </c>
      <c r="U403" s="68">
        <v>24447.234727272698</v>
      </c>
      <c r="V403" s="68"/>
      <c r="W403" s="68"/>
      <c r="X403" s="68"/>
      <c r="Y403" s="68">
        <v>95.929822611525495</v>
      </c>
      <c r="Z403" s="68">
        <v>98.215926442737995</v>
      </c>
      <c r="AA403" s="68">
        <v>2.30377666937403</v>
      </c>
      <c r="AB403" s="68">
        <v>0.34172144147338301</v>
      </c>
      <c r="AC403" s="68">
        <v>435.20954232857298</v>
      </c>
    </row>
    <row r="404" spans="1:29" x14ac:dyDescent="0.25">
      <c r="A404" s="70" t="s">
        <v>260</v>
      </c>
      <c r="B404" s="68">
        <v>94.104896712427703</v>
      </c>
      <c r="C404" s="68">
        <v>2.8754344636971099</v>
      </c>
      <c r="D404" s="68">
        <v>94.104896712427703</v>
      </c>
      <c r="E404" s="68">
        <v>2.8754344636971099</v>
      </c>
      <c r="F404" s="68">
        <v>97.115203700638304</v>
      </c>
      <c r="G404" s="68">
        <v>4.1287735332097197</v>
      </c>
      <c r="H404" s="68">
        <v>1411</v>
      </c>
      <c r="I404" s="68">
        <v>11648</v>
      </c>
      <c r="J404" s="68">
        <v>95.458588842176098</v>
      </c>
      <c r="K404" s="68">
        <v>5.1122569903542701</v>
      </c>
      <c r="L404" s="68">
        <v>785</v>
      </c>
      <c r="M404" s="68">
        <v>2252</v>
      </c>
      <c r="N404" s="68">
        <v>97.337281260129998</v>
      </c>
      <c r="O404" s="68">
        <v>8423.6561357429491</v>
      </c>
      <c r="P404" s="68">
        <v>2085</v>
      </c>
      <c r="Q404" s="68">
        <v>17233</v>
      </c>
      <c r="R404" s="68">
        <v>94.923628686780802</v>
      </c>
      <c r="S404" s="68">
        <v>1760.2191638433001</v>
      </c>
      <c r="T404" s="68">
        <v>844</v>
      </c>
      <c r="U404" s="68">
        <v>2549</v>
      </c>
      <c r="V404" s="68"/>
      <c r="W404" s="68"/>
      <c r="X404" s="68"/>
      <c r="Y404" s="68">
        <v>93.7265896890123</v>
      </c>
      <c r="Z404" s="68">
        <v>96.723103893036793</v>
      </c>
      <c r="AA404" s="68">
        <v>2.56701491408286</v>
      </c>
      <c r="AB404" s="68">
        <v>0</v>
      </c>
      <c r="AC404" s="68">
        <v>363.69045604644703</v>
      </c>
    </row>
    <row r="405" spans="1:29" x14ac:dyDescent="0.25">
      <c r="A405" s="70" t="s">
        <v>261</v>
      </c>
      <c r="B405" s="68">
        <v>97.765498650627606</v>
      </c>
      <c r="C405" s="68">
        <v>1.60217703120237</v>
      </c>
      <c r="D405" s="68">
        <v>97.765498650627606</v>
      </c>
      <c r="E405" s="68">
        <v>1.60217703120237</v>
      </c>
      <c r="F405" s="68">
        <v>98.598620049079202</v>
      </c>
      <c r="G405" s="68">
        <v>1.6634558980224301</v>
      </c>
      <c r="H405" s="68">
        <v>2505.3764000000001</v>
      </c>
      <c r="I405" s="68">
        <v>29925.187000000002</v>
      </c>
      <c r="J405" s="68">
        <v>98.046426253464105</v>
      </c>
      <c r="K405" s="68">
        <v>1.5455419857319601</v>
      </c>
      <c r="L405" s="68">
        <v>1447.8096</v>
      </c>
      <c r="M405" s="68">
        <v>7714.5609999999997</v>
      </c>
      <c r="N405" s="68">
        <v>98.788770436083993</v>
      </c>
      <c r="O405" s="68">
        <v>20604.964037946102</v>
      </c>
      <c r="P405" s="68">
        <v>3146.4095000000002</v>
      </c>
      <c r="Q405" s="68">
        <v>45748.597999999998</v>
      </c>
      <c r="R405" s="68">
        <v>98.716416124193699</v>
      </c>
      <c r="S405" s="68">
        <v>12014.2703155658</v>
      </c>
      <c r="T405" s="68">
        <v>1545.4644000000001</v>
      </c>
      <c r="U405" s="68">
        <v>26637.058199999999</v>
      </c>
      <c r="V405" s="68"/>
      <c r="W405" s="68"/>
      <c r="X405" s="68"/>
      <c r="Y405" s="68">
        <v>98.133055534038604</v>
      </c>
      <c r="Z405" s="68">
        <v>99.708748992439098</v>
      </c>
      <c r="AA405" s="68">
        <v>2.0405384246651899</v>
      </c>
      <c r="AB405" s="68">
        <v>0.68344288294676603</v>
      </c>
      <c r="AC405" s="68">
        <v>506.72862861069899</v>
      </c>
    </row>
    <row r="406" spans="1:29" x14ac:dyDescent="0.25">
      <c r="A406" s="70" t="s">
        <v>388</v>
      </c>
      <c r="B406" s="68">
        <v>94.167980184643099</v>
      </c>
      <c r="C406" s="68">
        <v>2.1751055695270498</v>
      </c>
      <c r="D406" s="68">
        <v>94.167980184643099</v>
      </c>
      <c r="E406" s="68">
        <v>2.1751055695270498</v>
      </c>
      <c r="F406" s="68">
        <v>96.825396825396794</v>
      </c>
      <c r="G406" s="68">
        <v>2.1472815257321201</v>
      </c>
      <c r="H406" s="68">
        <v>1451.8235</v>
      </c>
      <c r="I406" s="68">
        <v>25751.102999999999</v>
      </c>
      <c r="J406" s="68">
        <v>96.116504854368898</v>
      </c>
      <c r="K406" s="68">
        <v>2.2104347130772899</v>
      </c>
      <c r="L406" s="68">
        <v>875.59939999999995</v>
      </c>
      <c r="M406" s="68">
        <v>7368.5196999999998</v>
      </c>
      <c r="N406" s="68">
        <v>96.345222369000396</v>
      </c>
      <c r="O406" s="68">
        <v>19233.020416012201</v>
      </c>
      <c r="P406" s="68">
        <v>2538.9866000000002</v>
      </c>
      <c r="Q406" s="68">
        <v>45895.793700000002</v>
      </c>
      <c r="R406" s="68">
        <v>96.515218350242606</v>
      </c>
      <c r="S406" s="68">
        <v>7819.4241738398996</v>
      </c>
      <c r="T406" s="68">
        <v>878.49779999999998</v>
      </c>
      <c r="U406" s="68">
        <v>24147.755099999998</v>
      </c>
      <c r="V406" s="68"/>
      <c r="W406" s="68"/>
      <c r="X406" s="68"/>
      <c r="Y406" s="68">
        <v>93.485051316376598</v>
      </c>
      <c r="Z406" s="68">
        <v>97.462252072032996</v>
      </c>
      <c r="AA406" s="68">
        <v>2.4979528181818198</v>
      </c>
      <c r="AB406" s="68">
        <v>25.489260143198099</v>
      </c>
      <c r="AC406" s="68">
        <v>499.31049091153199</v>
      </c>
    </row>
    <row r="407" spans="1:29" x14ac:dyDescent="0.25">
      <c r="A407" s="70" t="s">
        <v>581</v>
      </c>
      <c r="B407" s="68">
        <v>94.167980184643099</v>
      </c>
      <c r="C407" s="68">
        <v>2.1751055695270498</v>
      </c>
      <c r="D407" s="68">
        <v>94.167980184643099</v>
      </c>
      <c r="E407" s="68">
        <v>2.1751055695270498</v>
      </c>
      <c r="F407" s="68">
        <v>96.825396825396794</v>
      </c>
      <c r="G407" s="68">
        <v>2.1472815257321201</v>
      </c>
      <c r="H407" s="68">
        <v>1451.8235</v>
      </c>
      <c r="I407" s="68">
        <v>25751.102999999999</v>
      </c>
      <c r="J407" s="68">
        <v>96.116504854368898</v>
      </c>
      <c r="K407" s="68">
        <v>2.2104347130772899</v>
      </c>
      <c r="L407" s="68">
        <v>875.59939999999995</v>
      </c>
      <c r="M407" s="68">
        <v>7368.5196999999998</v>
      </c>
      <c r="N407" s="68">
        <v>96.345222369000396</v>
      </c>
      <c r="O407" s="68">
        <v>19233.020416012201</v>
      </c>
      <c r="P407" s="68">
        <v>2538.9866000000002</v>
      </c>
      <c r="Q407" s="68">
        <v>45895.793700000002</v>
      </c>
      <c r="R407" s="68">
        <v>96.515218350242606</v>
      </c>
      <c r="S407" s="68">
        <v>7819.4241738398996</v>
      </c>
      <c r="T407" s="68">
        <v>878.49779999999998</v>
      </c>
      <c r="U407" s="68">
        <v>24147.755099999998</v>
      </c>
      <c r="V407" s="68"/>
      <c r="W407" s="68"/>
      <c r="X407" s="68"/>
      <c r="Y407" s="68">
        <v>93.485051316376598</v>
      </c>
      <c r="Z407" s="68">
        <v>97.462252072032996</v>
      </c>
      <c r="AA407" s="68">
        <v>2.4979528181818198</v>
      </c>
      <c r="AB407" s="68">
        <v>25.489260143198099</v>
      </c>
      <c r="AC407" s="68">
        <v>499.31049091153199</v>
      </c>
    </row>
    <row r="408" spans="1:29" x14ac:dyDescent="0.25">
      <c r="A408" s="70" t="s">
        <v>262</v>
      </c>
      <c r="B408" s="68">
        <v>96.825878946471093</v>
      </c>
      <c r="C408" s="68">
        <v>2.4256051874524198</v>
      </c>
      <c r="D408" s="68">
        <v>96.825878946471093</v>
      </c>
      <c r="E408" s="68">
        <v>2.4256051874524198</v>
      </c>
      <c r="F408" s="68">
        <v>98.726059889448806</v>
      </c>
      <c r="G408" s="68">
        <v>2.40059456600732</v>
      </c>
      <c r="H408" s="68">
        <v>2630.5355230769201</v>
      </c>
      <c r="I408" s="68">
        <v>25628.0015384615</v>
      </c>
      <c r="J408" s="68">
        <v>96.668729312963805</v>
      </c>
      <c r="K408" s="68">
        <v>2.48949344373974</v>
      </c>
      <c r="L408" s="68">
        <v>1134.39869230769</v>
      </c>
      <c r="M408" s="68">
        <v>6787.2885384615402</v>
      </c>
      <c r="N408" s="68">
        <v>98.1228013741447</v>
      </c>
      <c r="O408" s="68">
        <v>14792.244985036499</v>
      </c>
      <c r="P408" s="68">
        <v>3102.6526461538501</v>
      </c>
      <c r="Q408" s="68">
        <v>41284.887169230802</v>
      </c>
      <c r="R408" s="68">
        <v>97.470660920861107</v>
      </c>
      <c r="S408" s="68">
        <v>6400.8054393993798</v>
      </c>
      <c r="T408" s="68">
        <v>1188.1638769230799</v>
      </c>
      <c r="U408" s="68">
        <v>22551.122476923101</v>
      </c>
      <c r="V408" s="68"/>
      <c r="W408" s="68"/>
      <c r="X408" s="68"/>
      <c r="Y408" s="68">
        <v>96.091483079726004</v>
      </c>
      <c r="Z408" s="68">
        <v>98.718734238910102</v>
      </c>
      <c r="AA408" s="68">
        <v>2.41337556119064</v>
      </c>
      <c r="AB408" s="68">
        <v>0.62544897833606095</v>
      </c>
      <c r="AC408" s="68">
        <v>437.42913881838098</v>
      </c>
    </row>
    <row r="409" spans="1:29" x14ac:dyDescent="0.25">
      <c r="A409" s="70" t="s">
        <v>263</v>
      </c>
      <c r="B409" s="68">
        <v>95.980670386397406</v>
      </c>
      <c r="C409" s="68">
        <v>3.0873608392067</v>
      </c>
      <c r="D409" s="68">
        <v>95.980670386397406</v>
      </c>
      <c r="E409" s="68">
        <v>3.0873608392067</v>
      </c>
      <c r="F409" s="68">
        <v>98.682151903235095</v>
      </c>
      <c r="G409" s="68">
        <v>3.84710945983023</v>
      </c>
      <c r="H409" s="68">
        <v>1436</v>
      </c>
      <c r="I409" s="68">
        <v>12682</v>
      </c>
      <c r="J409" s="68">
        <v>96.0453963528917</v>
      </c>
      <c r="K409" s="68">
        <v>4.8209470947099096</v>
      </c>
      <c r="L409" s="68">
        <v>825</v>
      </c>
      <c r="M409" s="68">
        <v>2332</v>
      </c>
      <c r="N409" s="68">
        <v>97.365464709142898</v>
      </c>
      <c r="O409" s="68">
        <v>8826.5537962332</v>
      </c>
      <c r="P409" s="68">
        <v>2327</v>
      </c>
      <c r="Q409" s="68">
        <v>17297</v>
      </c>
      <c r="R409" s="68">
        <v>96.494942445132807</v>
      </c>
      <c r="S409" s="68">
        <v>1751.3324944886699</v>
      </c>
      <c r="T409" s="68">
        <v>763</v>
      </c>
      <c r="U409" s="68">
        <v>2374</v>
      </c>
      <c r="V409" s="68"/>
      <c r="W409" s="68"/>
      <c r="X409" s="68"/>
      <c r="Y409" s="68">
        <v>97.33236548536</v>
      </c>
      <c r="Z409" s="68">
        <v>97.522046129871399</v>
      </c>
      <c r="AA409" s="68">
        <v>2.63331546959424</v>
      </c>
      <c r="AB409" s="68">
        <v>0</v>
      </c>
      <c r="AC409" s="68">
        <v>368.57004086623601</v>
      </c>
    </row>
    <row r="410" spans="1:29" x14ac:dyDescent="0.25">
      <c r="A410" s="70" t="s">
        <v>336</v>
      </c>
      <c r="B410" s="68">
        <v>97.671087506544794</v>
      </c>
      <c r="C410" s="68">
        <v>1.7638495356981301</v>
      </c>
      <c r="D410" s="68">
        <v>97.671087506544794</v>
      </c>
      <c r="E410" s="68">
        <v>1.7638495356981301</v>
      </c>
      <c r="F410" s="68">
        <v>98.769967875662502</v>
      </c>
      <c r="G410" s="68">
        <v>1.74461757146225</v>
      </c>
      <c r="H410" s="68">
        <v>2847.7238000000002</v>
      </c>
      <c r="I410" s="68">
        <v>27981.82</v>
      </c>
      <c r="J410" s="68">
        <v>97.292062273035995</v>
      </c>
      <c r="K410" s="68">
        <v>1.6779982850017601</v>
      </c>
      <c r="L410" s="68">
        <v>1190.653</v>
      </c>
      <c r="M410" s="68">
        <v>7597.3410000000003</v>
      </c>
      <c r="N410" s="68">
        <v>98.880138039146601</v>
      </c>
      <c r="O410" s="68">
        <v>20757.936173839898</v>
      </c>
      <c r="P410" s="68">
        <v>3243.6804000000002</v>
      </c>
      <c r="Q410" s="68">
        <v>45646.321199999998</v>
      </c>
      <c r="R410" s="68">
        <v>98.446379396589407</v>
      </c>
      <c r="S410" s="68">
        <v>11050.278384310101</v>
      </c>
      <c r="T410" s="68">
        <v>1265.4664</v>
      </c>
      <c r="U410" s="68">
        <v>26219.690200000001</v>
      </c>
      <c r="V410" s="68"/>
      <c r="W410" s="68"/>
      <c r="X410" s="68"/>
      <c r="Y410" s="68">
        <v>94.850600674092107</v>
      </c>
      <c r="Z410" s="68">
        <v>99.915422347948706</v>
      </c>
      <c r="AA410" s="68">
        <v>2.1934356527870502</v>
      </c>
      <c r="AB410" s="68">
        <v>1.2508979566721199</v>
      </c>
      <c r="AC410" s="68">
        <v>506.288236770526</v>
      </c>
    </row>
    <row r="411" spans="1:29" x14ac:dyDescent="0.25">
      <c r="A411" s="70" t="s">
        <v>264</v>
      </c>
      <c r="B411" s="68">
        <v>90.282563749138504</v>
      </c>
      <c r="C411" s="68">
        <v>1.46539960851865</v>
      </c>
      <c r="D411" s="68">
        <v>90.282563749138504</v>
      </c>
      <c r="E411" s="68">
        <v>1.46539960851865</v>
      </c>
      <c r="F411" s="68">
        <v>91.928251121076201</v>
      </c>
      <c r="G411" s="68">
        <v>1.57968659692804</v>
      </c>
      <c r="H411" s="68">
        <v>2480.5952000000002</v>
      </c>
      <c r="I411" s="68">
        <v>31537.451000000001</v>
      </c>
      <c r="J411" s="68">
        <v>89.608636977057998</v>
      </c>
      <c r="K411" s="68">
        <v>1.25148663763551</v>
      </c>
      <c r="L411" s="68">
        <v>1463.2991999999999</v>
      </c>
      <c r="M411" s="68">
        <v>10322.581</v>
      </c>
      <c r="N411" s="68">
        <v>92.238672050246706</v>
      </c>
      <c r="O411" s="68">
        <v>18642.719257017201</v>
      </c>
      <c r="P411" s="68">
        <v>2505.1280000000002</v>
      </c>
      <c r="Q411" s="68">
        <v>41291.124000000003</v>
      </c>
      <c r="R411" s="68">
        <v>91.685494803434295</v>
      </c>
      <c r="S411" s="68">
        <v>10430.4731945442</v>
      </c>
      <c r="T411" s="68">
        <v>994.6902</v>
      </c>
      <c r="U411" s="68">
        <v>19745.418600000001</v>
      </c>
      <c r="V411" s="68"/>
      <c r="W411" s="68"/>
      <c r="X411" s="68"/>
      <c r="Y411" s="68">
        <v>38.217730822232397</v>
      </c>
      <c r="Z411" s="68">
        <v>80.3397206512238</v>
      </c>
      <c r="AA411" s="68">
        <v>3.0903208181818198</v>
      </c>
      <c r="AB411" s="68">
        <v>0</v>
      </c>
      <c r="AC411" s="68">
        <v>313.52853188650101</v>
      </c>
    </row>
    <row r="412" spans="1:29" x14ac:dyDescent="0.25">
      <c r="A412" s="70" t="s">
        <v>582</v>
      </c>
      <c r="B412" s="68">
        <v>90.282563749138504</v>
      </c>
      <c r="C412" s="68">
        <v>1.46539960851865</v>
      </c>
      <c r="D412" s="68">
        <v>90.282563749138504</v>
      </c>
      <c r="E412" s="68">
        <v>1.46539960851865</v>
      </c>
      <c r="F412" s="68">
        <v>91.928251121076201</v>
      </c>
      <c r="G412" s="68">
        <v>1.57968659692804</v>
      </c>
      <c r="H412" s="68">
        <v>2480.5952000000002</v>
      </c>
      <c r="I412" s="68">
        <v>31537.451000000001</v>
      </c>
      <c r="J412" s="68">
        <v>89.608636977057998</v>
      </c>
      <c r="K412" s="68">
        <v>1.25148663763551</v>
      </c>
      <c r="L412" s="68">
        <v>1463.2991999999999</v>
      </c>
      <c r="M412" s="68">
        <v>10322.581</v>
      </c>
      <c r="N412" s="68">
        <v>92.238672050246706</v>
      </c>
      <c r="O412" s="68">
        <v>18642.719257017201</v>
      </c>
      <c r="P412" s="68">
        <v>2505.1280000000002</v>
      </c>
      <c r="Q412" s="68">
        <v>41291.124000000003</v>
      </c>
      <c r="R412" s="68">
        <v>91.685494803434295</v>
      </c>
      <c r="S412" s="68">
        <v>10430.4731945442</v>
      </c>
      <c r="T412" s="68">
        <v>994.6902</v>
      </c>
      <c r="U412" s="68">
        <v>19745.418600000001</v>
      </c>
      <c r="V412" s="68"/>
      <c r="W412" s="68"/>
      <c r="X412" s="68"/>
      <c r="Y412" s="68">
        <v>38.217730822232397</v>
      </c>
      <c r="Z412" s="68">
        <v>80.3397206512238</v>
      </c>
      <c r="AA412" s="68">
        <v>3.0903208181818198</v>
      </c>
      <c r="AB412" s="68">
        <v>0</v>
      </c>
      <c r="AC412" s="68">
        <v>313.52853188650101</v>
      </c>
    </row>
    <row r="413" spans="1:29" x14ac:dyDescent="0.25">
      <c r="A413" s="70" t="s">
        <v>265</v>
      </c>
      <c r="B413" s="68">
        <v>96.353604959479199</v>
      </c>
      <c r="C413" s="68">
        <v>2.0661945101548098</v>
      </c>
      <c r="D413" s="68">
        <v>96.353604959479199</v>
      </c>
      <c r="E413" s="68">
        <v>2.0661945101548098</v>
      </c>
      <c r="F413" s="68">
        <v>97.248202479954202</v>
      </c>
      <c r="G413" s="68">
        <v>2.4671593021037301</v>
      </c>
      <c r="H413" s="68">
        <v>2061.0893636363598</v>
      </c>
      <c r="I413" s="68">
        <v>25983.694818181801</v>
      </c>
      <c r="J413" s="68">
        <v>95.7956216845852</v>
      </c>
      <c r="K413" s="68">
        <v>1.9668482745532201</v>
      </c>
      <c r="L413" s="68">
        <v>1682.9216363636399</v>
      </c>
      <c r="M413" s="68">
        <v>9089.30454545455</v>
      </c>
      <c r="N413" s="68">
        <v>97.246291633520201</v>
      </c>
      <c r="O413" s="68">
        <v>12177.8464775554</v>
      </c>
      <c r="P413" s="68">
        <v>2330.54909090909</v>
      </c>
      <c r="Q413" s="68">
        <v>33126.928181818199</v>
      </c>
      <c r="R413" s="68">
        <v>97.111835763564898</v>
      </c>
      <c r="S413" s="68">
        <v>5888.0651374541003</v>
      </c>
      <c r="T413" s="68">
        <v>1378.68490909091</v>
      </c>
      <c r="U413" s="68">
        <v>17938.300363636401</v>
      </c>
      <c r="V413" s="68"/>
      <c r="W413" s="68"/>
      <c r="X413" s="68"/>
      <c r="Y413" s="68">
        <v>94.675384952087498</v>
      </c>
      <c r="Z413" s="68">
        <v>59.032111374733901</v>
      </c>
      <c r="AA413" s="68">
        <v>3.36841562981486</v>
      </c>
      <c r="AB413" s="68">
        <v>0</v>
      </c>
      <c r="AC413" s="68">
        <v>329.70704452023301</v>
      </c>
    </row>
    <row r="414" spans="1:29" x14ac:dyDescent="0.25">
      <c r="A414" s="70" t="s">
        <v>266</v>
      </c>
      <c r="B414" s="68">
        <v>94.982548592577103</v>
      </c>
      <c r="C414" s="68">
        <v>2.6767410081185901</v>
      </c>
      <c r="D414" s="68">
        <v>94.982548592577103</v>
      </c>
      <c r="E414" s="68">
        <v>2.6767410081185901</v>
      </c>
      <c r="F414" s="68">
        <v>96.580230616464704</v>
      </c>
      <c r="G414" s="68">
        <v>3.4018308275093498</v>
      </c>
      <c r="H414" s="68">
        <v>2022</v>
      </c>
      <c r="I414" s="68">
        <v>14173</v>
      </c>
      <c r="J414" s="68">
        <v>94.853925604406896</v>
      </c>
      <c r="K414" s="68">
        <v>4.7185182572781299</v>
      </c>
      <c r="L414" s="68">
        <v>827</v>
      </c>
      <c r="M414" s="68">
        <v>2777</v>
      </c>
      <c r="N414" s="68">
        <v>96.398146180308103</v>
      </c>
      <c r="O414" s="68">
        <v>8358.0479864116096</v>
      </c>
      <c r="P414" s="68">
        <v>2011</v>
      </c>
      <c r="Q414" s="68">
        <v>18361</v>
      </c>
      <c r="R414" s="68">
        <v>95.778195082520298</v>
      </c>
      <c r="S414" s="68">
        <v>1805.48856968209</v>
      </c>
      <c r="T414" s="68">
        <v>642</v>
      </c>
      <c r="U414" s="68">
        <v>3434</v>
      </c>
      <c r="V414" s="68"/>
      <c r="W414" s="68"/>
      <c r="X414" s="68"/>
      <c r="Y414" s="68">
        <v>91.8655443695624</v>
      </c>
      <c r="Z414" s="68">
        <v>18.651948132066799</v>
      </c>
      <c r="AA414" s="68">
        <v>4.4315346253647601</v>
      </c>
      <c r="AB414" s="68">
        <v>0</v>
      </c>
      <c r="AC414" s="68">
        <v>357.16908257302703</v>
      </c>
    </row>
    <row r="415" spans="1:29" x14ac:dyDescent="0.25">
      <c r="A415" s="70" t="s">
        <v>267</v>
      </c>
      <c r="B415" s="68">
        <v>97.724661326381295</v>
      </c>
      <c r="C415" s="68">
        <v>1.45564801219104</v>
      </c>
      <c r="D415" s="68">
        <v>97.724661326381295</v>
      </c>
      <c r="E415" s="68">
        <v>1.45564801219104</v>
      </c>
      <c r="F415" s="68">
        <v>97.9161743434437</v>
      </c>
      <c r="G415" s="68">
        <v>1.9353981359265899</v>
      </c>
      <c r="H415" s="68">
        <v>2064.9983000000002</v>
      </c>
      <c r="I415" s="68">
        <v>27164.764299999999</v>
      </c>
      <c r="J415" s="68">
        <v>96.737317764763603</v>
      </c>
      <c r="K415" s="68">
        <v>1.2423528289524799</v>
      </c>
      <c r="L415" s="68">
        <v>1768.5137999999999</v>
      </c>
      <c r="M415" s="68">
        <v>9720.5349999999999</v>
      </c>
      <c r="N415" s="68">
        <v>98.094437086732398</v>
      </c>
      <c r="O415" s="68">
        <v>15997.6449686993</v>
      </c>
      <c r="P415" s="68">
        <v>2362.5039999999999</v>
      </c>
      <c r="Q415" s="68">
        <v>34603.521000000001</v>
      </c>
      <c r="R415" s="68">
        <v>98.445476444609497</v>
      </c>
      <c r="S415" s="68">
        <v>9970.6417052261004</v>
      </c>
      <c r="T415" s="68">
        <v>1452.3534</v>
      </c>
      <c r="U415" s="68">
        <v>19388.7304</v>
      </c>
      <c r="V415" s="68"/>
      <c r="W415" s="68"/>
      <c r="X415" s="68"/>
      <c r="Y415" s="68">
        <v>97.485225534612496</v>
      </c>
      <c r="Z415" s="68">
        <v>99.412274617400996</v>
      </c>
      <c r="AA415" s="68">
        <v>2.3052966342649599</v>
      </c>
      <c r="AB415" s="68">
        <v>0</v>
      </c>
      <c r="AC415" s="68">
        <v>302.24500646743797</v>
      </c>
    </row>
    <row r="416" spans="1:29" x14ac:dyDescent="0.25">
      <c r="A416" s="70" t="s">
        <v>389</v>
      </c>
      <c r="B416" s="68">
        <v>90.282563749138504</v>
      </c>
      <c r="C416" s="68">
        <v>1.46539960851865</v>
      </c>
      <c r="D416" s="68">
        <v>90.282563749138504</v>
      </c>
      <c r="E416" s="68">
        <v>1.46539960851865</v>
      </c>
      <c r="F416" s="68">
        <v>91.928251121076201</v>
      </c>
      <c r="G416" s="68">
        <v>1.57968659692804</v>
      </c>
      <c r="H416" s="68">
        <v>2480.5952000000002</v>
      </c>
      <c r="I416" s="68">
        <v>31537.451000000001</v>
      </c>
      <c r="J416" s="68">
        <v>89.608636977057998</v>
      </c>
      <c r="K416" s="68">
        <v>1.25148663763551</v>
      </c>
      <c r="L416" s="68">
        <v>1463.2991999999999</v>
      </c>
      <c r="M416" s="68">
        <v>10322.581</v>
      </c>
      <c r="N416" s="68">
        <v>92.238672050246706</v>
      </c>
      <c r="O416" s="68">
        <v>18642.719257017201</v>
      </c>
      <c r="P416" s="68">
        <v>2505.1280000000002</v>
      </c>
      <c r="Q416" s="68">
        <v>41291.124000000003</v>
      </c>
      <c r="R416" s="68">
        <v>91.685494803434295</v>
      </c>
      <c r="S416" s="68">
        <v>10430.4731945442</v>
      </c>
      <c r="T416" s="68">
        <v>994.6902</v>
      </c>
      <c r="U416" s="68">
        <v>19745.418600000001</v>
      </c>
      <c r="V416" s="68"/>
      <c r="W416" s="68"/>
      <c r="X416" s="68"/>
      <c r="Y416" s="68">
        <v>38.217730822232397</v>
      </c>
      <c r="Z416" s="68">
        <v>80.3397206512238</v>
      </c>
      <c r="AA416" s="68">
        <v>3.0903208181818198</v>
      </c>
      <c r="AB416" s="68">
        <v>0</v>
      </c>
      <c r="AC416" s="68">
        <v>313.52853188650101</v>
      </c>
    </row>
    <row r="417" spans="1:29" x14ac:dyDescent="0.25">
      <c r="A417" s="70" t="s">
        <v>583</v>
      </c>
      <c r="B417" s="68">
        <v>90.282563749138504</v>
      </c>
      <c r="C417" s="68">
        <v>1.46539960851865</v>
      </c>
      <c r="D417" s="68">
        <v>90.282563749138504</v>
      </c>
      <c r="E417" s="68">
        <v>1.46539960851865</v>
      </c>
      <c r="F417" s="68">
        <v>91.928251121076201</v>
      </c>
      <c r="G417" s="68">
        <v>1.57968659692804</v>
      </c>
      <c r="H417" s="68">
        <v>2480.5952000000002</v>
      </c>
      <c r="I417" s="68">
        <v>31537.451000000001</v>
      </c>
      <c r="J417" s="68">
        <v>89.608636977057998</v>
      </c>
      <c r="K417" s="68">
        <v>1.25148663763551</v>
      </c>
      <c r="L417" s="68">
        <v>1463.2991999999999</v>
      </c>
      <c r="M417" s="68">
        <v>10322.581</v>
      </c>
      <c r="N417" s="68">
        <v>92.238672050246706</v>
      </c>
      <c r="O417" s="68">
        <v>18642.719257017201</v>
      </c>
      <c r="P417" s="68">
        <v>2505.1280000000002</v>
      </c>
      <c r="Q417" s="68">
        <v>41291.124000000003</v>
      </c>
      <c r="R417" s="68">
        <v>91.685494803434295</v>
      </c>
      <c r="S417" s="68">
        <v>10430.4731945442</v>
      </c>
      <c r="T417" s="68">
        <v>994.6902</v>
      </c>
      <c r="U417" s="68">
        <v>19745.418600000001</v>
      </c>
      <c r="V417" s="68"/>
      <c r="W417" s="68"/>
      <c r="X417" s="68"/>
      <c r="Y417" s="68">
        <v>38.217730822232397</v>
      </c>
      <c r="Z417" s="68">
        <v>80.3397206512238</v>
      </c>
      <c r="AA417" s="68">
        <v>3.0903208181818198</v>
      </c>
      <c r="AB417" s="68">
        <v>0</v>
      </c>
      <c r="AC417" s="68">
        <v>313.52853188650101</v>
      </c>
    </row>
    <row r="418" spans="1:29" x14ac:dyDescent="0.25">
      <c r="A418" s="70" t="s">
        <v>268</v>
      </c>
      <c r="B418" s="68">
        <v>97.0560540046162</v>
      </c>
      <c r="C418" s="68">
        <v>2.0074117144068602</v>
      </c>
      <c r="D418" s="68">
        <v>97.0560540046162</v>
      </c>
      <c r="E418" s="68">
        <v>2.0074117144068602</v>
      </c>
      <c r="F418" s="68">
        <v>97.986878277358997</v>
      </c>
      <c r="G418" s="68">
        <v>2.23597753924204</v>
      </c>
      <c r="H418" s="68">
        <v>2717.6298153846201</v>
      </c>
      <c r="I418" s="68">
        <v>26010.178476923102</v>
      </c>
      <c r="J418" s="68">
        <v>96.333463344505006</v>
      </c>
      <c r="K418" s="68">
        <v>2.0642779968271401</v>
      </c>
      <c r="L418" s="68">
        <v>1720.3872076923101</v>
      </c>
      <c r="M418" s="68">
        <v>8521.0121538461499</v>
      </c>
      <c r="N418" s="68">
        <v>98.362567583447998</v>
      </c>
      <c r="O418" s="68">
        <v>13341.7946892614</v>
      </c>
      <c r="P418" s="68">
        <v>3500.2125000000001</v>
      </c>
      <c r="Q418" s="68">
        <v>33275.7810384615</v>
      </c>
      <c r="R418" s="68">
        <v>97.709787069216304</v>
      </c>
      <c r="S418" s="68">
        <v>6032.0913196698102</v>
      </c>
      <c r="T418" s="68">
        <v>1628.08438461538</v>
      </c>
      <c r="U418" s="68">
        <v>17194.3022692308</v>
      </c>
      <c r="V418" s="68"/>
      <c r="W418" s="68"/>
      <c r="X418" s="68"/>
      <c r="Y418" s="68">
        <v>95.899954015910396</v>
      </c>
      <c r="Z418" s="68">
        <v>58.263209667529601</v>
      </c>
      <c r="AA418" s="68">
        <v>3.3103781589459298</v>
      </c>
      <c r="AB418" s="68">
        <v>0</v>
      </c>
      <c r="AC418" s="68">
        <v>328.73562750981</v>
      </c>
    </row>
    <row r="419" spans="1:29" x14ac:dyDescent="0.25">
      <c r="A419" s="70" t="s">
        <v>269</v>
      </c>
      <c r="B419" s="68">
        <v>95.888248469553204</v>
      </c>
      <c r="C419" s="68">
        <v>2.6445443433878202</v>
      </c>
      <c r="D419" s="68">
        <v>95.888248469553204</v>
      </c>
      <c r="E419" s="68">
        <v>2.6445443433878202</v>
      </c>
      <c r="F419" s="68">
        <v>96.733500908475406</v>
      </c>
      <c r="G419" s="68">
        <v>2.8412351552358799</v>
      </c>
      <c r="H419" s="68">
        <v>2075</v>
      </c>
      <c r="I419" s="68">
        <v>15215</v>
      </c>
      <c r="J419" s="68">
        <v>93.889308294492096</v>
      </c>
      <c r="K419" s="68">
        <v>4.6288750717748002</v>
      </c>
      <c r="L419" s="68">
        <v>769</v>
      </c>
      <c r="M419" s="68">
        <v>2755</v>
      </c>
      <c r="N419" s="68">
        <v>97.287383535717893</v>
      </c>
      <c r="O419" s="68">
        <v>10183.7658475929</v>
      </c>
      <c r="P419" s="68">
        <v>2061</v>
      </c>
      <c r="Q419" s="68">
        <v>19445</v>
      </c>
      <c r="R419" s="68">
        <v>96.081648679264106</v>
      </c>
      <c r="S419" s="68">
        <v>1841.17950057848</v>
      </c>
      <c r="T419" s="68">
        <v>667</v>
      </c>
      <c r="U419" s="68">
        <v>3022</v>
      </c>
      <c r="V419" s="68"/>
      <c r="W419" s="68"/>
      <c r="X419" s="68"/>
      <c r="Y419" s="68">
        <v>93.334853302120393</v>
      </c>
      <c r="Z419" s="68">
        <v>17.355665472332401</v>
      </c>
      <c r="AA419" s="68">
        <v>4.3450663081375396</v>
      </c>
      <c r="AB419" s="68">
        <v>0</v>
      </c>
      <c r="AC419" s="68">
        <v>354.739139940131</v>
      </c>
    </row>
    <row r="420" spans="1:29" x14ac:dyDescent="0.25">
      <c r="A420" s="70" t="s">
        <v>337</v>
      </c>
      <c r="B420" s="68">
        <v>98.223859539679097</v>
      </c>
      <c r="C420" s="68">
        <v>1.3702790854259099</v>
      </c>
      <c r="D420" s="68">
        <v>98.223859539679097</v>
      </c>
      <c r="E420" s="68">
        <v>1.3702790854259099</v>
      </c>
      <c r="F420" s="68">
        <v>99.240255646242503</v>
      </c>
      <c r="G420" s="68">
        <v>1.8433051837057901</v>
      </c>
      <c r="H420" s="68">
        <v>2834.4715999999999</v>
      </c>
      <c r="I420" s="68">
        <v>27972.938200000001</v>
      </c>
      <c r="J420" s="68">
        <v>98.777618394518001</v>
      </c>
      <c r="K420" s="68">
        <v>1.3283272341688299</v>
      </c>
      <c r="L420" s="68">
        <v>1893.3667</v>
      </c>
      <c r="M420" s="68">
        <v>9569.3780000000006</v>
      </c>
      <c r="N420" s="68">
        <v>99.437751631178102</v>
      </c>
      <c r="O420" s="68">
        <v>16499.823530929902</v>
      </c>
      <c r="P420" s="68">
        <v>3761.8874999999998</v>
      </c>
      <c r="Q420" s="68">
        <v>35790.468500000003</v>
      </c>
      <c r="R420" s="68">
        <v>99.337925459168503</v>
      </c>
      <c r="S420" s="68">
        <v>10223.0031387611</v>
      </c>
      <c r="T420" s="68">
        <v>1802.827</v>
      </c>
      <c r="U420" s="68">
        <v>19771.084500000001</v>
      </c>
      <c r="V420" s="68"/>
      <c r="W420" s="68"/>
      <c r="X420" s="68"/>
      <c r="Y420" s="68">
        <v>98.465054729700299</v>
      </c>
      <c r="Z420" s="68">
        <v>99.170753862726698</v>
      </c>
      <c r="AA420" s="68">
        <v>2.2756900097543298</v>
      </c>
      <c r="AB420" s="68">
        <v>0</v>
      </c>
      <c r="AC420" s="68">
        <v>302.73211507948997</v>
      </c>
    </row>
    <row r="421" spans="1:29" x14ac:dyDescent="0.25">
      <c r="A421" s="70" t="s">
        <v>270</v>
      </c>
      <c r="B421" s="68">
        <v>92.369570213743998</v>
      </c>
      <c r="C421" s="68">
        <v>1.62540040364673</v>
      </c>
      <c r="D421" s="68">
        <v>92.369570213743998</v>
      </c>
      <c r="E421" s="68">
        <v>1.62540040364673</v>
      </c>
      <c r="F421" s="68">
        <v>93.799822852081505</v>
      </c>
      <c r="G421" s="68">
        <v>1.5401744102360899</v>
      </c>
      <c r="H421" s="68">
        <v>2278.3582999999999</v>
      </c>
      <c r="I421" s="68">
        <v>34647.048799999997</v>
      </c>
      <c r="J421" s="68">
        <v>90.562693841382398</v>
      </c>
      <c r="K421" s="68">
        <v>1.3121806994857299</v>
      </c>
      <c r="L421" s="68">
        <v>1055.5353</v>
      </c>
      <c r="M421" s="68">
        <v>10265.626200000001</v>
      </c>
      <c r="N421" s="68">
        <v>94.538188277087002</v>
      </c>
      <c r="O421" s="68">
        <v>18334.9505684055</v>
      </c>
      <c r="P421" s="68">
        <v>2361.2161999999998</v>
      </c>
      <c r="Q421" s="68">
        <v>39303.615599999997</v>
      </c>
      <c r="R421" s="68">
        <v>93.291870279875596</v>
      </c>
      <c r="S421" s="68">
        <v>9733.6310063280398</v>
      </c>
      <c r="T421" s="68">
        <v>772.04740000000004</v>
      </c>
      <c r="U421" s="68">
        <v>19488.689699999999</v>
      </c>
      <c r="V421" s="68"/>
      <c r="W421" s="68"/>
      <c r="X421" s="68"/>
      <c r="Y421" s="68">
        <v>89.370437956204398</v>
      </c>
      <c r="Z421" s="68">
        <v>94.801838414775602</v>
      </c>
      <c r="AA421" s="68">
        <v>2.5434130000000001</v>
      </c>
      <c r="AB421" s="68">
        <v>53.037263910158202</v>
      </c>
      <c r="AC421" s="68">
        <v>612.85822276756005</v>
      </c>
    </row>
    <row r="422" spans="1:29" x14ac:dyDescent="0.25">
      <c r="A422" s="70" t="s">
        <v>584</v>
      </c>
      <c r="B422" s="68">
        <v>92.369570213743998</v>
      </c>
      <c r="C422" s="68">
        <v>1.62540040364673</v>
      </c>
      <c r="D422" s="68">
        <v>92.369570213743998</v>
      </c>
      <c r="E422" s="68">
        <v>1.62540040364673</v>
      </c>
      <c r="F422" s="68">
        <v>93.799822852081505</v>
      </c>
      <c r="G422" s="68">
        <v>1.5401744102360899</v>
      </c>
      <c r="H422" s="68">
        <v>2278.3582999999999</v>
      </c>
      <c r="I422" s="68">
        <v>34647.048799999997</v>
      </c>
      <c r="J422" s="68">
        <v>90.562693841382398</v>
      </c>
      <c r="K422" s="68">
        <v>1.3121806994857299</v>
      </c>
      <c r="L422" s="68">
        <v>1055.5353</v>
      </c>
      <c r="M422" s="68">
        <v>10265.626200000001</v>
      </c>
      <c r="N422" s="68">
        <v>94.538188277087002</v>
      </c>
      <c r="O422" s="68">
        <v>18334.9505684055</v>
      </c>
      <c r="P422" s="68">
        <v>2361.2161999999998</v>
      </c>
      <c r="Q422" s="68">
        <v>39303.615599999997</v>
      </c>
      <c r="R422" s="68">
        <v>93.291870279875596</v>
      </c>
      <c r="S422" s="68">
        <v>9733.6310063280398</v>
      </c>
      <c r="T422" s="68">
        <v>772.04740000000004</v>
      </c>
      <c r="U422" s="68">
        <v>19488.689699999999</v>
      </c>
      <c r="V422" s="68"/>
      <c r="W422" s="68"/>
      <c r="X422" s="68"/>
      <c r="Y422" s="68">
        <v>89.370437956204398</v>
      </c>
      <c r="Z422" s="68">
        <v>94.801838414775602</v>
      </c>
      <c r="AA422" s="68">
        <v>2.5434130000000001</v>
      </c>
      <c r="AB422" s="68">
        <v>53.037263910158202</v>
      </c>
      <c r="AC422" s="68">
        <v>612.85822276756005</v>
      </c>
    </row>
    <row r="423" spans="1:29" x14ac:dyDescent="0.25">
      <c r="A423" s="70" t="s">
        <v>271</v>
      </c>
      <c r="B423" s="68">
        <v>97.023408362493598</v>
      </c>
      <c r="C423" s="68">
        <v>1.9498680999084299</v>
      </c>
      <c r="D423" s="68">
        <v>97.023408362493598</v>
      </c>
      <c r="E423" s="68">
        <v>1.9498680999084299</v>
      </c>
      <c r="F423" s="68">
        <v>98.803868959927797</v>
      </c>
      <c r="G423" s="68">
        <v>1.9757196788498499</v>
      </c>
      <c r="H423" s="68">
        <v>3324.0909538461501</v>
      </c>
      <c r="I423" s="68">
        <v>33754.400307692304</v>
      </c>
      <c r="J423" s="68">
        <v>95.862524866479603</v>
      </c>
      <c r="K423" s="68">
        <v>1.7791918737711101</v>
      </c>
      <c r="L423" s="68">
        <v>2148.1558769230801</v>
      </c>
      <c r="M423" s="68">
        <v>9931.0536615384608</v>
      </c>
      <c r="N423" s="68">
        <v>98.272099306380596</v>
      </c>
      <c r="O423" s="68">
        <v>14949.426732772101</v>
      </c>
      <c r="P423" s="68">
        <v>3850.6637230769202</v>
      </c>
      <c r="Q423" s="68">
        <v>40325.394184615398</v>
      </c>
      <c r="R423" s="68">
        <v>97.487805342758605</v>
      </c>
      <c r="S423" s="68">
        <v>7124.4043761714602</v>
      </c>
      <c r="T423" s="68">
        <v>2095.3114769230801</v>
      </c>
      <c r="U423" s="68">
        <v>19629.8274153846</v>
      </c>
      <c r="V423" s="68"/>
      <c r="W423" s="68"/>
      <c r="X423" s="68"/>
      <c r="Y423" s="68">
        <v>97.076383717511504</v>
      </c>
      <c r="Z423" s="68">
        <v>98.150781377565295</v>
      </c>
      <c r="AA423" s="68">
        <v>2.5092734328017898</v>
      </c>
      <c r="AB423">
        <v>0.44772275024273001</v>
      </c>
      <c r="AC423">
        <v>455.30473963113297</v>
      </c>
    </row>
    <row r="424" spans="1:29" x14ac:dyDescent="0.25">
      <c r="A424" s="140" t="s">
        <v>272</v>
      </c>
      <c r="B424">
        <v>95.239065160889695</v>
      </c>
      <c r="C424">
        <v>2.5866711674905201</v>
      </c>
      <c r="D424">
        <v>95.239065160889695</v>
      </c>
      <c r="E424">
        <v>2.5866711674905201</v>
      </c>
      <c r="F424">
        <v>98.469868402428901</v>
      </c>
      <c r="G424">
        <v>3.5765005479196201</v>
      </c>
      <c r="H424">
        <v>1774</v>
      </c>
      <c r="I424">
        <v>13401</v>
      </c>
      <c r="J424">
        <v>93.275523431332203</v>
      </c>
      <c r="K424">
        <v>4.1402580811717797</v>
      </c>
      <c r="L424">
        <v>815</v>
      </c>
      <c r="M424">
        <v>2987</v>
      </c>
      <c r="N424">
        <v>97.542859261414407</v>
      </c>
      <c r="O424">
        <v>7704.3455908117303</v>
      </c>
      <c r="P424">
        <v>1928</v>
      </c>
      <c r="Q424">
        <v>16317</v>
      </c>
      <c r="R424">
        <v>96.038650176374702</v>
      </c>
      <c r="S424">
        <v>2123.6583956906102</v>
      </c>
      <c r="T424">
        <v>659</v>
      </c>
      <c r="U424">
        <v>3458</v>
      </c>
      <c r="Y424">
        <v>95.150112255397801</v>
      </c>
      <c r="Z424">
        <v>96.478628217401507</v>
      </c>
      <c r="AA424">
        <v>2.9242069688077601</v>
      </c>
      <c r="AB424">
        <v>0</v>
      </c>
      <c r="AC424">
        <v>358.10230023622199</v>
      </c>
    </row>
    <row r="425" spans="1:29" x14ac:dyDescent="0.25">
      <c r="A425" s="140" t="s">
        <v>273</v>
      </c>
      <c r="B425">
        <v>98.807746215758101</v>
      </c>
      <c r="C425">
        <v>1.31306694106167</v>
      </c>
      <c r="D425">
        <v>98.807746215758101</v>
      </c>
      <c r="E425">
        <v>1.31306694106167</v>
      </c>
      <c r="F425">
        <v>99.137868516303001</v>
      </c>
      <c r="G425">
        <v>1.3648416018971501</v>
      </c>
      <c r="H425">
        <v>3453.2651999999998</v>
      </c>
      <c r="I425">
        <v>35450.517</v>
      </c>
      <c r="J425">
        <v>98.449518547422699</v>
      </c>
      <c r="K425">
        <v>1.13304939500803</v>
      </c>
      <c r="L425">
        <v>2259.2521999999999</v>
      </c>
      <c r="M425">
        <v>10509.7248</v>
      </c>
      <c r="N425">
        <v>99.001337165543504</v>
      </c>
      <c r="O425">
        <v>22194.486158533098</v>
      </c>
      <c r="P425">
        <v>4010.8856999999998</v>
      </c>
      <c r="Q425">
        <v>42326.093699999998</v>
      </c>
      <c r="R425">
        <v>98.936956165486194</v>
      </c>
      <c r="S425">
        <v>12125.1353675591</v>
      </c>
      <c r="T425">
        <v>2215.0041000000001</v>
      </c>
      <c r="U425">
        <v>20977.4797</v>
      </c>
      <c r="Y425">
        <v>99.002649405874195</v>
      </c>
      <c r="Z425">
        <v>99.822929525664904</v>
      </c>
      <c r="AA425">
        <v>2.0943411405057599</v>
      </c>
      <c r="AB425">
        <v>0.895444158494068</v>
      </c>
      <c r="AC425">
        <v>552.50688767422696</v>
      </c>
    </row>
    <row r="426" spans="1:29" x14ac:dyDescent="0.25">
      <c r="A426" s="140" t="s">
        <v>390</v>
      </c>
      <c r="B426">
        <v>92.369570213743998</v>
      </c>
      <c r="C426">
        <v>1.62540040364673</v>
      </c>
      <c r="D426">
        <v>92.369570213743998</v>
      </c>
      <c r="E426">
        <v>1.62540040364673</v>
      </c>
      <c r="F426">
        <v>93.799822852081505</v>
      </c>
      <c r="G426">
        <v>1.5401744102360899</v>
      </c>
      <c r="H426">
        <v>2278.3582999999999</v>
      </c>
      <c r="I426">
        <v>34647.048799999997</v>
      </c>
      <c r="J426">
        <v>90.562693841382398</v>
      </c>
      <c r="K426">
        <v>1.3121806994857299</v>
      </c>
      <c r="L426">
        <v>1055.5353</v>
      </c>
      <c r="M426">
        <v>10265.626200000001</v>
      </c>
      <c r="N426">
        <v>94.538188277087002</v>
      </c>
      <c r="O426">
        <v>18334.9505684055</v>
      </c>
      <c r="P426">
        <v>2361.2161999999998</v>
      </c>
      <c r="Q426">
        <v>39303.615599999997</v>
      </c>
      <c r="R426">
        <v>93.291870279875596</v>
      </c>
      <c r="S426">
        <v>9733.6310063280398</v>
      </c>
      <c r="T426">
        <v>772.04740000000004</v>
      </c>
      <c r="U426">
        <v>19488.689699999999</v>
      </c>
      <c r="Y426">
        <v>89.370437956204398</v>
      </c>
      <c r="Z426">
        <v>94.801838414775602</v>
      </c>
      <c r="AA426">
        <v>2.5434130000000001</v>
      </c>
      <c r="AB426">
        <v>53.037263910158202</v>
      </c>
      <c r="AC426">
        <v>612.85822276756005</v>
      </c>
    </row>
    <row r="427" spans="1:29" x14ac:dyDescent="0.25">
      <c r="A427" s="140" t="s">
        <v>585</v>
      </c>
      <c r="B427">
        <v>92.369570213743998</v>
      </c>
      <c r="C427">
        <v>1.62540040364673</v>
      </c>
      <c r="D427">
        <v>92.369570213743998</v>
      </c>
      <c r="E427">
        <v>1.62540040364673</v>
      </c>
      <c r="F427">
        <v>93.799822852081505</v>
      </c>
      <c r="G427">
        <v>1.5401744102360899</v>
      </c>
      <c r="H427">
        <v>2278.3582999999999</v>
      </c>
      <c r="I427">
        <v>34647.048799999997</v>
      </c>
      <c r="J427">
        <v>90.562693841382398</v>
      </c>
      <c r="K427">
        <v>1.3121806994857299</v>
      </c>
      <c r="L427">
        <v>1055.5353</v>
      </c>
      <c r="M427">
        <v>10265.626200000001</v>
      </c>
      <c r="N427">
        <v>94.538188277087002</v>
      </c>
      <c r="O427">
        <v>18334.9505684055</v>
      </c>
      <c r="P427">
        <v>2361.2161999999998</v>
      </c>
      <c r="Q427">
        <v>39303.615599999997</v>
      </c>
      <c r="R427">
        <v>93.291870279875596</v>
      </c>
      <c r="S427">
        <v>9733.6310063280398</v>
      </c>
      <c r="T427">
        <v>772.04740000000004</v>
      </c>
      <c r="U427">
        <v>19488.689699999999</v>
      </c>
      <c r="Y427">
        <v>89.370437956204398</v>
      </c>
      <c r="Z427">
        <v>94.801838414775602</v>
      </c>
      <c r="AA427">
        <v>2.5434130000000001</v>
      </c>
      <c r="AB427">
        <v>53.037263910158202</v>
      </c>
      <c r="AC427">
        <v>612.85822276756005</v>
      </c>
    </row>
    <row r="428" spans="1:29" x14ac:dyDescent="0.25">
      <c r="A428" s="140" t="s">
        <v>274</v>
      </c>
      <c r="B428">
        <v>96.841517014690396</v>
      </c>
      <c r="C428">
        <v>2.0752339921438199</v>
      </c>
      <c r="D428">
        <v>96.841517014690396</v>
      </c>
      <c r="E428">
        <v>2.0752339921438199</v>
      </c>
      <c r="F428">
        <v>98.312769643471498</v>
      </c>
      <c r="G428">
        <v>2.15290550789992</v>
      </c>
      <c r="H428">
        <v>3319.5983384615402</v>
      </c>
      <c r="I428">
        <v>28627.650507692299</v>
      </c>
      <c r="J428">
        <v>94.943168993550003</v>
      </c>
      <c r="K428">
        <v>2.0387177606921298</v>
      </c>
      <c r="L428">
        <v>1340.46270769231</v>
      </c>
      <c r="M428">
        <v>8401.2755846153796</v>
      </c>
      <c r="N428">
        <v>98.466864525886706</v>
      </c>
      <c r="O428">
        <v>13324.7529511704</v>
      </c>
      <c r="P428">
        <v>3533.87149230769</v>
      </c>
      <c r="Q428">
        <v>31514.8268153846</v>
      </c>
      <c r="R428">
        <v>97.174270799056302</v>
      </c>
      <c r="S428">
        <v>6407.2248134581496</v>
      </c>
      <c r="T428">
        <v>1619.8284923076901</v>
      </c>
      <c r="U428">
        <v>17525.6987076923</v>
      </c>
      <c r="Y428">
        <v>96.632264310081894</v>
      </c>
      <c r="Z428">
        <v>98.108657637367003</v>
      </c>
      <c r="AA428">
        <v>2.3900633907075099</v>
      </c>
      <c r="AB428">
        <v>0.44133469322948898</v>
      </c>
      <c r="AC428">
        <v>455.45679017186802</v>
      </c>
    </row>
    <row r="429" spans="1:29" x14ac:dyDescent="0.25">
      <c r="A429" s="140" t="s">
        <v>275</v>
      </c>
      <c r="B429">
        <v>94.901422399826103</v>
      </c>
      <c r="C429">
        <v>2.7894419880550299</v>
      </c>
      <c r="D429">
        <v>94.901422399826103</v>
      </c>
      <c r="E429">
        <v>2.7894419880550299</v>
      </c>
      <c r="F429">
        <v>97.409709074060004</v>
      </c>
      <c r="G429">
        <v>3.0873822386949601</v>
      </c>
      <c r="H429">
        <v>1522</v>
      </c>
      <c r="I429">
        <v>15272</v>
      </c>
      <c r="J429">
        <v>92.345503185040798</v>
      </c>
      <c r="K429">
        <v>4.4204101877177102</v>
      </c>
      <c r="L429">
        <v>726</v>
      </c>
      <c r="M429">
        <v>2807</v>
      </c>
      <c r="N429">
        <v>97.349784881521998</v>
      </c>
      <c r="O429">
        <v>9759.6947188372196</v>
      </c>
      <c r="P429">
        <v>2034</v>
      </c>
      <c r="Q429">
        <v>19972</v>
      </c>
      <c r="R429">
        <v>95.526632148249007</v>
      </c>
      <c r="S429">
        <v>1949.30785222186</v>
      </c>
      <c r="T429">
        <v>603</v>
      </c>
      <c r="U429">
        <v>3156</v>
      </c>
      <c r="Y429">
        <v>94.431594503786798</v>
      </c>
      <c r="Z429">
        <v>96.7365755695362</v>
      </c>
      <c r="AA429">
        <v>2.71780648823801</v>
      </c>
      <c r="AB429">
        <v>0</v>
      </c>
      <c r="AC429">
        <v>369.46049026211301</v>
      </c>
    </row>
    <row r="430" spans="1:29" x14ac:dyDescent="0.25">
      <c r="A430" s="140" t="s">
        <v>338</v>
      </c>
      <c r="B430">
        <v>98.781611629554803</v>
      </c>
      <c r="C430">
        <v>1.3610259962326099</v>
      </c>
      <c r="D430">
        <v>98.781611629554803</v>
      </c>
      <c r="E430">
        <v>1.3610259962326099</v>
      </c>
      <c r="F430">
        <v>99.215830212883105</v>
      </c>
      <c r="G430">
        <v>1.6526790912117999</v>
      </c>
      <c r="H430">
        <v>3646.4344000000001</v>
      </c>
      <c r="I430">
        <v>31055.9506</v>
      </c>
      <c r="J430">
        <v>97.540834802059294</v>
      </c>
      <c r="K430">
        <v>1.32487985989971</v>
      </c>
      <c r="L430">
        <v>1452.1831999999999</v>
      </c>
      <c r="M430">
        <v>9418.4166000000005</v>
      </c>
      <c r="N430">
        <v>99.583944170251399</v>
      </c>
      <c r="O430">
        <v>16889.8111835036</v>
      </c>
      <c r="P430">
        <v>3806.5754000000002</v>
      </c>
      <c r="Q430">
        <v>33613.522599999997</v>
      </c>
      <c r="R430">
        <v>98.821909449863696</v>
      </c>
      <c r="S430">
        <v>10865.141774694401</v>
      </c>
      <c r="T430">
        <v>1804.7064</v>
      </c>
      <c r="U430">
        <v>20138.371200000001</v>
      </c>
      <c r="Y430">
        <v>98.832934116376904</v>
      </c>
      <c r="Z430">
        <v>99.480739705197806</v>
      </c>
      <c r="AA430">
        <v>2.0623202931770002</v>
      </c>
      <c r="AB430">
        <v>0.88266938645897897</v>
      </c>
      <c r="AC430">
        <v>541.45309008162303</v>
      </c>
    </row>
    <row r="431" spans="1:29" x14ac:dyDescent="0.25">
      <c r="A431" s="140"/>
    </row>
    <row r="432" spans="1:29" x14ac:dyDescent="0.25">
      <c r="A432" s="140"/>
    </row>
    <row r="433" spans="1:1" x14ac:dyDescent="0.25">
      <c r="A433" s="140"/>
    </row>
    <row r="434" spans="1:1" x14ac:dyDescent="0.25">
      <c r="A434" s="140"/>
    </row>
    <row r="435" spans="1:1" x14ac:dyDescent="0.25">
      <c r="A435" s="140"/>
    </row>
    <row r="436" spans="1:1" x14ac:dyDescent="0.25">
      <c r="A436" s="140"/>
    </row>
  </sheetData>
  <pageMargins left="0.7" right="0.7" top="0.75" bottom="0.75" header="0.3" footer="0.3"/>
  <customProperties>
    <customPr name="_SVTable__2ced7f66_bc00_449d_a959_816a22b51f4c_" r:id="rId1"/>
    <customPr name="_SVTable__9b362ba6_13a1_4eab_ad74_2a8adafdde8e_" r:id="rId2"/>
    <customPr name="_SVTable__e9f65f80_b865_4bc2_9572_32bf16b85d23_" r:id="rId3"/>
    <customPr name="_SVTable__ec767141_2df1_472b_92ae_1cf8f64fa10e_" r:id="rId4"/>
    <customPr name="_SVTableSet_" r:id="rId5"/>
    <customPr name="SheetOptions" r:id="rId6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tabColor theme="0" tint="-0.499984740745262"/>
  </sheetPr>
  <dimension ref="A1:C18"/>
  <sheetViews>
    <sheetView workbookViewId="0">
      <selection activeCell="B21" sqref="B21"/>
    </sheetView>
  </sheetViews>
  <sheetFormatPr baseColWidth="10" defaultColWidth="24.7109375" defaultRowHeight="15" x14ac:dyDescent="0.25"/>
  <sheetData>
    <row r="1" spans="1:3" x14ac:dyDescent="0.25">
      <c r="A1" s="67" t="s">
        <v>485</v>
      </c>
      <c r="B1" s="67" t="s">
        <v>21</v>
      </c>
      <c r="C1" s="67" t="s">
        <v>486</v>
      </c>
    </row>
    <row r="2" spans="1:3" x14ac:dyDescent="0.25">
      <c r="A2" s="133" t="s">
        <v>487</v>
      </c>
      <c r="B2" s="134">
        <v>97.442799461641997</v>
      </c>
      <c r="C2" s="134">
        <v>11.142652618705499</v>
      </c>
    </row>
    <row r="3" spans="1:3" x14ac:dyDescent="0.25">
      <c r="A3" s="133" t="s">
        <v>488</v>
      </c>
      <c r="B3" s="134">
        <v>94.225014961101095</v>
      </c>
      <c r="C3" s="134">
        <v>12.5061100581889</v>
      </c>
    </row>
    <row r="4" spans="1:3" x14ac:dyDescent="0.25">
      <c r="A4" s="133" t="s">
        <v>489</v>
      </c>
      <c r="B4" s="134">
        <v>97.617574257425701</v>
      </c>
      <c r="C4" s="134">
        <v>9.6808866493005201</v>
      </c>
    </row>
    <row r="5" spans="1:3" x14ac:dyDescent="0.25">
      <c r="A5" s="289" t="s">
        <v>490</v>
      </c>
      <c r="B5" s="290">
        <v>99.6401245365454</v>
      </c>
      <c r="C5" s="290">
        <v>2.4317109600058435</v>
      </c>
    </row>
    <row r="6" spans="1:3" x14ac:dyDescent="0.25">
      <c r="A6" s="289" t="s">
        <v>491</v>
      </c>
      <c r="B6" s="290">
        <v>99.368333989297213</v>
      </c>
      <c r="C6" s="290">
        <v>2.6013806824512606</v>
      </c>
    </row>
    <row r="7" spans="1:3" x14ac:dyDescent="0.25">
      <c r="A7" s="289" t="s">
        <v>492</v>
      </c>
      <c r="B7" s="290">
        <v>99.83034687687308</v>
      </c>
      <c r="C7" s="290">
        <v>2.2713081352744924</v>
      </c>
    </row>
    <row r="8" spans="1:3" x14ac:dyDescent="0.25">
      <c r="A8" s="289" t="s">
        <v>739</v>
      </c>
      <c r="B8" s="290">
        <v>98.351222874052098</v>
      </c>
      <c r="C8" s="290">
        <v>2.8115882907928591</v>
      </c>
    </row>
    <row r="9" spans="1:3" x14ac:dyDescent="0.25">
      <c r="A9" s="133" t="s">
        <v>634</v>
      </c>
      <c r="B9" s="134">
        <v>75.342083216978494</v>
      </c>
      <c r="C9" s="134">
        <v>15.212520754526899</v>
      </c>
    </row>
    <row r="10" spans="1:3" x14ac:dyDescent="0.25">
      <c r="A10" s="133" t="s">
        <v>635</v>
      </c>
      <c r="B10" s="134">
        <v>83.783175888439004</v>
      </c>
      <c r="C10" s="134">
        <v>13.648880216849401</v>
      </c>
    </row>
    <row r="11" spans="1:3" x14ac:dyDescent="0.25">
      <c r="A11" s="70" t="s">
        <v>636</v>
      </c>
      <c r="B11" s="134">
        <v>99.434269146453602</v>
      </c>
      <c r="C11" s="134">
        <v>5.59111752883988</v>
      </c>
    </row>
    <row r="12" spans="1:3" x14ac:dyDescent="0.25">
      <c r="A12" s="133" t="s">
        <v>637</v>
      </c>
      <c r="B12" s="134">
        <v>99.437578114150796</v>
      </c>
      <c r="C12" s="134">
        <v>5.6974498375908098</v>
      </c>
    </row>
    <row r="13" spans="1:3" x14ac:dyDescent="0.25">
      <c r="A13" t="s">
        <v>493</v>
      </c>
      <c r="B13">
        <v>84.751670055184405</v>
      </c>
      <c r="C13">
        <v>4145.3241935483902</v>
      </c>
    </row>
    <row r="14" spans="1:3" x14ac:dyDescent="0.25">
      <c r="A14" t="s">
        <v>494</v>
      </c>
      <c r="B14">
        <v>83.137175324675297</v>
      </c>
      <c r="C14">
        <v>3837.40032154341</v>
      </c>
    </row>
    <row r="15" spans="1:3" x14ac:dyDescent="0.25">
      <c r="A15" t="s">
        <v>495</v>
      </c>
      <c r="B15">
        <v>99.8275366484622</v>
      </c>
      <c r="C15">
        <v>3.5847600806451601</v>
      </c>
    </row>
    <row r="16" spans="1:3" x14ac:dyDescent="0.25">
      <c r="A16" t="s">
        <v>496</v>
      </c>
      <c r="B16">
        <v>99.621322458491093</v>
      </c>
      <c r="C16">
        <v>3.6301816756272398</v>
      </c>
    </row>
    <row r="17" spans="1:3" x14ac:dyDescent="0.25">
      <c r="A17" t="s">
        <v>638</v>
      </c>
      <c r="B17">
        <v>92.9996618194116</v>
      </c>
      <c r="C17">
        <v>8.3958426928049992</v>
      </c>
    </row>
    <row r="18" spans="1:3" x14ac:dyDescent="0.25">
      <c r="A18" t="s">
        <v>639</v>
      </c>
      <c r="B18">
        <v>90.151254726710206</v>
      </c>
      <c r="C18">
        <v>7.27989808928222</v>
      </c>
    </row>
  </sheetData>
  <pageMargins left="0.7" right="0.7" top="0.75" bottom="0.75" header="0.3" footer="0.3"/>
  <customProperties>
    <customPr name="_SVTable__7e7f49d5_3c48_4f55_9296_ebdb180a12b8_" r:id="rId1"/>
    <customPr name="_SVTable__c3ecea9f_71ae_40ee_8bbc_48864726e397_" r:id="rId2"/>
    <customPr name="_SVTableSet_" r:id="rId3"/>
    <customPr name="SheetOptions" r:id="rId4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tabColor theme="0" tint="-0.499984740745262"/>
  </sheetPr>
  <dimension ref="A1:K34"/>
  <sheetViews>
    <sheetView zoomScaleNormal="100" workbookViewId="0"/>
  </sheetViews>
  <sheetFormatPr baseColWidth="10" defaultColWidth="9.140625" defaultRowHeight="15" x14ac:dyDescent="0.25"/>
  <cols>
    <col min="1" max="1" width="14.7109375" bestFit="1" customWidth="1"/>
    <col min="2" max="2" width="44.5703125" bestFit="1" customWidth="1"/>
    <col min="3" max="3" width="36.5703125" bestFit="1" customWidth="1"/>
    <col min="4" max="4" width="42.85546875" bestFit="1" customWidth="1"/>
    <col min="5" max="5" width="40.28515625" bestFit="1" customWidth="1"/>
    <col min="6" max="6" width="3" customWidth="1"/>
    <col min="7" max="7" width="12" bestFit="1" customWidth="1"/>
    <col min="8" max="8" width="12.85546875" bestFit="1" customWidth="1"/>
    <col min="9" max="9" width="13.7109375" bestFit="1" customWidth="1"/>
    <col min="10" max="10" width="19.85546875" bestFit="1" customWidth="1"/>
    <col min="11" max="11" width="22.28515625" bestFit="1" customWidth="1"/>
    <col min="12" max="12" width="13.7109375" bestFit="1" customWidth="1"/>
    <col min="13" max="13" width="19.85546875" bestFit="1" customWidth="1"/>
    <col min="14" max="14" width="22.28515625" bestFit="1" customWidth="1"/>
  </cols>
  <sheetData>
    <row r="1" spans="1:11" ht="15.75" thickBot="1" x14ac:dyDescent="0.3">
      <c r="A1" s="10"/>
      <c r="B1" s="10"/>
    </row>
    <row r="2" spans="1:11" ht="15.75" thickBot="1" x14ac:dyDescent="0.3">
      <c r="B2" s="10"/>
      <c r="C2" s="105" t="s">
        <v>347</v>
      </c>
      <c r="D2" s="106" t="s">
        <v>341</v>
      </c>
      <c r="G2" s="345" t="s">
        <v>454</v>
      </c>
      <c r="H2" s="346"/>
      <c r="I2" s="346"/>
      <c r="J2" s="346"/>
      <c r="K2" s="347"/>
    </row>
    <row r="3" spans="1:11" x14ac:dyDescent="0.25">
      <c r="B3" s="102" t="s">
        <v>332</v>
      </c>
      <c r="C3" s="100">
        <v>2</v>
      </c>
      <c r="D3" s="101" t="str">
        <f>VLOOKUP(C3,G20:H32,2,FALSE)</f>
        <v>ES</v>
      </c>
      <c r="G3" s="75" t="s">
        <v>288</v>
      </c>
      <c r="H3" s="76" t="s">
        <v>289</v>
      </c>
      <c r="I3" s="76" t="s">
        <v>290</v>
      </c>
      <c r="J3" s="76" t="s">
        <v>291</v>
      </c>
      <c r="K3" s="77" t="s">
        <v>292</v>
      </c>
    </row>
    <row r="4" spans="1:11" x14ac:dyDescent="0.25">
      <c r="B4" s="103" t="s">
        <v>463</v>
      </c>
      <c r="C4" s="100">
        <v>2</v>
      </c>
      <c r="D4" s="101" t="str">
        <f>VLOOKUP(C4,$G$20:$I$25,3,FALSE)</f>
        <v>4G</v>
      </c>
      <c r="G4" s="78" t="s">
        <v>293</v>
      </c>
      <c r="H4" s="73" t="s">
        <v>278</v>
      </c>
      <c r="I4" s="73" t="s">
        <v>294</v>
      </c>
      <c r="J4" s="73" t="s">
        <v>295</v>
      </c>
      <c r="K4" s="89"/>
    </row>
    <row r="5" spans="1:11" x14ac:dyDescent="0.25">
      <c r="B5" s="103" t="s">
        <v>464</v>
      </c>
      <c r="C5" s="100">
        <v>2</v>
      </c>
      <c r="D5" s="101" t="str">
        <f>VLOOKUP(C5,$G$20:$I$23,3,FALSE)</f>
        <v>4G</v>
      </c>
      <c r="G5" s="78" t="s">
        <v>296</v>
      </c>
      <c r="H5" s="73" t="s">
        <v>278</v>
      </c>
      <c r="I5" s="73" t="s">
        <v>297</v>
      </c>
      <c r="J5" s="73" t="s">
        <v>298</v>
      </c>
      <c r="K5" s="79" t="s">
        <v>299</v>
      </c>
    </row>
    <row r="6" spans="1:11" x14ac:dyDescent="0.25">
      <c r="B6" s="103" t="s">
        <v>459</v>
      </c>
      <c r="C6" s="100">
        <v>2</v>
      </c>
      <c r="D6" s="101" t="str">
        <f>VLOOKUP(C6,$G$20:$I$25,3,FALSE)</f>
        <v>4G</v>
      </c>
      <c r="G6" s="78" t="s">
        <v>300</v>
      </c>
      <c r="H6" s="73" t="s">
        <v>278</v>
      </c>
      <c r="I6" s="73" t="s">
        <v>301</v>
      </c>
      <c r="J6" s="73" t="s">
        <v>294</v>
      </c>
      <c r="K6" s="79" t="s">
        <v>302</v>
      </c>
    </row>
    <row r="7" spans="1:11" x14ac:dyDescent="0.25">
      <c r="B7" s="103" t="s">
        <v>460</v>
      </c>
      <c r="C7" s="100">
        <v>2</v>
      </c>
      <c r="D7" s="101" t="str">
        <f>VLOOKUP(C7,$G$20:$I$23,3,FALSE)</f>
        <v>4G</v>
      </c>
      <c r="G7" s="78" t="s">
        <v>303</v>
      </c>
      <c r="H7" s="73" t="s">
        <v>278</v>
      </c>
      <c r="I7" s="73" t="s">
        <v>295</v>
      </c>
      <c r="J7" s="73" t="s">
        <v>304</v>
      </c>
      <c r="K7" s="79" t="s">
        <v>702</v>
      </c>
    </row>
    <row r="8" spans="1:11" x14ac:dyDescent="0.25">
      <c r="B8" s="103" t="s">
        <v>461</v>
      </c>
      <c r="C8" s="100">
        <v>2</v>
      </c>
      <c r="D8" s="101" t="str">
        <f>VLOOKUP(C8,$G$20:$I$25,3,FALSE)</f>
        <v>4G</v>
      </c>
      <c r="G8" s="78" t="s">
        <v>305</v>
      </c>
      <c r="H8" s="73" t="s">
        <v>278</v>
      </c>
      <c r="I8" s="73" t="s">
        <v>277</v>
      </c>
      <c r="J8" s="73" t="s">
        <v>284</v>
      </c>
      <c r="K8" s="79" t="s">
        <v>302</v>
      </c>
    </row>
    <row r="9" spans="1:11" x14ac:dyDescent="0.25">
      <c r="B9" s="103" t="s">
        <v>462</v>
      </c>
      <c r="C9" s="100">
        <v>2</v>
      </c>
      <c r="D9" s="101" t="str">
        <f t="shared" ref="D9" si="0">VLOOKUP(C9,$G$20:$I$22,3,FALSE)</f>
        <v>4G</v>
      </c>
      <c r="G9" s="78" t="s">
        <v>306</v>
      </c>
      <c r="H9" s="73" t="s">
        <v>278</v>
      </c>
      <c r="I9" s="73" t="s">
        <v>307</v>
      </c>
      <c r="J9" s="73" t="s">
        <v>308</v>
      </c>
      <c r="K9" s="89"/>
    </row>
    <row r="10" spans="1:11" x14ac:dyDescent="0.25">
      <c r="B10" s="103" t="s">
        <v>333</v>
      </c>
      <c r="C10" s="100">
        <v>1</v>
      </c>
      <c r="D10" s="101" t="str">
        <f>VLOOKUP(C10,G20:J23,4,FALSE)</f>
        <v>MAIN HIGHWAYS</v>
      </c>
      <c r="G10" s="78" t="s">
        <v>309</v>
      </c>
      <c r="H10" s="73" t="s">
        <v>278</v>
      </c>
      <c r="I10" s="73" t="s">
        <v>298</v>
      </c>
      <c r="J10" s="73" t="s">
        <v>700</v>
      </c>
      <c r="K10" s="79" t="s">
        <v>701</v>
      </c>
    </row>
    <row r="11" spans="1:11" ht="15.75" thickBot="1" x14ac:dyDescent="0.3">
      <c r="B11" s="104" t="s">
        <v>342</v>
      </c>
      <c r="C11" s="94">
        <v>2</v>
      </c>
      <c r="D11" s="95" t="str">
        <f>CHOOSE(C11,"LIVE","STATIC","EMPTY")</f>
        <v>STATIC</v>
      </c>
      <c r="G11" s="78" t="s">
        <v>311</v>
      </c>
      <c r="H11" s="73" t="s">
        <v>278</v>
      </c>
      <c r="I11" s="73" t="s">
        <v>640</v>
      </c>
      <c r="J11" s="73" t="s">
        <v>641</v>
      </c>
      <c r="K11" s="89"/>
    </row>
    <row r="12" spans="1:11" x14ac:dyDescent="0.25">
      <c r="G12" s="78" t="s">
        <v>314</v>
      </c>
      <c r="H12" s="73" t="s">
        <v>278</v>
      </c>
      <c r="I12" s="73" t="s">
        <v>295</v>
      </c>
      <c r="J12" s="73" t="s">
        <v>315</v>
      </c>
      <c r="K12" s="89"/>
    </row>
    <row r="13" spans="1:11" x14ac:dyDescent="0.25">
      <c r="G13" s="78" t="s">
        <v>316</v>
      </c>
      <c r="H13" s="73" t="s">
        <v>278</v>
      </c>
      <c r="I13" s="73" t="s">
        <v>284</v>
      </c>
      <c r="J13" s="73" t="s">
        <v>310</v>
      </c>
      <c r="K13" s="89"/>
    </row>
    <row r="14" spans="1:11" ht="15.75" thickBot="1" x14ac:dyDescent="0.3">
      <c r="G14" s="78" t="s">
        <v>317</v>
      </c>
      <c r="H14" s="73" t="s">
        <v>278</v>
      </c>
      <c r="I14" s="73" t="s">
        <v>318</v>
      </c>
      <c r="J14" s="73" t="s">
        <v>319</v>
      </c>
      <c r="K14" s="79" t="s">
        <v>320</v>
      </c>
    </row>
    <row r="15" spans="1:11" x14ac:dyDescent="0.25">
      <c r="B15" s="96" t="s">
        <v>280</v>
      </c>
      <c r="C15" s="97" t="s">
        <v>281</v>
      </c>
      <c r="D15" s="97" t="s">
        <v>281</v>
      </c>
      <c r="E15" s="98" t="s">
        <v>282</v>
      </c>
      <c r="F15" s="71"/>
      <c r="G15" s="78" t="s">
        <v>321</v>
      </c>
      <c r="H15" s="73" t="s">
        <v>278</v>
      </c>
      <c r="I15" s="73" t="s">
        <v>322</v>
      </c>
      <c r="J15" s="73" t="s">
        <v>302</v>
      </c>
      <c r="K15" s="89"/>
    </row>
    <row r="16" spans="1:11" ht="15.75" thickBot="1" x14ac:dyDescent="0.3">
      <c r="B16" s="93" t="str">
        <f>VLOOKUP($D$3,G3:K16,2,FALSE)</f>
        <v>VODAFONE</v>
      </c>
      <c r="C16" s="94" t="str">
        <f>VLOOKUP($D$3,G3:K16,3,FALSE)</f>
        <v>MOVISTAR</v>
      </c>
      <c r="D16" s="94" t="str">
        <f>VLOOKUP($D$3,G3:K16,4,FALSE)</f>
        <v>ORANGE</v>
      </c>
      <c r="E16" s="95" t="str">
        <f>VLOOKUP($D$3,G3:K16,5,FALSE)</f>
        <v>YOIGO</v>
      </c>
      <c r="G16" s="80" t="s">
        <v>323</v>
      </c>
      <c r="H16" s="81" t="s">
        <v>278</v>
      </c>
      <c r="I16" s="81" t="s">
        <v>295</v>
      </c>
      <c r="J16" s="81" t="s">
        <v>294</v>
      </c>
      <c r="K16" s="91"/>
    </row>
    <row r="17" spans="1:11" ht="15.75" thickBot="1" x14ac:dyDescent="0.3"/>
    <row r="18" spans="1:11" ht="15.75" thickBot="1" x14ac:dyDescent="0.3">
      <c r="G18" s="348" t="s">
        <v>455</v>
      </c>
      <c r="H18" s="349"/>
      <c r="I18" s="349"/>
      <c r="J18" s="349"/>
      <c r="K18" s="350"/>
    </row>
    <row r="19" spans="1:11" ht="15.75" thickBot="1" x14ac:dyDescent="0.3">
      <c r="A19" s="107" t="s">
        <v>326</v>
      </c>
      <c r="B19" s="107" t="s">
        <v>283</v>
      </c>
      <c r="C19" s="108" t="s">
        <v>285</v>
      </c>
      <c r="D19" s="108" t="s">
        <v>286</v>
      </c>
      <c r="E19" s="109" t="s">
        <v>287</v>
      </c>
      <c r="G19" s="82" t="s">
        <v>339</v>
      </c>
      <c r="H19" s="83" t="s">
        <v>332</v>
      </c>
      <c r="I19" s="83" t="s">
        <v>340</v>
      </c>
      <c r="J19" s="83" t="s">
        <v>333</v>
      </c>
      <c r="K19" s="84" t="s">
        <v>342</v>
      </c>
    </row>
    <row r="20" spans="1:11" x14ac:dyDescent="0.25">
      <c r="A20" s="12" t="s">
        <v>279</v>
      </c>
      <c r="B20" s="99" t="str">
        <f>IF(AND($B$16&lt;&gt;0, $D$4 &lt;&gt; "P3 Public",$D$4 &lt;&gt; "P3 Public VoLTE" ),CONCATENATE("VF-",$D$3,"_",$B$16,"_",$A$20,"_",$D$4),IF(OR($D$4 = "P3 Public",$D$4 = "P3 Public VoLTE"), "AVG",""))</f>
        <v>VF-ES_VODAFONE_MAIN CITIES_4G</v>
      </c>
      <c r="C20" s="32" t="str">
        <f>IF(AND(C16&lt;&gt;0, $D$4 &lt;&gt; "P3 Public",$D$4 &lt;&gt; "P3 Public VoLTE" ),CONCATENATE("VF-",$D$3,"_",C16,"_",$A$20,"_",$D$4),IF(OR($D$4 = "P3 Public",$D$4 = "P3 Public VoLTE"),"AVG",""))</f>
        <v>VF-ES_MOVISTAR_MAIN CITIES_4G</v>
      </c>
      <c r="D20" s="32" t="str">
        <f>IF(AND(D16&lt;&gt;0, $D$4 &lt;&gt; "P3 Public",$D$4 &lt;&gt; "P3 Public VoLTE"),CONCATENATE("VF-",$D$3,"_",D16,"_",$A$20,"_",$D$4),IF(OR($D$4 = "P3 Public",$D$4 = "P3 Public VoLTE"),"AVG",""))</f>
        <v>VF-ES_ORANGE_MAIN CITIES_4G</v>
      </c>
      <c r="E20" s="33" t="str">
        <f>IF(AND(E16&lt;&gt;0, $D$4 &lt;&gt; "P3 Public",$D$4 &lt;&gt; "P3 Public VoLTE"),CONCATENATE("VF-",$D$3,"_",E16,"_",$A$20,"_",$D$4),IF(OR($D$4 = "P3 Public",$D$4 = "P3 Public VoLTE"), "AVG",""))</f>
        <v>VF-ES_YOIGO_MAIN CITIES_4G</v>
      </c>
      <c r="G20" s="85">
        <v>1</v>
      </c>
      <c r="H20" s="72" t="s">
        <v>293</v>
      </c>
      <c r="I20" s="74" t="s">
        <v>324</v>
      </c>
      <c r="J20" s="74" t="s">
        <v>331</v>
      </c>
      <c r="K20" s="92" t="s">
        <v>343</v>
      </c>
    </row>
    <row r="21" spans="1:11" ht="15.75" thickBot="1" x14ac:dyDescent="0.3">
      <c r="A21" s="13" t="s">
        <v>474</v>
      </c>
      <c r="B21" s="37" t="str">
        <f>CONCATENATE("VF-",$D$3,"_",B16,"_",$A$20,"_")</f>
        <v>VF-ES_VODAFONE_MAIN CITIES_</v>
      </c>
      <c r="C21" s="38" t="str">
        <f>CONCATENATE("VF-",$D$3,"_",C16,"_",$A$20,"_")</f>
        <v>VF-ES_MOVISTAR_MAIN CITIES_</v>
      </c>
      <c r="D21" s="38" t="str">
        <f>CONCATENATE("VF-",$D$3,"_",D16,"_",$A$20,"_")</f>
        <v>VF-ES_ORANGE_MAIN CITIES_</v>
      </c>
      <c r="E21" s="39" t="str">
        <f>CONCATENATE("VF-",$D$3,"_",E16,"_",$A$20,"_")</f>
        <v>VF-ES_YOIGO_MAIN CITIES_</v>
      </c>
      <c r="F21" s="127"/>
      <c r="G21" s="85">
        <f>G20+1</f>
        <v>2</v>
      </c>
      <c r="H21" s="72" t="s">
        <v>296</v>
      </c>
      <c r="I21" s="74" t="s">
        <v>330</v>
      </c>
      <c r="J21" s="74" t="s">
        <v>327</v>
      </c>
      <c r="K21" s="92" t="s">
        <v>344</v>
      </c>
    </row>
    <row r="22" spans="1:11" x14ac:dyDescent="0.25">
      <c r="A22" s="12" t="s">
        <v>325</v>
      </c>
      <c r="B22" s="99" t="str">
        <f>IF(AND(B16&lt;&gt;0, $D$6 &lt;&gt; "P3 Public",$D$6 &lt;&gt; "P3 Public VoLTE"),CONCATENATE("VF-",$D$3,"_",B16,"_",$A$22,"_",$D$6),IF(OR($D$6 = "P3 Public",$D$6 = "P3 Public VoLTE"), "AVG",""))</f>
        <v>VF-ES_VODAFONE_SMALLER CITIES_4G</v>
      </c>
      <c r="C22" s="32" t="str">
        <f>IF(AND(C16&lt;&gt;0, $D$6 &lt;&gt; "P3 Public",$D$6 &lt;&gt; "P3 Public VoLTE" ),CONCATENATE("VF-",$D$3,"_",C16,"_",$A$22,"_",$D$6),IF(OR($D$6 = "P3 Public",$D$6 = "P3 Public VoLTE"), "AVG",""))</f>
        <v>VF-ES_MOVISTAR_SMALLER CITIES_4G</v>
      </c>
      <c r="D22" s="32" t="str">
        <f>IF(AND(D16&lt;&gt;0, $D$6 &lt;&gt; "P3 Public",$D$6 &lt;&gt; "P3 Public VoLTE"),CONCATENATE("VF-",$D$3,"_",D16,"_",$A$22,"_",$D$6),IF(OR($D$6 = "P3 Public",$D$6 = "P3 Public VoLTE"),  "AVG",""))</f>
        <v>VF-ES_ORANGE_SMALLER CITIES_4G</v>
      </c>
      <c r="E22" s="33" t="str">
        <f>IF(AND(E16&lt;&gt;0, $D$6 &lt;&gt; "P3 Public",$D$6 &lt;&gt; "P3 Public VoLTE" ),CONCATENATE("VF-",$D$3,"_",E16,"_",$A$22,"_",$D$6),IF(OR($D$6 = "P3 Public",$D$6 = "P3 Public VoLTE"), "AVG",""))</f>
        <v>VF-ES_YOIGO_SMALLER CITIES_4G</v>
      </c>
      <c r="G22" s="85">
        <f t="shared" ref="G22:G32" si="1">G21+1</f>
        <v>3</v>
      </c>
      <c r="H22" s="72" t="s">
        <v>300</v>
      </c>
      <c r="I22" s="74" t="s">
        <v>334</v>
      </c>
      <c r="J22" s="88"/>
      <c r="K22" s="92" t="s">
        <v>345</v>
      </c>
    </row>
    <row r="23" spans="1:11" ht="15.75" thickBot="1" x14ac:dyDescent="0.3">
      <c r="A23" s="13"/>
      <c r="B23" s="37" t="str">
        <f>CONCATENATE("VF-",$D$3,"_",B16,"_",$A$22,"_")</f>
        <v>VF-ES_VODAFONE_SMALLER CITIES_</v>
      </c>
      <c r="C23" s="38" t="str">
        <f t="shared" ref="C23:E23" si="2">CONCATENATE("VF-",$D$3,"_",C16,"_",$A$22,"_")</f>
        <v>VF-ES_MOVISTAR_SMALLER CITIES_</v>
      </c>
      <c r="D23" s="38" t="str">
        <f t="shared" si="2"/>
        <v>VF-ES_ORANGE_SMALLER CITIES_</v>
      </c>
      <c r="E23" s="39" t="str">
        <f t="shared" si="2"/>
        <v>VF-ES_YOIGO_SMALLER CITIES_</v>
      </c>
      <c r="G23" s="85">
        <f t="shared" si="1"/>
        <v>4</v>
      </c>
      <c r="H23" s="72" t="s">
        <v>303</v>
      </c>
      <c r="I23" s="74" t="s">
        <v>471</v>
      </c>
      <c r="J23" s="88"/>
      <c r="K23" s="89"/>
    </row>
    <row r="24" spans="1:11" x14ac:dyDescent="0.25">
      <c r="A24" s="11" t="s">
        <v>329</v>
      </c>
      <c r="B24" s="99" t="str">
        <f>IF(AND(B16&lt;&gt;0, $D$8 &lt;&gt; "P3 Public",$D$8 &lt;&gt; "P3 Public VoLTE"),CONCATENATE("VF-",$D$3,"_",B16,"_",$D$10,"_",$D$8),IF(OR($D$8 = "P3 Public",$D$8 = "P3 Public VoLTE"), "AVG",""))</f>
        <v>VF-ES_VODAFONE_MAIN HIGHWAYS_4G</v>
      </c>
      <c r="C24" s="32" t="str">
        <f>IF(AND(C16&lt;&gt;0, $D$8 &lt;&gt; "P3 Public",$D$8 &lt;&gt; "P3 Public VoLTE"),CONCATENATE("VF-",$D$3,"_",C16,"_",$D$10,"_",$D$8),IF(OR($D$8 = "P3 Public",$D$8 = "P3 Public VoLTE"),  "AVG",""))</f>
        <v>VF-ES_MOVISTAR_MAIN HIGHWAYS_4G</v>
      </c>
      <c r="D24" s="32" t="str">
        <f>IF(AND(D16&lt;&gt;0, $D$8 &lt;&gt; "P3 Public",$D$8 &lt;&gt; "P3 Public VoLTE"),CONCATENATE("VF-",$D$3,"_",D16,"_",$D$10,"_",$D$8),IF(OR($D$8 = "P3 Public",$D$8 = "P3 Public VoLTE"),  "AVG",""))</f>
        <v>VF-ES_ORANGE_MAIN HIGHWAYS_4G</v>
      </c>
      <c r="E24" s="33" t="str">
        <f>IF(AND(E16&lt;&gt;0, $D$8 &lt;&gt; "P3 Public",$D$8 &lt;&gt; "P3 Public VoLTE" ),CONCATENATE("VF-",$D$3,"_",E16,"_",$D$10,"_",$D$8),IF(OR($D$8 = "P3 Public",$D$8 = "P3 Public VoLTE"),  "AVG",""))</f>
        <v>VF-ES_YOIGO_MAIN HIGHWAYS_4G</v>
      </c>
      <c r="G24" s="85">
        <f t="shared" si="1"/>
        <v>5</v>
      </c>
      <c r="H24" s="72" t="s">
        <v>305</v>
      </c>
      <c r="I24" s="253" t="s">
        <v>642</v>
      </c>
      <c r="J24" s="88"/>
      <c r="K24" s="89"/>
    </row>
    <row r="25" spans="1:11" ht="15.75" thickBot="1" x14ac:dyDescent="0.3">
      <c r="A25" s="13"/>
      <c r="B25" s="37" t="str">
        <f>CONCATENATE("VF-",$D$3,"_",B16,"_",$D$10,"_")</f>
        <v>VF-ES_VODAFONE_MAIN HIGHWAYS_</v>
      </c>
      <c r="C25" s="38" t="str">
        <f>CONCATENATE("VF-",$D$3,"_",C16,"_",$D$10,"_")</f>
        <v>VF-ES_MOVISTAR_MAIN HIGHWAYS_</v>
      </c>
      <c r="D25" s="38" t="str">
        <f>CONCATENATE("VF-",$D$3,"_",D16,"_",$D$10,"_")</f>
        <v>VF-ES_ORANGE_MAIN HIGHWAYS_</v>
      </c>
      <c r="E25" s="39" t="str">
        <f>CONCATENATE("VF-",$D$3,"_",E16,"_",$D$10,"_")</f>
        <v>VF-ES_YOIGO_MAIN HIGHWAYS_</v>
      </c>
      <c r="G25" s="85">
        <f t="shared" si="1"/>
        <v>6</v>
      </c>
      <c r="H25" s="72" t="s">
        <v>306</v>
      </c>
      <c r="I25" s="253" t="s">
        <v>644</v>
      </c>
      <c r="J25" s="88"/>
      <c r="K25" s="89"/>
    </row>
    <row r="26" spans="1:11" ht="15.75" thickBot="1" x14ac:dyDescent="0.3">
      <c r="B26" s="2"/>
      <c r="C26" s="2"/>
      <c r="D26" s="2"/>
      <c r="E26" s="2"/>
      <c r="G26" s="85">
        <f t="shared" si="1"/>
        <v>7</v>
      </c>
      <c r="H26" s="72" t="s">
        <v>309</v>
      </c>
      <c r="I26" s="88"/>
      <c r="J26" s="88"/>
      <c r="K26" s="89"/>
    </row>
    <row r="27" spans="1:11" ht="15.75" thickBot="1" x14ac:dyDescent="0.3">
      <c r="A27" s="135" t="s">
        <v>328</v>
      </c>
      <c r="B27" s="135" t="s">
        <v>283</v>
      </c>
      <c r="C27" s="136" t="s">
        <v>285</v>
      </c>
      <c r="D27" s="136" t="s">
        <v>286</v>
      </c>
      <c r="E27" s="137" t="s">
        <v>287</v>
      </c>
      <c r="G27" s="85">
        <f t="shared" si="1"/>
        <v>8</v>
      </c>
      <c r="H27" s="72" t="s">
        <v>311</v>
      </c>
      <c r="I27" s="88"/>
      <c r="J27" s="88"/>
      <c r="K27" s="89"/>
    </row>
    <row r="28" spans="1:11" x14ac:dyDescent="0.25">
      <c r="A28" s="11" t="s">
        <v>279</v>
      </c>
      <c r="B28" s="99" t="str">
        <f>IF(B16 &lt;&gt; 0,CONCATENATE("VF-",$D$3,"_",B16,"_",$A$28,"_",$D$5),"")</f>
        <v>VF-ES_VODAFONE_MAIN CITIES_4G</v>
      </c>
      <c r="C28" s="32" t="str">
        <f>IF(C16 &lt;&gt; 0,CONCATENATE("VF-",$D$3,"_",C16,"_",$A$28,"_",$D$5),"")</f>
        <v>VF-ES_MOVISTAR_MAIN CITIES_4G</v>
      </c>
      <c r="D28" s="32" t="str">
        <f>IF(D16 &lt;&gt; 0,CONCATENATE("VF-",$D$3,"_",D16,"_",$A$28,"_",$D$5),"")</f>
        <v>VF-ES_ORANGE_MAIN CITIES_4G</v>
      </c>
      <c r="E28" s="33" t="str">
        <f>IF(E16 &lt;&gt; 0,CONCATENATE("VF-",$D$3,"_",E16,"_",$A$28,"_",$D$5),"")</f>
        <v>VF-ES_YOIGO_MAIN CITIES_4G</v>
      </c>
      <c r="G28" s="85">
        <f t="shared" si="1"/>
        <v>9</v>
      </c>
      <c r="H28" s="72" t="s">
        <v>314</v>
      </c>
      <c r="I28" s="88"/>
      <c r="J28" s="88"/>
      <c r="K28" s="89"/>
    </row>
    <row r="29" spans="1:11" x14ac:dyDescent="0.25">
      <c r="A29" s="12"/>
      <c r="B29" s="34"/>
      <c r="C29" s="10"/>
      <c r="D29" s="10"/>
      <c r="E29" s="9"/>
      <c r="G29" s="85">
        <f t="shared" si="1"/>
        <v>10</v>
      </c>
      <c r="H29" s="72" t="s">
        <v>316</v>
      </c>
      <c r="I29" s="88"/>
      <c r="J29" s="88"/>
      <c r="K29" s="89"/>
    </row>
    <row r="30" spans="1:11" x14ac:dyDescent="0.25">
      <c r="A30" s="12" t="s">
        <v>325</v>
      </c>
      <c r="B30" s="34" t="str">
        <f>IF(B16 &lt;&gt; 0,CONCATENATE("VF-",$D$3,"_",B16,"_",$A$30,"_",$D$7),"")</f>
        <v>VF-ES_VODAFONE_SMALLER CITIES_4G</v>
      </c>
      <c r="C30" s="10" t="str">
        <f>IF(C16 &lt;&gt; 0,CONCATENATE("VF-",$D$3,"_",C16,"_",$A$30,"_",$D$7),"")</f>
        <v>VF-ES_MOVISTAR_SMALLER CITIES_4G</v>
      </c>
      <c r="D30" s="10" t="str">
        <f>IF(D16 &lt;&gt; 0,CONCATENATE("VF-",$D$3,"_",D16,"_",$A$30,"_",$D$7),"")</f>
        <v>VF-ES_ORANGE_SMALLER CITIES_4G</v>
      </c>
      <c r="E30" s="9" t="str">
        <f>IF(E16 &lt;&gt; 0,CONCATENATE("VF-",$D$3,"_",E16,"_",$A$30,"_",$D$7),"")</f>
        <v>VF-ES_YOIGO_SMALLER CITIES_4G</v>
      </c>
      <c r="G30" s="85">
        <f t="shared" si="1"/>
        <v>11</v>
      </c>
      <c r="H30" s="72" t="s">
        <v>317</v>
      </c>
      <c r="I30" s="88"/>
      <c r="J30" s="88"/>
      <c r="K30" s="89"/>
    </row>
    <row r="31" spans="1:11" x14ac:dyDescent="0.25">
      <c r="A31" s="12"/>
      <c r="B31" s="34"/>
      <c r="C31" s="10"/>
      <c r="D31" s="10"/>
      <c r="E31" s="9"/>
      <c r="G31" s="85">
        <f t="shared" si="1"/>
        <v>12</v>
      </c>
      <c r="H31" s="72" t="s">
        <v>321</v>
      </c>
      <c r="I31" s="88"/>
      <c r="J31" s="88"/>
      <c r="K31" s="89"/>
    </row>
    <row r="32" spans="1:11" ht="15.75" thickBot="1" x14ac:dyDescent="0.3">
      <c r="A32" s="12" t="s">
        <v>329</v>
      </c>
      <c r="B32" s="34" t="str">
        <f>IF(B16 &lt;&gt; 0,CONCATENATE("VF-",$D$3,"_",B16,"_",$D$10,"_",$D$9),"")</f>
        <v>VF-ES_VODAFONE_MAIN HIGHWAYS_4G</v>
      </c>
      <c r="C32" s="10" t="str">
        <f>IF(C16 &lt;&gt; 0,CONCATENATE("VF-",$D$3,"_",C16,"_",$D$10,"_",$D$9),"")</f>
        <v>VF-ES_MOVISTAR_MAIN HIGHWAYS_4G</v>
      </c>
      <c r="D32" s="10" t="str">
        <f>IF(D16 &lt;&gt; 0,CONCATENATE("VF-",$D$3,"_",D16,"_",$D$10,"_",$D$9),"")</f>
        <v>VF-ES_ORANGE_MAIN HIGHWAYS_4G</v>
      </c>
      <c r="E32" s="9" t="str">
        <f>IF(E16 &lt;&gt; 0,CONCATENATE("VF-",$D$3,"_",E16,"_",$D$10,"_",$D$9),"")</f>
        <v>VF-ES_YOIGO_MAIN HIGHWAYS_4G</v>
      </c>
      <c r="G32" s="86">
        <f t="shared" si="1"/>
        <v>13</v>
      </c>
      <c r="H32" s="87" t="s">
        <v>323</v>
      </c>
      <c r="I32" s="90"/>
      <c r="J32" s="90"/>
      <c r="K32" s="91"/>
    </row>
    <row r="33" spans="1:5" x14ac:dyDescent="0.25">
      <c r="A33" s="12"/>
      <c r="B33" s="34"/>
      <c r="C33" s="10"/>
      <c r="D33" s="10"/>
      <c r="E33" s="9"/>
    </row>
    <row r="34" spans="1:5" ht="15.75" thickBot="1" x14ac:dyDescent="0.3">
      <c r="A34" s="13" t="s">
        <v>343</v>
      </c>
      <c r="B34" s="37" t="str">
        <f>IF(B16 &lt;&gt; 0,CONCATENATE("VF-",$D$3,"_",B16),"")</f>
        <v>VF-ES_VODAFONE</v>
      </c>
      <c r="C34" s="38" t="str">
        <f t="shared" ref="C34:E34" si="3">IF(C16 &lt;&gt; 0,CONCATENATE("VF-",$D$3,"_",C16),"")</f>
        <v>VF-ES_MOVISTAR</v>
      </c>
      <c r="D34" s="38" t="str">
        <f t="shared" si="3"/>
        <v>VF-ES_ORANGE</v>
      </c>
      <c r="E34" s="39" t="str">
        <f t="shared" si="3"/>
        <v>VF-ES_YOIGO</v>
      </c>
    </row>
  </sheetData>
  <mergeCells count="2">
    <mergeCell ref="G2:K2"/>
    <mergeCell ref="G18:K18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12F41D9F23549917F6E578D26461F" ma:contentTypeVersion="0" ma:contentTypeDescription="Create a new document." ma:contentTypeScope="" ma:versionID="206ea0657dc9f44da8fc2e1c99ae175c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B41ACD-AE44-41DB-8A2F-FEA7A6728978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elements/1.1/"/>
    <ds:schemaRef ds:uri="http://www.w3.org/XML/1998/namespac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59B87C69-9756-4B3A-A98D-10773DC7C9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5D91782-0C1A-4C02-A347-5AA1B63537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Service_Weights</vt:lpstr>
      <vt:lpstr>Graphs</vt:lpstr>
      <vt:lpstr>Graphs All OpCo</vt:lpstr>
      <vt:lpstr>Table</vt:lpstr>
      <vt:lpstr>MF_VF</vt:lpstr>
      <vt:lpstr>MF_OP1</vt:lpstr>
      <vt:lpstr>MF_OP2</vt:lpstr>
      <vt:lpstr>MF_OP3</vt:lpstr>
      <vt:lpstr>HOW_TO</vt:lpstr>
      <vt:lpstr>OBIEE_VOICE</vt:lpstr>
      <vt:lpstr>OBIEE_DATA</vt:lpstr>
      <vt:lpstr>OBIEE_LIVE_BROWSING</vt:lpstr>
      <vt:lpstr>CONFIG</vt:lpstr>
      <vt:lpstr>Sheet3</vt:lpstr>
    </vt:vector>
  </TitlesOfParts>
  <Company>Vodafone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Verdonschot, Roy, Vodafone Netherlands</dc:creator>
  <cp:lastModifiedBy>melisa_duro</cp:lastModifiedBy>
  <dcterms:created xsi:type="dcterms:W3CDTF">2015-02-04T13:59:47Z</dcterms:created>
  <dcterms:modified xsi:type="dcterms:W3CDTF">2017-05-03T15:05:23Z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1871552253</vt:i4>
  </property>
  <property fmtid="{D5CDD505-2E9C-101B-9397-08002B2CF9AE}" pid="3" name="_NewReviewCycle">
    <vt:lpwstr/>
  </property>
  <property fmtid="{D5CDD505-2E9C-101B-9397-08002B2CF9AE}" pid="4" name="_EmailSubject">
    <vt:lpwstr>Upgrade to YouTube 11 app for Public/Global/TLT Monthly tests</vt:lpwstr>
  </property>
  <property fmtid="{D5CDD505-2E9C-101B-9397-08002B2CF9AE}" pid="5" name="_AuthorEmail">
    <vt:lpwstr>Alberto.BONA@vodafone.com</vt:lpwstr>
  </property>
  <property fmtid="{D5CDD505-2E9C-101B-9397-08002B2CF9AE}" pid="6" name="_AuthorEmailDisplayName">
    <vt:lpwstr>Bona, Alberto, Vodafone Italy</vt:lpwstr>
  </property>
  <property fmtid="{D5CDD505-2E9C-101B-9397-08002B2CF9AE}" pid="7" name="_PreviousAdHocReviewCycleID">
    <vt:i4>228512131</vt:i4>
  </property>
  <property fmtid="{D5CDD505-2E9C-101B-9397-08002B2CF9AE}" pid="8" name="SV_QUERY_LIST_4F35BF76-6C0D-4D9B-82B2-816C12CF3733">
    <vt:lpwstr>empty_477D106A-C0D6-4607-AEBD-E2C9D60EA279</vt:lpwstr>
  </property>
  <property fmtid="{D5CDD505-2E9C-101B-9397-08002B2CF9AE}" pid="9" name="ContentTypeId">
    <vt:lpwstr>0x010100E5B12F41D9F23549917F6E578D26461F</vt:lpwstr>
  </property>
  <property fmtid="{D5CDD505-2E9C-101B-9397-08002B2CF9AE}" pid="10" name="_ReviewingToolsShownOnce">
    <vt:lpwstr/>
  </property>
</Properties>
</file>