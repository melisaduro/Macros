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060" windowWidth="14175" windowHeight="4815" tabRatio="714" activeTab="4"/>
  </bookViews>
  <sheets>
    <sheet name="Principal" sheetId="3" r:id="rId1"/>
    <sheet name="RESUMEN_KPI_ALL" sheetId="9" r:id="rId2"/>
    <sheet name="RESUMEN_KPI_4G" sheetId="16" r:id="rId3"/>
    <sheet name="RESUMEN_KPI_3G" sheetId="17" r:id="rId4"/>
    <sheet name="check" sheetId="18" r:id="rId5"/>
    <sheet name="aux" sheetId="19" state="hidden" r:id="rId6"/>
  </sheets>
  <functionGroups builtInGroupCount="17"/>
  <definedNames>
    <definedName name="_xlnm._FilterDatabase" localSheetId="5" hidden="1">aux!$A$1:$D$44</definedName>
    <definedName name="_xlnm._FilterDatabase" localSheetId="4" hidden="1">check!$A$1:$D$16</definedName>
    <definedName name="_xlnm._FilterDatabase" localSheetId="0" hidden="1">Principal!$B$2:$I$5</definedName>
    <definedName name="CallEnd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CE_DL_3G">RESUMEN_KPI_3G!$D$18:$F$21</definedName>
    <definedName name="rng_CE_DL_4G">RESUMEN_KPI_4G!$D$18:$F$21</definedName>
    <definedName name="rng_CE_DL_ALL">RESUMEN_KPI_ALL!$D$18:$F$21</definedName>
    <definedName name="rng_CE_UL_3G">RESUMEN_KPI_3G!$S$18:$U$21</definedName>
    <definedName name="rng_CE_UL_4G">RESUMEN_KPI_4G!$S$18:$U$21</definedName>
    <definedName name="rng_CE_UL_ALL">RESUMEN_KPI_ALL!$S$18:$U$21</definedName>
    <definedName name="rng_DL_1">RESUMEN_KPI_ALL!$L$6:$L$9</definedName>
    <definedName name="rng_DL_2">RESUMEN_KPI_ALL!$AK$6:$AK$9</definedName>
    <definedName name="rng_HTTP_3G">RESUMEN_KPI_3G!$BJ$18:$BL$21</definedName>
    <definedName name="rng_HTTP_4G">RESUMEN_KPI_4G!$BJ$18:$BL$21</definedName>
    <definedName name="rng_HTTP_ALL">RESUMEN_KPI_ALL!$BJ$18:$BL$21</definedName>
    <definedName name="rng_HTTPS_3G">RESUMEN_KPI_3G!$BP$18:$BR$21</definedName>
    <definedName name="rng_HTTPS_4G">RESUMEN_KPI_4G!$BP$18:$BR$21</definedName>
    <definedName name="rng_HTTPS_ALL">RESUMEN_KPI_ALL!$BP$18:$BR$21</definedName>
    <definedName name="rng_LATENCIA_3G">RESUMEN_KPI_3G!$BE$18:$BE$21</definedName>
    <definedName name="rng_LATENCIA_4G">RESUMEN_KPI_4G!$BE$18:$BE$21</definedName>
    <definedName name="rng_LATENCIA_ALL">RESUMEN_KPI_ALL!$BE$18:$BE$21</definedName>
    <definedName name="rng_Lista_3G">RESUMEN_KPI_4G!$D$6:$R$9</definedName>
    <definedName name="rng_NC_DL_3G">RESUMEN_KPI_3G!$AE$18:$AH$21</definedName>
    <definedName name="rng_NC_DL_4G">RESUMEN_KPI_4G!$AE$18:$AH$21</definedName>
    <definedName name="rng_NC_DL_ALL">RESUMEN_KPI_ALL!$AE$18:$AH$21</definedName>
    <definedName name="rng_NC_UL_3G">RESUMEN_KPI_3G!$AR$18:$AU$21</definedName>
    <definedName name="rng_NC_UL_4G">RESUMEN_KPI_4G!$AR$18:$AU$21</definedName>
    <definedName name="rng_NC_UL_ALL">RESUMEN_KPI_ALL!$AR$18:$AU$21</definedName>
    <definedName name="rng_UL_1">RESUMEN_KPI_ALL!$X$6:$X$9</definedName>
    <definedName name="rng_UL_2">RESUMEN_KPI_ALL!$AX$6:$AX$9</definedName>
    <definedName name="rng_Youtube_3G">RESUMEN_KPI_3G!$BY$18:$BY$21</definedName>
    <definedName name="rng_Youtube_4G">RESUMEN_KPI_4G!$BY$18:$BY$21</definedName>
    <definedName name="rng_Youtube_ALL">RESUMEN_KPI_ALL!$BY$18:$BY$21</definedName>
  </definedNames>
  <calcPr calcId="145621"/>
</workbook>
</file>

<file path=xl/calcChain.xml><?xml version="1.0" encoding="utf-8"?>
<calcChain xmlns="http://schemas.openxmlformats.org/spreadsheetml/2006/main">
  <c r="CF21" i="17" l="1"/>
  <c r="CE21" i="17"/>
  <c r="CD21" i="17"/>
  <c r="CC21" i="17"/>
  <c r="CB21" i="17"/>
  <c r="CA21" i="17"/>
  <c r="BZ21" i="17"/>
  <c r="BY21" i="17"/>
  <c r="BX21" i="17"/>
  <c r="BW21" i="17"/>
  <c r="BV21" i="17"/>
  <c r="BU21" i="17"/>
  <c r="BT21" i="17"/>
  <c r="BS21" i="17"/>
  <c r="BR21" i="17"/>
  <c r="BQ21" i="17"/>
  <c r="BP21" i="17"/>
  <c r="BO21" i="17"/>
  <c r="BN21" i="17"/>
  <c r="BM21" i="17"/>
  <c r="BL21" i="17"/>
  <c r="BK21" i="17"/>
  <c r="BJ21" i="17"/>
  <c r="BI21" i="17"/>
  <c r="BH21" i="17"/>
  <c r="BG21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F20" i="17"/>
  <c r="CE20" i="17"/>
  <c r="CD20" i="17"/>
  <c r="CC20" i="17"/>
  <c r="CB20" i="17"/>
  <c r="CA20" i="17"/>
  <c r="BZ20" i="17"/>
  <c r="BY20" i="17"/>
  <c r="BX20" i="17"/>
  <c r="BW20" i="17"/>
  <c r="BV20" i="17"/>
  <c r="BU20" i="17"/>
  <c r="BT20" i="17"/>
  <c r="BS20" i="17"/>
  <c r="BR20" i="17"/>
  <c r="BQ20" i="17"/>
  <c r="BP20" i="17"/>
  <c r="BO20" i="17"/>
  <c r="BN20" i="17"/>
  <c r="BM20" i="17"/>
  <c r="BL20" i="17"/>
  <c r="BK20" i="17"/>
  <c r="BJ20" i="17"/>
  <c r="BI20" i="17"/>
  <c r="BH20" i="17"/>
  <c r="BG20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F19" i="17"/>
  <c r="CE19" i="17"/>
  <c r="CD19" i="17"/>
  <c r="CC19" i="17"/>
  <c r="CB19" i="17"/>
  <c r="CA19" i="17"/>
  <c r="BZ19" i="17"/>
  <c r="BY19" i="17"/>
  <c r="BX19" i="17"/>
  <c r="BW19" i="17"/>
  <c r="BV19" i="17"/>
  <c r="BU19" i="17"/>
  <c r="BT19" i="17"/>
  <c r="BS19" i="17"/>
  <c r="BR19" i="17"/>
  <c r="BQ19" i="17"/>
  <c r="BP19" i="17"/>
  <c r="BO19" i="17"/>
  <c r="BN19" i="17"/>
  <c r="BM19" i="17"/>
  <c r="BL19" i="17"/>
  <c r="BK19" i="17"/>
  <c r="BJ19" i="17"/>
  <c r="BI19" i="17"/>
  <c r="BH19" i="17"/>
  <c r="BG19" i="17"/>
  <c r="BF19" i="17"/>
  <c r="BE19" i="17"/>
  <c r="BD19" i="17"/>
  <c r="BC19" i="17"/>
  <c r="BB19" i="17"/>
  <c r="BA19" i="17"/>
  <c r="AZ19" i="17"/>
  <c r="AY19" i="17"/>
  <c r="AX19" i="17"/>
  <c r="AW19" i="17"/>
  <c r="AV19" i="17"/>
  <c r="AU19" i="17"/>
  <c r="AT19" i="17"/>
  <c r="AS19" i="17"/>
  <c r="AR19" i="17"/>
  <c r="AQ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F18" i="17"/>
  <c r="CE18" i="17"/>
  <c r="CD18" i="17"/>
  <c r="CC18" i="17"/>
  <c r="CB18" i="17"/>
  <c r="CA18" i="17"/>
  <c r="BZ18" i="17"/>
  <c r="BY18" i="17"/>
  <c r="BX18" i="17"/>
  <c r="BW18" i="17"/>
  <c r="BV18" i="17"/>
  <c r="BU18" i="17"/>
  <c r="BT18" i="17"/>
  <c r="BS18" i="17"/>
  <c r="BR18" i="17"/>
  <c r="BQ18" i="17"/>
  <c r="BP18" i="17"/>
  <c r="BO18" i="17"/>
  <c r="BN18" i="17"/>
  <c r="BM18" i="17"/>
  <c r="BL18" i="17"/>
  <c r="BK18" i="17"/>
  <c r="BJ18" i="17"/>
  <c r="BI18" i="17"/>
  <c r="BH18" i="17"/>
  <c r="BG18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F21" i="16"/>
  <c r="CE21" i="16"/>
  <c r="CD21" i="16"/>
  <c r="CC21" i="16"/>
  <c r="CB21" i="16"/>
  <c r="CA21" i="16"/>
  <c r="BZ21" i="16"/>
  <c r="BY21" i="16"/>
  <c r="BW21" i="16"/>
  <c r="BV21" i="16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F20" i="16"/>
  <c r="CE20" i="16"/>
  <c r="CD20" i="16"/>
  <c r="CC20" i="16"/>
  <c r="CB20" i="16"/>
  <c r="CA20" i="16"/>
  <c r="BZ20" i="16"/>
  <c r="BY20" i="16"/>
  <c r="BW20" i="16"/>
  <c r="BV20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CF19" i="16"/>
  <c r="CE19" i="16"/>
  <c r="CD19" i="16"/>
  <c r="CC19" i="16"/>
  <c r="CB19" i="16"/>
  <c r="CA19" i="16"/>
  <c r="BZ19" i="16"/>
  <c r="BY19" i="16"/>
  <c r="BW19" i="16"/>
  <c r="BV19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F18" i="16"/>
  <c r="CE18" i="16"/>
  <c r="CD18" i="16"/>
  <c r="CC18" i="16"/>
  <c r="CB18" i="16"/>
  <c r="CA18" i="16"/>
  <c r="BZ18" i="16"/>
  <c r="BY18" i="16"/>
  <c r="BW18" i="16"/>
  <c r="BV18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CF18" i="9"/>
  <c r="CF19" i="9"/>
  <c r="CF20" i="9"/>
  <c r="CF21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BT18" i="9"/>
  <c r="BU18" i="9"/>
  <c r="BV18" i="9"/>
  <c r="BW18" i="9"/>
  <c r="BX18" i="9"/>
  <c r="BY18" i="9"/>
  <c r="BZ18" i="9"/>
  <c r="CA18" i="9"/>
  <c r="CB18" i="9"/>
  <c r="CC18" i="9"/>
  <c r="CD18" i="9"/>
  <c r="CE18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BT19" i="9"/>
  <c r="BU19" i="9"/>
  <c r="BV19" i="9"/>
  <c r="BW19" i="9"/>
  <c r="BX19" i="9"/>
  <c r="BY19" i="9"/>
  <c r="BZ19" i="9"/>
  <c r="CA19" i="9"/>
  <c r="CB19" i="9"/>
  <c r="CC19" i="9"/>
  <c r="CD19" i="9"/>
  <c r="CE19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BT20" i="9"/>
  <c r="BU20" i="9"/>
  <c r="BV20" i="9"/>
  <c r="BW20" i="9"/>
  <c r="BX20" i="9"/>
  <c r="BY20" i="9"/>
  <c r="BZ20" i="9"/>
  <c r="CA20" i="9"/>
  <c r="CB20" i="9"/>
  <c r="CC20" i="9"/>
  <c r="CD20" i="9"/>
  <c r="CE20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BT21" i="9"/>
  <c r="BU21" i="9"/>
  <c r="BV21" i="9"/>
  <c r="BW21" i="9"/>
  <c r="BX21" i="9"/>
  <c r="BY21" i="9"/>
  <c r="BZ21" i="9"/>
  <c r="CA21" i="9"/>
  <c r="CB21" i="9"/>
  <c r="CC21" i="9"/>
  <c r="CD21" i="9"/>
  <c r="CE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ILAFRANCADELPENEDES.xls'and report='VDF'"/>
  </connection>
  <connection id="18" name="Conexión113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" name="Conexión114" type="1" refreshedVersion="0" background="1">
    <dbPr connection="DRIVER=SQL Server;SERVER=10.1.12.32;UID=sa;APP=Microsoft® Query;WSID=LCC_PC;DATABASE=AGRIDS;Network=DBMS"/>
  </connection>
  <connection id="20" name="Conexión115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2.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VILAFRANCADELPENEDES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A2-BCN-R7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BRIL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0306_DATA_Dashboard_DT_ES.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9" name="Conexión5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530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1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2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3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34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5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36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37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38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39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40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41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42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43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44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45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46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47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48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49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50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51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52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53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4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55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6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57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58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9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60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61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62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63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64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65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66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67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68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69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0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1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72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73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4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75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76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77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8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<sst xmlns="http://schemas.openxmlformats.org/spreadsheetml/2006/main" count="672" uniqueCount="181">
  <si>
    <t>SCOPE</t>
  </si>
  <si>
    <t>TECHNOLOGY</t>
  </si>
  <si>
    <t>Operator</t>
  </si>
  <si>
    <t>ROUTE n</t>
  </si>
  <si>
    <t>ALL</t>
  </si>
  <si>
    <t>VODAFONE</t>
  </si>
  <si>
    <t>MOVISTAR</t>
  </si>
  <si>
    <t>ORANGE</t>
  </si>
  <si>
    <t>YOIGO</t>
  </si>
  <si>
    <t>Medida</t>
  </si>
  <si>
    <t>VOLTE</t>
  </si>
  <si>
    <t>PROCESADO</t>
  </si>
  <si>
    <t>DASHBOARD</t>
  </si>
  <si>
    <t>CHEQUEO</t>
  </si>
  <si>
    <t>RUTA DASHBOARD:</t>
  </si>
  <si>
    <t>VERDADERO</t>
  </si>
  <si>
    <t>ENTIDAD y SCOPE DASHBOARD:</t>
  </si>
  <si>
    <t>Entidades</t>
  </si>
  <si>
    <t>Encontrada en el Dashboard</t>
  </si>
  <si>
    <t>Tiene muestras 4G</t>
  </si>
  <si>
    <t>DOWNLINK - NUMBER OF ATTEMPTS [N]</t>
  </si>
  <si>
    <t>DOWNLINK - NUMBER OF ERRORS IN ACCESSIBILITY [N]</t>
  </si>
  <si>
    <t>DOWNLINK - NUMBER OF ERRORS IN RETAINABILITY [N]</t>
  </si>
  <si>
    <t>DOWNLINK - D1.DOWNLOAD SPEED [KBIT/S] AVG</t>
  </si>
  <si>
    <t>DOWNLINK - THROUGHPUT STANDARD DEVIATION</t>
  </si>
  <si>
    <t>DOWNLINK - D2. PERCENTAGE OF DL CONNECTIONS WITH THROUGHPUT &gt; 3 MBPS</t>
  </si>
  <si>
    <t>DOWNLINK - NUMBER OF DL WITH TROUGHPUT &gt; 3 MBPS</t>
  </si>
  <si>
    <t>DOWNLINK - NUMBER OF DL WITH THROUGHPUT &gt; 1 MBPS</t>
  </si>
  <si>
    <t>DOWNLINK - PEAK DATA USER RATE [KBIT/S]</t>
  </si>
  <si>
    <t xml:space="preserve">DOWNLINK - 10TH PERCENTILE THR.  </t>
  </si>
  <si>
    <t xml:space="preserve">DOWNLINK - 10TH THR. (CALCULATED ON ALL MAIN CITIES AGGREGATION ) </t>
  </si>
  <si>
    <t>DOWNLINK - 10TH THR. (CALCULATED ON ALL MAIN AND SMALLER CITIES AGGREGATION)</t>
  </si>
  <si>
    <t xml:space="preserve">DOWNLINK - 90TH PERCENTILE THR.  </t>
  </si>
  <si>
    <t xml:space="preserve">DOWNLINK - 90TH THR. (CALCULATED ON ALL MAIN CITIES AGGREGATION ) </t>
  </si>
  <si>
    <t>DOWNLINK - 90TH THR. (CALCULATED ON ALL MAIN AND SMALLER CITIES AGGREGATION)</t>
  </si>
  <si>
    <t>UPLINK - NUMBER OF ATTEMPTS [N]</t>
  </si>
  <si>
    <t>UPLINK - NUMBER OF ERRORS IN ACCESSIBILITY [N]</t>
  </si>
  <si>
    <t>UPLINK - NUMBER OF ERRORS IN RETAINABILITY [N]</t>
  </si>
  <si>
    <t>UPLINK - D3.UPLOAD SPEED [KBIT/S] AVG</t>
  </si>
  <si>
    <t>UPLINK - THROUGHPUT STANDARD DEVIATION</t>
  </si>
  <si>
    <t>UPLINK - PEAK DATA USER RATE [KBIT/S]</t>
  </si>
  <si>
    <t xml:space="preserve">UPLINK - 10TH PERCENTILE THR.  </t>
  </si>
  <si>
    <t>UPLINK - 10TH THR. (CALCULATED ON ALL MAIN CITIES AGGREGATION )</t>
  </si>
  <si>
    <t>UPLINK - 10TH THR. (CALCULATED ON ALL MAIN AND SMALLER CITIES AGGREGATION)</t>
  </si>
  <si>
    <t xml:space="preserve">UPLINK - 90TH PERCENTILE THR.  </t>
  </si>
  <si>
    <t xml:space="preserve">UPLINK - 90TH THR. (CALCULATED ON ALL MAIN CITIES AGGREGATION ) </t>
  </si>
  <si>
    <t>UPLINK - 90TH THR. (CALCULATED ON ALL MAIN AND SMALLER CITIES AGGREGATION)</t>
  </si>
  <si>
    <t>DOWNLINK NETWORK CAPABILITY MULTISOCKET- NUMBER OF ATTEMPTS [N]</t>
  </si>
  <si>
    <t>DOWNLINK NETWORK CAPABILITY MULTISOCKET - NUMBER OF ERRORS IN ACCESSIBILITY  [N]</t>
  </si>
  <si>
    <t>DOWNLINK NETWORK CAPABILITY MULTISOCKET- NUMBER OF ERRORS IN RETAINABILITY  [N]</t>
  </si>
  <si>
    <t>DOWNLINK NETWORK CAPABILITY MULTISOCKET - NUMBERS OF SESSIONS WHOSE THROUGHPUT EXCEEDS 128 Kbps</t>
  </si>
  <si>
    <t>DOWNLINK NETWORK CAPABILITY MULTISOCKET - MEAN DATA USER RATE [KBIT/S]</t>
  </si>
  <si>
    <t>DOWNLINK NETWORK CAPABILITY MULTISOCKET - THROUGHPUT STANDARD DEVIATION</t>
  </si>
  <si>
    <t>DOWNLINK NETWORK CAPABILITY MULTISOCKET - PEAK DATA USER RATE [KBIT/S]</t>
  </si>
  <si>
    <t xml:space="preserve">DOWNLINK NETWORK CAPABILITY MULTISOCKET - 10TH PERCENTILE THR.  </t>
  </si>
  <si>
    <t xml:space="preserve">DOWNLINK NETWORK CAPABILITY MULTISOCKET - 10TH THR. (CALCULATED ON ALL MAIN CITIES AGGREGATION ) </t>
  </si>
  <si>
    <t>DOWNLINK NETWORK CAPABILITY MULTISOCKET - 10TH THR. (CALCULATED ON ALL MAIN AND SMALLER CITIES AGGREGATION)</t>
  </si>
  <si>
    <t xml:space="preserve">DOWNLINK NETWORK CAPABILITY MULTISOCKET - 90TH PERCENTILE THR.  </t>
  </si>
  <si>
    <t xml:space="preserve">DOWNLINK NETWORK CAPABILITY MULTISOCKET - 90TH THR. (CALCULATED ON ALL MAIN CITIES AGGREGATION ) </t>
  </si>
  <si>
    <t>DOWNLINK NETWORK CAPABILITY MULTISOCKET - 90TH THR. (CALCULATED ON ALL MAIN AND SMALLER CITIES AGGREGATION)</t>
  </si>
  <si>
    <t>UPLINK NETWORK CAPABILITY MULTISOCKET - NUMBER OF ATTEMPTS [N]</t>
  </si>
  <si>
    <t>UPLINK NETWORK CAPABILITY MULTISOCKET - NUMBER OF ERRORS IN ACCESSIBILITY  [N]</t>
  </si>
  <si>
    <t>UPLINK NETWORK CAPABILITY MULTISOCKET - NUMBER OF ERRORS IN RETAINABILITY  [N]</t>
  </si>
  <si>
    <t>UPLINK NETWORK CAPABILITY MULTISOCKET - NUMBERS OF SESSIONS WHOSE THROUGHPUT EXCEEDS 64 Kbps</t>
  </si>
  <si>
    <t>UPLINK NETWORK CAPABILITY MULTISOCKET - MEAN DATA USER RATE [KBIT/S]</t>
  </si>
  <si>
    <t>UPLINK NETWORK CAPABILITY MULTISOCKET - THROUGHPUT STANDARD DEVIATION</t>
  </si>
  <si>
    <t>UPLINK NETWORK CAPABILITY MULTISOCKET - PEAK DATA USER RATE [KBIT/S]</t>
  </si>
  <si>
    <t xml:space="preserve">UPLINK NETWORK CAPABILITY MULTISOCKET - 10TH PERCENTILE THR.  </t>
  </si>
  <si>
    <t xml:space="preserve">UPLINK NETWORK CAPABILITY MULTISOCKET - 10TH THR. (CALCULATED ON ALL MAIN CITIES AGGREGATION ) </t>
  </si>
  <si>
    <t>UPLINK NETWORK CAPABILITY MULTISOCKET - 10TH THR. (CALCULATED ON ALL MAIN AND SMALLER CITIES AGGREGATION)</t>
  </si>
  <si>
    <t xml:space="preserve">UPLINK NETWORK CAPABILITY MULTISOCKET - 90TH PERCENTILE THR.  </t>
  </si>
  <si>
    <t xml:space="preserve">UPLINK NETWORK CAPABILITY MULTISOCKET - 90TH THR. (CALCULATED ON ALL MAIN CITIES AGGREGATION) </t>
  </si>
  <si>
    <t>UPLINK NETWORK CAPABILITY MULTISOCKET - 90TH THR. (CALCULATED ON ALL MAIN AND SMALLER CITIES AGGREGATION)</t>
  </si>
  <si>
    <t>LATENCY - NUMBER OF PINGS [N]</t>
  </si>
  <si>
    <t>LATENCY - [MSEC] MEDIAN</t>
  </si>
  <si>
    <t>LATENCY - [MSEC] AVG</t>
  </si>
  <si>
    <t xml:space="preserve">LATENCY - [MSEC] MEDIAN (CALCULATED ON AGGREGATION/ROUTES ) </t>
  </si>
  <si>
    <t>LATENCY - D4.LATENCY [MSEC] MEDIAN (CALCULATED ON ALL MAIN AND SMALLER CITIES AGGREGATION)</t>
  </si>
  <si>
    <t>BROWSING HTTP - NUMBER OF ATTEMPTS [N]</t>
  </si>
  <si>
    <t>BROWSING - NUMBER OF ERRORS IN ACCESSIBILITY  [N]</t>
  </si>
  <si>
    <t>BROWSING - NUMBER OF ERRORS IN RETAINABILITY [N]</t>
  </si>
  <si>
    <t>BROWSING - D5.SESSION TIME AVG [S]</t>
  </si>
  <si>
    <t>BROWSING - IP SERVICE ACCESS TIME [S]</t>
  </si>
  <si>
    <t>BROWSING - HTTP TRANSFER TIME [S]</t>
  </si>
  <si>
    <t>HTTPS BROWSING - NUMBER OF ATTEMPTS [N]</t>
  </si>
  <si>
    <t>HTTPS BROWSING - NUMBER OF ERRORS IN ACCESSIBILITY  [N]</t>
  </si>
  <si>
    <t>HTTPS BROWSING - NUMBER OF ERRORS IN RETAINABILITY [N]</t>
  </si>
  <si>
    <t>HTTPS BROWSING - D5.SESSION TIME AVG [S]</t>
  </si>
  <si>
    <t>HTTPS BROWSING - IP SERVICE ACCESS TIME [S]</t>
  </si>
  <si>
    <t>HTTPS BROWSING - HTTP TRANSFER TIME [S]</t>
  </si>
  <si>
    <t>YOU TUBE HD - B5 AVG  VIDEO RESOLUTION FOR QUALIFIED VIDEOS</t>
  </si>
  <si>
    <t>YOU TUBE - B4 HD SHARE - NUMBERS OF QUALIFIED VIDEO STARTED AND TERMINATED IN HD</t>
  </si>
  <si>
    <t xml:space="preserve">YOU TUBE HD - B6 AVG  VIDEO MOS </t>
  </si>
  <si>
    <t>YOU TUBE HD - NUMBER OF VIDEO ACCESS ATTEMPTS</t>
  </si>
  <si>
    <t>YOU TUBE HD - AVERAGE VIDEO START TIME [s] on Qualified session</t>
  </si>
  <si>
    <t>YOU TUBE HD - NUMBER OF VIDEO FAILURES</t>
  </si>
  <si>
    <t>YOU TUBE HD - B1 YOUTUBE SERVICE ACCESS SUCCESS RATIO</t>
  </si>
  <si>
    <t xml:space="preserve">YOU TUBE HD -  B2 NUMBERS OF DL REPRODUCTION WITHOUT INTERRUPTIONS </t>
  </si>
  <si>
    <t>YOU TUBE HD - NUMBERS OF VIDEOS STARTED AND TERMINATED IN HD WITHOUT VIDEO COMPRESSION</t>
  </si>
  <si>
    <t>YOU TUBE HD -B2 - YOUTUBE REPRODUCTION WITHOUT INTERRUPTIONS RATIO [%]</t>
  </si>
  <si>
    <t>YOU TUBE HD - B3 SUCCESSFUL VIDEO DOWNLOAD [N] (Qualified session)</t>
  </si>
  <si>
    <t>DOWNLINK</t>
  </si>
  <si>
    <t>UPLINK</t>
  </si>
  <si>
    <t>LATENCY</t>
  </si>
  <si>
    <t>BROWSING HTTP</t>
  </si>
  <si>
    <t>BROWSING HTTPS</t>
  </si>
  <si>
    <t>YOU TUBE HD</t>
  </si>
  <si>
    <t/>
  </si>
  <si>
    <t>Scope</t>
  </si>
  <si>
    <t>ADD-ON CITIES EXTRA</t>
  </si>
  <si>
    <t>PLACES OF CONCENTRATION EXTRA</t>
  </si>
  <si>
    <t>TOURISTIC AREA</t>
  </si>
  <si>
    <t>SMALLER CITIES</t>
  </si>
  <si>
    <t>MAIN CITIES</t>
  </si>
  <si>
    <t>RAILWAYS EXTRA</t>
  </si>
  <si>
    <t>ADD-ON CITIES</t>
  </si>
  <si>
    <t>PLACES OF CONCENTRATION</t>
  </si>
  <si>
    <t>RAILWAYS</t>
  </si>
  <si>
    <t>MAIN HIGHWAYS</t>
  </si>
  <si>
    <t>Report</t>
  </si>
  <si>
    <t>VDF</t>
  </si>
  <si>
    <t>SHEET</t>
  </si>
  <si>
    <t>C&amp;T_4G_CA_MAIN_CITIES</t>
  </si>
  <si>
    <t>C&amp;T_2G3G_MAIN_CITIES</t>
  </si>
  <si>
    <t>C&amp;T_4G_CA_SMALLER_CITIES</t>
  </si>
  <si>
    <t>C&amp;T_2G3G_SMALLER_CITIES</t>
  </si>
  <si>
    <t>TRANSP_4G_ONLY_ROADS</t>
  </si>
  <si>
    <t>TRANSP_4G_ROADS</t>
  </si>
  <si>
    <t>TRANSP_4G_ONLY_RAILWAYS</t>
  </si>
  <si>
    <t>TRANSP_4G_RAILWAYS</t>
  </si>
  <si>
    <t>OTH_4G_ONLY_PLACES</t>
  </si>
  <si>
    <t>OTH_4G_PLACES</t>
  </si>
  <si>
    <t>OTH_4GONLY_ADD_ON_ALL</t>
  </si>
  <si>
    <t>OTH_4G_ADD_ON_ALL</t>
  </si>
  <si>
    <t>4G_ONLY_TOURISTIC_AREA</t>
  </si>
  <si>
    <t>4G_TOURISTIC_AREA</t>
  </si>
  <si>
    <t>OTH_2G3G_ADD_ON_ALL</t>
  </si>
  <si>
    <t>C&amp;T_4G_CAONLY_MAIN_CITIES</t>
  </si>
  <si>
    <t>C&amp;T_4G_CAONLY_SMALLER_CITIES</t>
  </si>
  <si>
    <t>2G3G_TOURISTIC_AREA</t>
  </si>
  <si>
    <t>MUN</t>
  </si>
  <si>
    <t>Tech</t>
  </si>
  <si>
    <t>4G</t>
  </si>
  <si>
    <t>3G</t>
  </si>
  <si>
    <t>4G CA - MAIN CITIES</t>
  </si>
  <si>
    <t>3G - MAIN CITIES</t>
  </si>
  <si>
    <t>4G CA - SMALLER CITIES</t>
  </si>
  <si>
    <t>3G - SMALLER CITIES</t>
  </si>
  <si>
    <t>4G_ONLY - HIGHWAYS</t>
  </si>
  <si>
    <t>4G CA - HIGHWAYS</t>
  </si>
  <si>
    <t>4G_ONLY - RAILWAYS</t>
  </si>
  <si>
    <t>4G CA - RAILWAYS</t>
  </si>
  <si>
    <t>4G_ONLY - PoC</t>
  </si>
  <si>
    <t>4G CA - PoC</t>
  </si>
  <si>
    <t>4G_ONLY - ADD-ON_ALL</t>
  </si>
  <si>
    <t>4G CA - ADD-ON CITIES_ALL</t>
  </si>
  <si>
    <t>4G_ONLY - TOURISTIC AREAS</t>
  </si>
  <si>
    <t>4G CA - TOURISTIC AREAS</t>
  </si>
  <si>
    <t>3G - ADD-ON CITIES_ALL</t>
  </si>
  <si>
    <t>4G - ADD-ON_Extra</t>
  </si>
  <si>
    <t>3G - ADD-ON_Extra</t>
  </si>
  <si>
    <t>4G CA - RAILWAYS_Extra</t>
  </si>
  <si>
    <t>4G_ONLY- ADD-ON_Extra</t>
  </si>
  <si>
    <t>4G_ONLY - RAILWAYS Extra</t>
  </si>
  <si>
    <t>4G CA ONLY - MAIN CITIES</t>
  </si>
  <si>
    <t>4G CA ONLY - SMALLER CITIES</t>
  </si>
  <si>
    <t>3G - TOURISTIC AREAS</t>
  </si>
  <si>
    <t>4G_ONLY - PoC Extra</t>
  </si>
  <si>
    <t>4G CA - PoC Extra</t>
  </si>
  <si>
    <t>N</t>
  </si>
  <si>
    <t>C:\20170717_DATA_Dashboard_DT_ES.xlsx</t>
  </si>
  <si>
    <t>CADIZ</t>
  </si>
  <si>
    <t>825p</t>
  </si>
  <si>
    <t>803p</t>
  </si>
  <si>
    <t>765p</t>
  </si>
  <si>
    <t>771p</t>
  </si>
  <si>
    <t>Y</t>
  </si>
  <si>
    <t>792</t>
  </si>
  <si>
    <t>814</t>
  </si>
  <si>
    <t>759</t>
  </si>
  <si>
    <t>778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</si>
</sst>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€_-;\-* #,##0.00\ _€_-;_-* &quot;-&quot;??\ _€_-;_-@_-"/>
    <numFmt numFmtId="164" formatCode="_-* #,##0.00\ _€_-;\-* #,##0.00\ _€_-;_-* &quot;-&quot;??\ _€_-;_-@_-"/>
    <numFmt numFmtId="165" formatCode="_-* #,##0\ _€_-;\-* #,##0\ _€_-;_-* &quot;-&quot;??\ _€_-;_-@_-"/>
    <numFmt numFmtId="166" formatCode="###0.0;\-###0.0"/>
    <numFmt numFmtId="167" formatCode="#,##0.0"/>
    <numFmt numFmtId="168" formatCode="###0;\-###0"/>
    <numFmt numFmtId="169" formatCode="0.0%"/>
  </numFmts>
  <fonts count="63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</fonts>
  <fills count="7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rgb="FFEAF1DD"/>
        <bgColor rgb="FF000000"/>
      </patternFill>
    </fill>
    <fill>
      <patternFill patternType="solid">
        <fgColor rgb="FFDBE5F1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indexed="1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6130">
    <xf numFmtId="0" fontId="0" fillId="0" borderId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1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2" fillId="60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9" fillId="51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4" fillId="64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5" fillId="65" borderId="25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43" fillId="0" borderId="0" applyNumberFormat="0" applyFill="0" applyBorder="0" applyAlignment="0" applyProtection="0"/>
    <xf numFmtId="0" fontId="33" fillId="52" borderId="0" applyNumberFormat="0" applyBorder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37" fillId="0" borderId="31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8" fillId="55" borderId="24" applyNumberFormat="0" applyAlignment="0" applyProtection="0"/>
    <xf numFmtId="0" fontId="36" fillId="0" borderId="26" applyNumberFormat="0" applyFill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41" fillId="64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3" fillId="21" borderId="0" applyNumberFormat="0" applyBorder="0" applyAlignment="0" applyProtection="0"/>
    <xf numFmtId="0" fontId="24" fillId="22" borderId="18" applyNumberFormat="0" applyAlignment="0" applyProtection="0"/>
    <xf numFmtId="0" fontId="25" fillId="23" borderId="19" applyNumberFormat="0" applyAlignment="0" applyProtection="0"/>
    <xf numFmtId="0" fontId="26" fillId="23" borderId="18" applyNumberFormat="0" applyAlignment="0" applyProtection="0"/>
    <xf numFmtId="0" fontId="27" fillId="0" borderId="20" applyNumberFormat="0" applyFill="0" applyAlignment="0" applyProtection="0"/>
    <xf numFmtId="0" fontId="28" fillId="24" borderId="21" applyNumberFormat="0" applyAlignment="0" applyProtection="0"/>
    <xf numFmtId="0" fontId="29" fillId="0" borderId="0" applyNumberFormat="0" applyFill="0" applyBorder="0" applyAlignment="0" applyProtection="0"/>
    <xf numFmtId="0" fontId="11" fillId="25" borderId="22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13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3" fillId="49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43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</cellStyleXfs>
  <cellXfs count="133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9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43" fontId="0" fillId="0" borderId="0" xfId="2" applyFont="1"/>
    <xf numFmtId="43" fontId="5" fillId="3" borderId="4" xfId="2" applyFont="1" applyFill="1" applyBorder="1" applyAlignment="1" applyProtection="1">
      <alignment horizontal="center" vertical="center"/>
    </xf>
    <xf numFmtId="165" fontId="0" fillId="0" borderId="0" xfId="2" applyNumberFormat="1" applyFont="1"/>
    <xf numFmtId="165" fontId="5" fillId="3" borderId="4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43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4" xfId="0" applyFont="1" applyFill="1" applyBorder="1" applyAlignment="1" applyProtection="1">
      <alignment horizontal="center"/>
    </xf>
    <xf numFmtId="0" fontId="6" fillId="11" borderId="4" xfId="0" applyFont="1" applyFill="1" applyBorder="1" applyAlignment="1" applyProtection="1">
      <alignment horizontal="center"/>
    </xf>
    <xf numFmtId="0" fontId="6" fillId="12" borderId="4" xfId="0" applyFont="1" applyFill="1" applyBorder="1" applyAlignment="1" applyProtection="1">
      <alignment horizontal="center"/>
    </xf>
    <xf numFmtId="0" fontId="6" fillId="13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6" borderId="3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6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43" fontId="0" fillId="0" borderId="0" xfId="2" applyFont="1"/>
    <xf numFmtId="43" fontId="0" fillId="0" borderId="0" xfId="2" applyFont="1" applyFill="1" applyBorder="1" applyAlignment="1" applyProtection="1">
      <alignment vertical="center"/>
    </xf>
    <xf numFmtId="43" fontId="0" fillId="16" borderId="0" xfId="2" applyFont="1" applyFill="1" applyBorder="1" applyAlignment="1" applyProtection="1">
      <alignment vertical="center"/>
    </xf>
    <xf numFmtId="165" fontId="0" fillId="0" borderId="0" xfId="2" applyNumberFormat="1" applyFont="1"/>
    <xf numFmtId="165" fontId="0" fillId="0" borderId="0" xfId="0" applyNumberFormat="1"/>
    <xf numFmtId="49" fontId="14" fillId="17" borderId="4" xfId="0" applyNumberFormat="1" applyFont="1" applyFill="1" applyBorder="1" applyAlignment="1" applyProtection="1">
      <alignment horizontal="center" vertical="center"/>
    </xf>
    <xf numFmtId="43" fontId="14" fillId="17" borderId="4" xfId="2" applyFont="1" applyFill="1" applyBorder="1" applyAlignment="1" applyProtection="1">
      <alignment vertical="center"/>
    </xf>
    <xf numFmtId="43" fontId="2" fillId="0" borderId="0" xfId="2" applyFont="1" applyAlignment="1">
      <alignment horizontal="right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0" fillId="2" borderId="0" xfId="0" applyFill="1" applyBorder="1"/>
    <xf numFmtId="0" fontId="15" fillId="18" borderId="35" xfId="0" applyFont="1" applyFill="1" applyBorder="1" applyAlignment="1">
      <alignment horizontal="center" vertical="center"/>
    </xf>
    <xf numFmtId="0" fontId="15" fillId="18" borderId="1" xfId="0" applyFont="1" applyFill="1" applyBorder="1" applyAlignment="1">
      <alignment horizontal="center" vertical="center"/>
    </xf>
    <xf numFmtId="0" fontId="5" fillId="8" borderId="4" xfId="0" applyFont="1" applyFill="1" applyBorder="1" applyAlignment="1" applyProtection="1">
      <alignment horizontal="center"/>
    </xf>
    <xf numFmtId="0" fontId="14" fillId="15" borderId="4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3" fontId="61" fillId="4" borderId="4" xfId="27" applyNumberFormat="1" applyFont="1" applyFill="1" applyBorder="1" applyAlignment="1" applyProtection="1">
      <alignment textRotation="90"/>
    </xf>
    <xf numFmtId="3" fontId="61" fillId="74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/>
    </xf>
    <xf numFmtId="3" fontId="7" fillId="74" borderId="4" xfId="27" applyNumberFormat="1" applyFont="1" applyFill="1" applyBorder="1" applyAlignment="1" applyProtection="1">
      <alignment vertical="center"/>
    </xf>
    <xf numFmtId="3" fontId="61" fillId="5" borderId="4" xfId="27" applyNumberFormat="1" applyFont="1" applyFill="1" applyBorder="1" applyAlignment="1" applyProtection="1">
      <alignment textRotation="90"/>
    </xf>
    <xf numFmtId="166" fontId="7" fillId="75" borderId="2" xfId="27" applyNumberFormat="1" applyFont="1" applyFill="1" applyBorder="1" applyAlignment="1" applyProtection="1">
      <alignment vertical="center"/>
    </xf>
    <xf numFmtId="3" fontId="7" fillId="5" borderId="4" xfId="27" applyNumberFormat="1" applyFont="1" applyFill="1" applyBorder="1" applyAlignment="1" applyProtection="1">
      <alignment vertical="center"/>
    </xf>
    <xf numFmtId="3" fontId="61" fillId="75" borderId="4" xfId="27" applyNumberFormat="1" applyFont="1" applyFill="1" applyBorder="1" applyAlignment="1" applyProtection="1">
      <alignment textRotation="90"/>
    </xf>
    <xf numFmtId="3" fontId="9" fillId="0" borderId="0" xfId="27" applyNumberFormat="1" applyFont="1" applyFill="1" applyBorder="1" applyAlignment="1" applyProtection="1">
      <alignment textRotation="90"/>
    </xf>
    <xf numFmtId="3" fontId="61" fillId="7" borderId="4" xfId="27" applyNumberFormat="1" applyFont="1" applyFill="1" applyBorder="1" applyAlignment="1" applyProtection="1">
      <alignment textRotation="90"/>
    </xf>
    <xf numFmtId="3" fontId="7" fillId="7" borderId="4" xfId="27" applyNumberFormat="1" applyFont="1" applyFill="1" applyBorder="1" applyAlignment="1" applyProtection="1">
      <alignment vertical="center"/>
    </xf>
    <xf numFmtId="0" fontId="4" fillId="6" borderId="4" xfId="27" applyFont="1" applyFill="1" applyBorder="1" applyAlignment="1" applyProtection="1">
      <alignment horizontal="center" textRotation="90"/>
    </xf>
    <xf numFmtId="2" fontId="61" fillId="75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 wrapText="1"/>
    </xf>
    <xf numFmtId="3" fontId="9" fillId="0" borderId="36" xfId="27" applyNumberFormat="1" applyFont="1" applyFill="1" applyBorder="1" applyAlignment="1" applyProtection="1">
      <alignment textRotation="90"/>
    </xf>
    <xf numFmtId="3" fontId="3" fillId="0" borderId="0" xfId="27" applyNumberFormat="1" applyFont="1" applyFill="1" applyBorder="1" applyAlignment="1" applyProtection="1"/>
    <xf numFmtId="0" fontId="6" fillId="11" borderId="4" xfId="27" applyFont="1" applyFill="1" applyBorder="1" applyAlignment="1" applyProtection="1">
      <alignment horizontal="center"/>
    </xf>
    <xf numFmtId="166" fontId="3" fillId="0" borderId="0" xfId="27" applyNumberFormat="1" applyFont="1" applyFill="1" applyBorder="1" applyAlignment="1" applyProtection="1"/>
    <xf numFmtId="3" fontId="7" fillId="5" borderId="2" xfId="27" applyNumberFormat="1" applyFont="1" applyFill="1" applyBorder="1" applyAlignment="1" applyProtection="1">
      <alignment vertical="center"/>
    </xf>
    <xf numFmtId="166" fontId="61" fillId="4" borderId="4" xfId="27" applyNumberFormat="1" applyFont="1" applyFill="1" applyBorder="1" applyAlignment="1" applyProtection="1">
      <alignment textRotation="90"/>
    </xf>
    <xf numFmtId="3" fontId="61" fillId="0" borderId="0" xfId="27" applyNumberFormat="1" applyFont="1" applyFill="1" applyBorder="1" applyAlignment="1" applyProtection="1">
      <alignment textRotation="90"/>
    </xf>
    <xf numFmtId="0" fontId="4" fillId="0" borderId="8" xfId="27" applyFont="1" applyFill="1" applyBorder="1" applyAlignment="1" applyProtection="1">
      <alignment horizontal="center" textRotation="90"/>
    </xf>
    <xf numFmtId="3" fontId="7" fillId="75" borderId="4" xfId="27" applyNumberFormat="1" applyFont="1" applyFill="1" applyBorder="1" applyAlignment="1" applyProtection="1">
      <alignment vertical="center"/>
    </xf>
    <xf numFmtId="0" fontId="6" fillId="13" borderId="4" xfId="27" applyFont="1" applyFill="1" applyBorder="1" applyAlignment="1" applyProtection="1">
      <alignment horizontal="center"/>
    </xf>
    <xf numFmtId="0" fontId="4" fillId="3" borderId="8" xfId="27" applyFont="1" applyFill="1" applyBorder="1" applyAlignment="1" applyProtection="1">
      <alignment horizontal="center" textRotation="90"/>
    </xf>
    <xf numFmtId="0" fontId="6" fillId="12" borderId="4" xfId="27" applyFont="1" applyFill="1" applyBorder="1" applyAlignment="1" applyProtection="1">
      <alignment horizontal="center"/>
    </xf>
    <xf numFmtId="2" fontId="3" fillId="0" borderId="0" xfId="27" applyNumberFormat="1" applyFont="1" applyFill="1" applyBorder="1" applyAlignment="1" applyProtection="1"/>
    <xf numFmtId="0" fontId="5" fillId="9" borderId="4" xfId="27" applyFont="1" applyFill="1" applyBorder="1" applyAlignment="1" applyProtection="1">
      <alignment horizontal="center"/>
    </xf>
    <xf numFmtId="0" fontId="5" fillId="8" borderId="4" xfId="27" applyFont="1" applyFill="1" applyBorder="1" applyAlignment="1" applyProtection="1"/>
    <xf numFmtId="0" fontId="6" fillId="10" borderId="4" xfId="27" applyFont="1" applyFill="1" applyBorder="1" applyAlignment="1" applyProtection="1">
      <alignment horizontal="center"/>
    </xf>
    <xf numFmtId="0" fontId="4" fillId="0" borderId="7" xfId="27" applyFont="1" applyFill="1" applyBorder="1" applyAlignment="1" applyProtection="1">
      <alignment horizontal="center" textRotation="90"/>
    </xf>
    <xf numFmtId="3" fontId="9" fillId="0" borderId="7" xfId="27" applyNumberFormat="1" applyFont="1" applyFill="1" applyBorder="1" applyAlignment="1" applyProtection="1">
      <alignment textRotation="90"/>
    </xf>
    <xf numFmtId="3" fontId="61" fillId="0" borderId="7" xfId="27" applyNumberFormat="1" applyFont="1" applyFill="1" applyBorder="1" applyAlignment="1" applyProtection="1">
      <alignment textRotation="90"/>
    </xf>
    <xf numFmtId="2" fontId="3" fillId="0" borderId="37" xfId="27" applyNumberFormat="1" applyFont="1" applyFill="1" applyBorder="1" applyAlignment="1" applyProtection="1"/>
    <xf numFmtId="3" fontId="62" fillId="0" borderId="7" xfId="27" applyNumberFormat="1" applyFont="1" applyFill="1" applyBorder="1" applyAlignment="1" applyProtection="1">
      <alignment textRotation="90"/>
    </xf>
    <xf numFmtId="3" fontId="9" fillId="0" borderId="8" xfId="27" applyNumberFormat="1" applyFont="1" applyFill="1" applyBorder="1" applyAlignment="1" applyProtection="1">
      <alignment textRotation="90"/>
    </xf>
    <xf numFmtId="166" fontId="9" fillId="0" borderId="0" xfId="27" applyNumberFormat="1" applyFont="1" applyFill="1" applyBorder="1" applyAlignment="1" applyProtection="1">
      <alignment textRotation="90"/>
    </xf>
    <xf numFmtId="166" fontId="61" fillId="76" borderId="4" xfId="27" applyNumberFormat="1" applyFont="1" applyFill="1" applyBorder="1" applyAlignment="1" applyProtection="1">
      <alignment textRotation="90"/>
    </xf>
    <xf numFmtId="3" fontId="62" fillId="0" borderId="0" xfId="27" applyNumberFormat="1" applyFont="1" applyFill="1" applyBorder="1" applyAlignment="1" applyProtection="1">
      <alignment textRotation="90"/>
    </xf>
    <xf numFmtId="3" fontId="7" fillId="76" borderId="4" xfId="27" applyNumberFormat="1" applyFont="1" applyFill="1" applyBorder="1" applyAlignment="1" applyProtection="1">
      <alignment vertical="center"/>
    </xf>
    <xf numFmtId="168" fontId="7" fillId="76" borderId="4" xfId="27" applyNumberFormat="1" applyFont="1" applyFill="1" applyBorder="1" applyAlignment="1" applyProtection="1">
      <alignment vertical="center"/>
    </xf>
    <xf numFmtId="167" fontId="7" fillId="76" borderId="4" xfId="27" applyNumberFormat="1" applyFont="1" applyFill="1" applyBorder="1" applyAlignment="1" applyProtection="1">
      <alignment vertical="center"/>
    </xf>
    <xf numFmtId="165" fontId="7" fillId="4" borderId="4" xfId="6041" applyNumberFormat="1" applyFont="1" applyFill="1" applyBorder="1" applyAlignment="1" applyProtection="1">
      <alignment vertical="center"/>
    </xf>
    <xf numFmtId="169" fontId="7" fillId="4" borderId="4" xfId="6042" applyNumberFormat="1" applyFont="1" applyFill="1" applyBorder="1" applyAlignment="1" applyProtection="1">
      <alignment vertical="center"/>
    </xf>
    <xf numFmtId="168" fontId="8" fillId="74" borderId="4" xfId="27" applyNumberFormat="1" applyFont="1" applyFill="1" applyBorder="1" applyAlignment="1" applyProtection="1">
      <alignment horizontal="center" vertical="center"/>
    </xf>
    <xf numFmtId="168" fontId="7" fillId="74" borderId="4" xfId="27" applyNumberFormat="1" applyFont="1" applyFill="1" applyBorder="1" applyAlignment="1" applyProtection="1">
      <alignment vertical="center"/>
    </xf>
    <xf numFmtId="168" fontId="7" fillId="4" borderId="4" xfId="27" applyNumberFormat="1" applyFont="1" applyFill="1" applyBorder="1" applyAlignment="1" applyProtection="1">
      <alignment vertical="center"/>
    </xf>
    <xf numFmtId="168" fontId="7" fillId="75" borderId="2" xfId="27" applyNumberFormat="1" applyFont="1" applyFill="1" applyBorder="1" applyAlignment="1" applyProtection="1">
      <alignment vertical="center"/>
    </xf>
    <xf numFmtId="164" fontId="7" fillId="5" borderId="4" xfId="6041" applyFont="1" applyFill="1" applyBorder="1" applyAlignment="1" applyProtection="1">
      <alignment vertical="center"/>
    </xf>
    <xf numFmtId="164" fontId="7" fillId="7" borderId="4" xfId="6041" applyFont="1" applyFill="1" applyBorder="1" applyAlignment="1" applyProtection="1">
      <alignment vertical="center"/>
    </xf>
    <xf numFmtId="4" fontId="7" fillId="76" borderId="4" xfId="27" applyNumberFormat="1" applyFont="1" applyFill="1" applyBorder="1" applyAlignment="1" applyProtection="1">
      <alignment vertical="center"/>
    </xf>
    <xf numFmtId="164" fontId="7" fillId="76" borderId="4" xfId="6041" applyFont="1" applyFill="1" applyBorder="1" applyAlignment="1" applyProtection="1">
      <alignment vertical="center"/>
    </xf>
    <xf numFmtId="169" fontId="7" fillId="76" borderId="4" xfId="6042" applyNumberFormat="1" applyFont="1" applyFill="1" applyBorder="1" applyAlignment="1" applyProtection="1">
      <alignment vertical="center"/>
    </xf>
    <xf numFmtId="0" fontId="0" fillId="0" borderId="0" xfId="0"/>
    <xf numFmtId="0" fontId="0" fillId="0" borderId="0" xfId="0" applyFill="1" applyBorder="1"/>
    <xf numFmtId="0" fontId="0" fillId="0" borderId="0" xfId="0"/>
    <xf numFmtId="0" fontId="0" fillId="77" borderId="0" xfId="0" applyFill="1"/>
    <xf numFmtId="0" fontId="0" fillId="0" borderId="0" xfId="0"/>
    <xf numFmtId="0" fontId="0" fillId="16" borderId="5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center" vertical="center"/>
    </xf>
    <xf numFmtId="0" fontId="16" fillId="2" borderId="9" xfId="0" applyFont="1" applyFill="1" applyBorder="1" applyAlignment="1" applyProtection="1">
      <alignment horizontal="center" vertical="center"/>
    </xf>
    <xf numFmtId="0" fontId="16" fillId="2" borderId="10" xfId="0" applyFont="1" applyFill="1" applyBorder="1" applyAlignment="1" applyProtection="1">
      <alignment horizontal="center" vertical="center"/>
    </xf>
    <xf numFmtId="0" fontId="16" fillId="2" borderId="11" xfId="0" applyFont="1" applyFill="1" applyBorder="1" applyAlignment="1" applyProtection="1">
      <alignment horizontal="center" vertical="center"/>
    </xf>
    <xf numFmtId="0" fontId="16" fillId="2" borderId="12" xfId="0" applyFont="1" applyFill="1" applyBorder="1" applyAlignment="1" applyProtection="1">
      <alignment horizontal="center" vertical="center"/>
    </xf>
    <xf numFmtId="0" fontId="16" fillId="2" borderId="13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3" fontId="3" fillId="76" borderId="5" xfId="27" applyNumberFormat="1" applyFont="1" applyFill="1" applyBorder="1" applyAlignment="1" applyProtection="1">
      <alignment horizontal="center" vertical="center"/>
    </xf>
    <xf numFmtId="3" fontId="3" fillId="76" borderId="6" xfId="27" applyNumberFormat="1" applyFont="1" applyFill="1" applyBorder="1" applyAlignment="1" applyProtection="1">
      <alignment horizontal="center" vertical="center"/>
    </xf>
    <xf numFmtId="3" fontId="3" fillId="5" borderId="5" xfId="27" applyNumberFormat="1" applyFont="1" applyFill="1" applyBorder="1" applyAlignment="1" applyProtection="1">
      <alignment horizontal="center" vertical="center"/>
    </xf>
    <xf numFmtId="3" fontId="3" fillId="5" borderId="6" xfId="27" applyNumberFormat="1" applyFont="1" applyFill="1" applyBorder="1" applyAlignment="1" applyProtection="1">
      <alignment horizontal="center" vertical="center"/>
    </xf>
    <xf numFmtId="3" fontId="3" fillId="7" borderId="5" xfId="27" applyNumberFormat="1" applyFont="1" applyFill="1" applyBorder="1" applyAlignment="1" applyProtection="1">
      <alignment horizontal="center" vertical="center"/>
    </xf>
    <xf numFmtId="3" fontId="3" fillId="7" borderId="6" xfId="27" applyNumberFormat="1" applyFont="1" applyFill="1" applyBorder="1" applyAlignment="1" applyProtection="1">
      <alignment horizontal="center" vertical="center"/>
    </xf>
    <xf numFmtId="3" fontId="3" fillId="7" borderId="38" xfId="27" applyNumberFormat="1" applyFont="1" applyFill="1" applyBorder="1" applyAlignment="1" applyProtection="1">
      <alignment horizontal="center" vertical="center"/>
    </xf>
    <xf numFmtId="3" fontId="3" fillId="75" borderId="5" xfId="27" applyNumberFormat="1" applyFont="1" applyFill="1" applyBorder="1" applyAlignment="1" applyProtection="1">
      <alignment horizontal="center" vertical="center"/>
    </xf>
    <xf numFmtId="3" fontId="3" fillId="75" borderId="6" xfId="27" applyNumberFormat="1" applyFont="1" applyFill="1" applyBorder="1" applyAlignment="1" applyProtection="1">
      <alignment horizontal="center" vertical="center"/>
    </xf>
    <xf numFmtId="3" fontId="3" fillId="4" borderId="5" xfId="27" applyNumberFormat="1" applyFont="1" applyFill="1" applyBorder="1" applyAlignment="1" applyProtection="1">
      <alignment horizontal="center" vertical="center"/>
    </xf>
    <xf numFmtId="3" fontId="3" fillId="4" borderId="6" xfId="27" applyNumberFormat="1" applyFont="1" applyFill="1" applyBorder="1" applyAlignment="1" applyProtection="1">
      <alignment horizontal="center" vertical="center"/>
    </xf>
    <xf numFmtId="3" fontId="3" fillId="4" borderId="38" xfId="27" applyNumberFormat="1" applyFont="1" applyFill="1" applyBorder="1" applyAlignment="1" applyProtection="1">
      <alignment horizontal="center" vertical="center"/>
    </xf>
    <xf numFmtId="3" fontId="3" fillId="74" borderId="5" xfId="27" applyNumberFormat="1" applyFont="1" applyFill="1" applyBorder="1" applyAlignment="1" applyProtection="1">
      <alignment horizontal="center" vertical="center"/>
    </xf>
    <xf numFmtId="3" fontId="3" fillId="74" borderId="6" xfId="27" applyNumberFormat="1" applyFont="1" applyFill="1" applyBorder="1" applyAlignment="1" applyProtection="1">
      <alignment horizontal="center" vertical="center"/>
    </xf>
    <xf numFmtId="3" fontId="3" fillId="74" borderId="38" xfId="27" applyNumberFormat="1" applyFont="1" applyFill="1" applyBorder="1" applyAlignment="1" applyProtection="1">
      <alignment horizontal="center" vertical="center"/>
    </xf>
  </cellXfs>
  <cellStyles count="6130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2"/>
    <cellStyle name="Millares 2 2 2 2 3" xfId="5213"/>
    <cellStyle name="Millares 2 2 2 2 3 2" xfId="6102"/>
    <cellStyle name="Millares 2 2 2 2 4" xfId="6062"/>
    <cellStyle name="Millares 2 2 2 3" xfId="4866"/>
    <cellStyle name="Millares 2 2 2 3 2" xfId="6072"/>
    <cellStyle name="Millares 2 2 2 4" xfId="5098"/>
    <cellStyle name="Millares 2 2 2 4 2" xfId="6092"/>
    <cellStyle name="Millares 2 2 2 5" xfId="6052"/>
    <cellStyle name="Millares 2 2 3" xfId="4672"/>
    <cellStyle name="Millares 2 2 3 2" xfId="6034"/>
    <cellStyle name="Millares 2 2 3 2 2" xfId="6115"/>
    <cellStyle name="Millares 2 2 3 2 3" xfId="6128"/>
    <cellStyle name="Millares 2 2 3 2 4" xfId="6109"/>
    <cellStyle name="Millares 2 2 3 3" xfId="6114"/>
    <cellStyle name="Millares 2 2 3 4" xfId="6124"/>
    <cellStyle name="Millares 2 2 3 5" xfId="6111"/>
    <cellStyle name="Millares 2 2 4" xfId="4695"/>
    <cellStyle name="Millares 2 2 4 2" xfId="4926"/>
    <cellStyle name="Millares 2 2 4 2 2" xfId="6077"/>
    <cellStyle name="Millares 2 2 4 3" xfId="5158"/>
    <cellStyle name="Millares 2 2 4 3 2" xfId="6097"/>
    <cellStyle name="Millares 2 2 4 4" xfId="6057"/>
    <cellStyle name="Millares 2 2 5" xfId="4811"/>
    <cellStyle name="Millares 2 2 5 2" xfId="6067"/>
    <cellStyle name="Millares 2 2 6" xfId="5043"/>
    <cellStyle name="Millares 2 2 6 2" xfId="6087"/>
    <cellStyle name="Millares 2 2 7" xfId="6047"/>
    <cellStyle name="Millares 2 3" xfId="4616"/>
    <cellStyle name="Millares 2 3 2" xfId="4611"/>
    <cellStyle name="Millares 2 3 2 2" xfId="6032"/>
    <cellStyle name="Millares 2 3 2 2 2" xfId="6117"/>
    <cellStyle name="Millares 2 3 2 2 3" xfId="6126"/>
    <cellStyle name="Millares 2 3 2 2 4" xfId="6107"/>
    <cellStyle name="Millares 2 3 2 3" xfId="6116"/>
    <cellStyle name="Millares 2 3 2 4" xfId="6122"/>
    <cellStyle name="Millares 2 3 2 5" xfId="6112"/>
    <cellStyle name="Millares 2 3 3" xfId="4736"/>
    <cellStyle name="Millares 2 3 3 2" xfId="4967"/>
    <cellStyle name="Millares 2 3 3 2 2" xfId="6079"/>
    <cellStyle name="Millares 2 3 3 3" xfId="5199"/>
    <cellStyle name="Millares 2 3 3 3 2" xfId="6099"/>
    <cellStyle name="Millares 2 3 3 4" xfId="6059"/>
    <cellStyle name="Millares 2 3 4" xfId="4852"/>
    <cellStyle name="Millares 2 3 4 2" xfId="6069"/>
    <cellStyle name="Millares 2 3 5" xfId="5084"/>
    <cellStyle name="Millares 2 3 5 2" xfId="6089"/>
    <cellStyle name="Millares 2 3 6" xfId="6049"/>
    <cellStyle name="Millares 2 4" xfId="4681"/>
    <cellStyle name="Millares 2 4 2" xfId="4912"/>
    <cellStyle name="Millares 2 4 2 2" xfId="6074"/>
    <cellStyle name="Millares 2 4 3" xfId="5144"/>
    <cellStyle name="Millares 2 4 3 2" xfId="6094"/>
    <cellStyle name="Millares 2 4 4" xfId="6054"/>
    <cellStyle name="Millares 2 5" xfId="4797"/>
    <cellStyle name="Millares 2 5 2" xfId="6064"/>
    <cellStyle name="Millares 2 6" xfId="5029"/>
    <cellStyle name="Millares 2 6 2" xfId="6084"/>
    <cellStyle name="Millares 2 7" xfId="6044"/>
    <cellStyle name="Millares 3" xfId="4149"/>
    <cellStyle name="Millares 3 2" xfId="4620"/>
    <cellStyle name="Millares 3 2 2" xfId="4740"/>
    <cellStyle name="Millares 3 2 2 2" xfId="4971"/>
    <cellStyle name="Millares 3 2 2 2 2" xfId="6080"/>
    <cellStyle name="Millares 3 2 2 3" xfId="5203"/>
    <cellStyle name="Millares 3 2 2 3 2" xfId="6100"/>
    <cellStyle name="Millares 3 2 2 4" xfId="6060"/>
    <cellStyle name="Millares 3 2 3" xfId="4856"/>
    <cellStyle name="Millares 3 2 3 2" xfId="6070"/>
    <cellStyle name="Millares 3 2 4" xfId="5088"/>
    <cellStyle name="Millares 3 2 4 2" xfId="6090"/>
    <cellStyle name="Millares 3 2 5" xfId="6050"/>
    <cellStyle name="Millares 3 3" xfId="4685"/>
    <cellStyle name="Millares 3 3 2" xfId="4916"/>
    <cellStyle name="Millares 3 3 2 2" xfId="6075"/>
    <cellStyle name="Millares 3 3 3" xfId="5148"/>
    <cellStyle name="Millares 3 3 3 2" xfId="6095"/>
    <cellStyle name="Millares 3 3 4" xfId="6055"/>
    <cellStyle name="Millares 3 4" xfId="4801"/>
    <cellStyle name="Millares 3 4 2" xfId="6065"/>
    <cellStyle name="Millares 3 5" xfId="5033"/>
    <cellStyle name="Millares 3 5 2" xfId="6085"/>
    <cellStyle name="Millares 3 6" xfId="6045"/>
    <cellStyle name="Millares 4" xfId="4152"/>
    <cellStyle name="Millares 4 2" xfId="4623"/>
    <cellStyle name="Millares 4 2 2" xfId="4743"/>
    <cellStyle name="Millares 4 2 2 2" xfId="4974"/>
    <cellStyle name="Millares 4 2 2 2 2" xfId="6081"/>
    <cellStyle name="Millares 4 2 2 3" xfId="5206"/>
    <cellStyle name="Millares 4 2 2 3 2" xfId="6101"/>
    <cellStyle name="Millares 4 2 2 4" xfId="6061"/>
    <cellStyle name="Millares 4 2 3" xfId="4859"/>
    <cellStyle name="Millares 4 2 3 2" xfId="6071"/>
    <cellStyle name="Millares 4 2 4" xfId="5091"/>
    <cellStyle name="Millares 4 2 4 2" xfId="6091"/>
    <cellStyle name="Millares 4 2 5" xfId="6051"/>
    <cellStyle name="Millares 4 3" xfId="4688"/>
    <cellStyle name="Millares 4 3 2" xfId="4919"/>
    <cellStyle name="Millares 4 3 2 2" xfId="6076"/>
    <cellStyle name="Millares 4 3 3" xfId="5151"/>
    <cellStyle name="Millares 4 3 3 2" xfId="6096"/>
    <cellStyle name="Millares 4 3 4" xfId="6056"/>
    <cellStyle name="Millares 4 4" xfId="4804"/>
    <cellStyle name="Millares 4 4 2" xfId="6066"/>
    <cellStyle name="Millares 4 5" xfId="5036"/>
    <cellStyle name="Millares 4 5 2" xfId="6086"/>
    <cellStyle name="Millares 4 6" xfId="6046"/>
    <cellStyle name="Millares 5" xfId="4548"/>
    <cellStyle name="Millares 5 2" xfId="4636"/>
    <cellStyle name="Millares 5 2 2" xfId="4756"/>
    <cellStyle name="Millares 5 2 2 2" xfId="4987"/>
    <cellStyle name="Millares 5 2 2 2 2" xfId="6083"/>
    <cellStyle name="Millares 5 2 2 3" xfId="5219"/>
    <cellStyle name="Millares 5 2 2 3 2" xfId="6103"/>
    <cellStyle name="Millares 5 2 2 4" xfId="6063"/>
    <cellStyle name="Millares 5 2 3" xfId="4872"/>
    <cellStyle name="Millares 5 2 3 2" xfId="6073"/>
    <cellStyle name="Millares 5 2 4" xfId="5104"/>
    <cellStyle name="Millares 5 2 4 2" xfId="6093"/>
    <cellStyle name="Millares 5 2 5" xfId="6053"/>
    <cellStyle name="Millares 5 3" xfId="4701"/>
    <cellStyle name="Millares 5 3 2" xfId="4932"/>
    <cellStyle name="Millares 5 3 2 2" xfId="6078"/>
    <cellStyle name="Millares 5 3 3" xfId="5164"/>
    <cellStyle name="Millares 5 3 3 2" xfId="6098"/>
    <cellStyle name="Millares 5 3 4" xfId="6058"/>
    <cellStyle name="Millares 5 4" xfId="4817"/>
    <cellStyle name="Millares 5 4 2" xfId="6068"/>
    <cellStyle name="Millares 5 5" xfId="5049"/>
    <cellStyle name="Millares 5 5 2" xfId="6088"/>
    <cellStyle name="Millares 5 6" xfId="6048"/>
    <cellStyle name="Millares 6" xfId="6040"/>
    <cellStyle name="Millares 6 2" xfId="6104"/>
    <cellStyle name="Millares 7" xfId="6041"/>
    <cellStyle name="Millares 7 2" xfId="6105"/>
    <cellStyle name="Millares 8" xfId="6043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14" xfId="6042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20"/>
    <cellStyle name="TableStyleLight1 2 2 3" xfId="6129"/>
    <cellStyle name="TableStyleLight1 2 2 4" xfId="6110"/>
    <cellStyle name="TableStyleLight1 2 3" xfId="6119"/>
    <cellStyle name="TableStyleLight1 2 4" xfId="6125"/>
    <cellStyle name="TableStyleLight1 2 5" xfId="6113"/>
    <cellStyle name="TableStyleLight1 3" xfId="6033"/>
    <cellStyle name="TableStyleLight1 3 2" xfId="6121"/>
    <cellStyle name="TableStyleLight1 3 3" xfId="6127"/>
    <cellStyle name="TableStyleLight1 3 4" xfId="6108"/>
    <cellStyle name="TableStyleLight1 4" xfId="6118"/>
    <cellStyle name="TableStyleLight1 5" xfId="6123"/>
    <cellStyle name="TableStyleLight1 6" xfId="6106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42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536121</xdr:colOff>
      <xdr:row>4</xdr:row>
      <xdr:rowOff>180975</xdr:rowOff>
    </xdr:from>
    <xdr:to>
      <xdr:col>7</xdr:col>
      <xdr:colOff>107496</xdr:colOff>
      <xdr:row>13</xdr:row>
      <xdr:rowOff>161925</xdr:rowOff>
    </xdr:to>
    <xdr:sp macro="[0]!loopyarray" textlink="">
      <xdr:nvSpPr>
        <xdr:cNvPr id="2" name="1 Rectángulo redondeado"/>
        <xdr:cNvSpPr/>
      </xdr:nvSpPr>
      <xdr:spPr>
        <a:xfrm>
          <a:off x="4879521" y="561975"/>
          <a:ext cx="3514725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1457325</xdr:colOff>
          <xdr:row>7</xdr:row>
          <xdr:rowOff>104775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66675</xdr:rowOff>
        </xdr:from>
        <xdr:to>
          <xdr:col>2</xdr:col>
          <xdr:colOff>1457325</xdr:colOff>
          <xdr:row>14</xdr:row>
          <xdr:rowOff>104775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114300</xdr:rowOff>
        </xdr:from>
        <xdr:to>
          <xdr:col>2</xdr:col>
          <xdr:colOff>1219200</xdr:colOff>
          <xdr:row>11</xdr:row>
          <xdr:rowOff>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12</xdr:row>
          <xdr:rowOff>28575</xdr:rowOff>
        </xdr:from>
        <xdr:to>
          <xdr:col>2</xdr:col>
          <xdr:colOff>1247775</xdr:colOff>
          <xdr:row>13</xdr:row>
          <xdr:rowOff>85725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685800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4</xdr:col>
          <xdr:colOff>571500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533400</xdr:colOff>
      <xdr:row>14</xdr:row>
      <xdr:rowOff>85725</xdr:rowOff>
    </xdr:from>
    <xdr:to>
      <xdr:col>6</xdr:col>
      <xdr:colOff>1009650</xdr:colOff>
      <xdr:row>18</xdr:row>
      <xdr:rowOff>171450</xdr:rowOff>
    </xdr:to>
    <xdr:sp macro="[0]!Ruta_dashboard" textlink="">
      <xdr:nvSpPr>
        <xdr:cNvPr id="11" name="10 Rectángulo redondeado"/>
        <xdr:cNvSpPr/>
      </xdr:nvSpPr>
      <xdr:spPr>
        <a:xfrm>
          <a:off x="4876800" y="2371725"/>
          <a:ext cx="2447925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allEnd_538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482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254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321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214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161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439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282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397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261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478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131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190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400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505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333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419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19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306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468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220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213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186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244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21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444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335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253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19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137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489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210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338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192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147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435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506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407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515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364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231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17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208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408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528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500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484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139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160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201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501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516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512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134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451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305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234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319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113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256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398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493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521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276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293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457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104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301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152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264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376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155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431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308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471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322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448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156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169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245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270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323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447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402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481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150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136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432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133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189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318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100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17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315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470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203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324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466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247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367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531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383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168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279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314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290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269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483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103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170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386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211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158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358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529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472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508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525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343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502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511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238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111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421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125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348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206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389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250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504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496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196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197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467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304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219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476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157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142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287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409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115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329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433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310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280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354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379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249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300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469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356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312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302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222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215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145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536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413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303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272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326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428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289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479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494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320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163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17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227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355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520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278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246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362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149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117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418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138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455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437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123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267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488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381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524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135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357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510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288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423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121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275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352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509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148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144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340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285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537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390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375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526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475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325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487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385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434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350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240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403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424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114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461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387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449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330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360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399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221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226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99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380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361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345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239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185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182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236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119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498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151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420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480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181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176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430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209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347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228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199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499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507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281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257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513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401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452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486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232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271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410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124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212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107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377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454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224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503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154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532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164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102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474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393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292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243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427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229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172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336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126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530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440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120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217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108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112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98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445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353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242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165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173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141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363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460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105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346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334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391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263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260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316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450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443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262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404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394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374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425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388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233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442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200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519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237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369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298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122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20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166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143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248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373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523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309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106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109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395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368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417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396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331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297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235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414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20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295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327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458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405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130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118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415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351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406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392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259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277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527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359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497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426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473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416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268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241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490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534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223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19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255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273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411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422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110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132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180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188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382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533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412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184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183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18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341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140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491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291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179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372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159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101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204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332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517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116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441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129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230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453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518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299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492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127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171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265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456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128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317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307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225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477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446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274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485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365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342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153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462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339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19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436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283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459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344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371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514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429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313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25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438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349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216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366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522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167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294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370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464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251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463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337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252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495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378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198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284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162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311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286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328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14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384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205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97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174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266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296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465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535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1.xml"/><Relationship Id="rId299" Type="http://schemas.openxmlformats.org/officeDocument/2006/relationships/queryTable" Target="../queryTables/queryTable283.xml"/><Relationship Id="rId21" Type="http://schemas.openxmlformats.org/officeDocument/2006/relationships/queryTable" Target="../queryTables/queryTable5.xml"/><Relationship Id="rId63" Type="http://schemas.openxmlformats.org/officeDocument/2006/relationships/queryTable" Target="../queryTables/queryTable47.xml"/><Relationship Id="rId159" Type="http://schemas.openxmlformats.org/officeDocument/2006/relationships/queryTable" Target="../queryTables/queryTable143.xml"/><Relationship Id="rId324" Type="http://schemas.openxmlformats.org/officeDocument/2006/relationships/queryTable" Target="../queryTables/queryTable308.xml"/><Relationship Id="rId366" Type="http://schemas.openxmlformats.org/officeDocument/2006/relationships/queryTable" Target="../queryTables/queryTable350.xml"/><Relationship Id="rId170" Type="http://schemas.openxmlformats.org/officeDocument/2006/relationships/queryTable" Target="../queryTables/queryTable154.xml"/><Relationship Id="rId226" Type="http://schemas.openxmlformats.org/officeDocument/2006/relationships/queryTable" Target="../queryTables/queryTable210.xml"/><Relationship Id="rId433" Type="http://schemas.openxmlformats.org/officeDocument/2006/relationships/queryTable" Target="../queryTables/queryTable417.xml"/><Relationship Id="rId268" Type="http://schemas.openxmlformats.org/officeDocument/2006/relationships/queryTable" Target="../queryTables/queryTable252.xml"/><Relationship Id="rId32" Type="http://schemas.openxmlformats.org/officeDocument/2006/relationships/queryTable" Target="../queryTables/queryTable16.xml"/><Relationship Id="rId74" Type="http://schemas.openxmlformats.org/officeDocument/2006/relationships/queryTable" Target="../queryTables/queryTable58.xml"/><Relationship Id="rId128" Type="http://schemas.openxmlformats.org/officeDocument/2006/relationships/queryTable" Target="../queryTables/queryTable112.xml"/><Relationship Id="rId335" Type="http://schemas.openxmlformats.org/officeDocument/2006/relationships/queryTable" Target="../queryTables/queryTable319.xml"/><Relationship Id="rId377" Type="http://schemas.openxmlformats.org/officeDocument/2006/relationships/queryTable" Target="../queryTables/queryTable361.xml"/><Relationship Id="rId5" Type="http://schemas.openxmlformats.org/officeDocument/2006/relationships/image" Target="../media/image1.emf"/><Relationship Id="rId181" Type="http://schemas.openxmlformats.org/officeDocument/2006/relationships/queryTable" Target="../queryTables/queryTable165.xml"/><Relationship Id="rId237" Type="http://schemas.openxmlformats.org/officeDocument/2006/relationships/queryTable" Target="../queryTables/queryTable221.xml"/><Relationship Id="rId402" Type="http://schemas.openxmlformats.org/officeDocument/2006/relationships/queryTable" Target="../queryTables/queryTable386.xml"/><Relationship Id="rId279" Type="http://schemas.openxmlformats.org/officeDocument/2006/relationships/queryTable" Target="../queryTables/queryTable263.xml"/><Relationship Id="rId444" Type="http://schemas.openxmlformats.org/officeDocument/2006/relationships/queryTable" Target="../queryTables/queryTable428.xml"/><Relationship Id="rId43" Type="http://schemas.openxmlformats.org/officeDocument/2006/relationships/queryTable" Target="../queryTables/queryTable27.xml"/><Relationship Id="rId139" Type="http://schemas.openxmlformats.org/officeDocument/2006/relationships/queryTable" Target="../queryTables/queryTable123.xml"/><Relationship Id="rId290" Type="http://schemas.openxmlformats.org/officeDocument/2006/relationships/queryTable" Target="../queryTables/queryTable274.xml"/><Relationship Id="rId304" Type="http://schemas.openxmlformats.org/officeDocument/2006/relationships/queryTable" Target="../queryTables/queryTable288.xml"/><Relationship Id="rId346" Type="http://schemas.openxmlformats.org/officeDocument/2006/relationships/queryTable" Target="../queryTables/queryTable330.xml"/><Relationship Id="rId388" Type="http://schemas.openxmlformats.org/officeDocument/2006/relationships/queryTable" Target="../queryTables/queryTable372.xml"/><Relationship Id="rId85" Type="http://schemas.openxmlformats.org/officeDocument/2006/relationships/queryTable" Target="../queryTables/queryTable69.xml"/><Relationship Id="rId150" Type="http://schemas.openxmlformats.org/officeDocument/2006/relationships/queryTable" Target="../queryTables/queryTable134.xml"/><Relationship Id="rId192" Type="http://schemas.openxmlformats.org/officeDocument/2006/relationships/queryTable" Target="../queryTables/queryTable176.xml"/><Relationship Id="rId206" Type="http://schemas.openxmlformats.org/officeDocument/2006/relationships/queryTable" Target="../queryTables/queryTable190.xml"/><Relationship Id="rId413" Type="http://schemas.openxmlformats.org/officeDocument/2006/relationships/queryTable" Target="../queryTables/queryTable397.xml"/><Relationship Id="rId248" Type="http://schemas.openxmlformats.org/officeDocument/2006/relationships/queryTable" Target="../queryTables/queryTable232.xml"/><Relationship Id="rId455" Type="http://schemas.openxmlformats.org/officeDocument/2006/relationships/queryTable" Target="../queryTables/queryTable439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2.xml"/><Relationship Id="rId315" Type="http://schemas.openxmlformats.org/officeDocument/2006/relationships/queryTable" Target="../queryTables/queryTable299.xml"/><Relationship Id="rId357" Type="http://schemas.openxmlformats.org/officeDocument/2006/relationships/queryTable" Target="../queryTables/queryTable341.xml"/><Relationship Id="rId54" Type="http://schemas.openxmlformats.org/officeDocument/2006/relationships/queryTable" Target="../queryTables/queryTable38.xml"/><Relationship Id="rId96" Type="http://schemas.openxmlformats.org/officeDocument/2006/relationships/queryTable" Target="../queryTables/queryTable80.xml"/><Relationship Id="rId161" Type="http://schemas.openxmlformats.org/officeDocument/2006/relationships/queryTable" Target="../queryTables/queryTable145.xml"/><Relationship Id="rId217" Type="http://schemas.openxmlformats.org/officeDocument/2006/relationships/queryTable" Target="../queryTables/queryTable201.xml"/><Relationship Id="rId399" Type="http://schemas.openxmlformats.org/officeDocument/2006/relationships/queryTable" Target="../queryTables/queryTable383.xml"/><Relationship Id="rId259" Type="http://schemas.openxmlformats.org/officeDocument/2006/relationships/queryTable" Target="../queryTables/queryTable243.xml"/><Relationship Id="rId424" Type="http://schemas.openxmlformats.org/officeDocument/2006/relationships/queryTable" Target="../queryTables/queryTable408.xml"/><Relationship Id="rId23" Type="http://schemas.openxmlformats.org/officeDocument/2006/relationships/queryTable" Target="../queryTables/queryTable7.xml"/><Relationship Id="rId119" Type="http://schemas.openxmlformats.org/officeDocument/2006/relationships/queryTable" Target="../queryTables/queryTable103.xml"/><Relationship Id="rId270" Type="http://schemas.openxmlformats.org/officeDocument/2006/relationships/queryTable" Target="../queryTables/queryTable254.xml"/><Relationship Id="rId291" Type="http://schemas.openxmlformats.org/officeDocument/2006/relationships/queryTable" Target="../queryTables/queryTable275.xml"/><Relationship Id="rId305" Type="http://schemas.openxmlformats.org/officeDocument/2006/relationships/queryTable" Target="../queryTables/queryTable289.xml"/><Relationship Id="rId326" Type="http://schemas.openxmlformats.org/officeDocument/2006/relationships/queryTable" Target="../queryTables/queryTable310.xml"/><Relationship Id="rId347" Type="http://schemas.openxmlformats.org/officeDocument/2006/relationships/queryTable" Target="../queryTables/queryTable331.xml"/><Relationship Id="rId44" Type="http://schemas.openxmlformats.org/officeDocument/2006/relationships/queryTable" Target="../queryTables/queryTable28.xml"/><Relationship Id="rId65" Type="http://schemas.openxmlformats.org/officeDocument/2006/relationships/queryTable" Target="../queryTables/queryTable49.xml"/><Relationship Id="rId86" Type="http://schemas.openxmlformats.org/officeDocument/2006/relationships/queryTable" Target="../queryTables/queryTable70.xml"/><Relationship Id="rId130" Type="http://schemas.openxmlformats.org/officeDocument/2006/relationships/queryTable" Target="../queryTables/queryTable114.xml"/><Relationship Id="rId151" Type="http://schemas.openxmlformats.org/officeDocument/2006/relationships/queryTable" Target="../queryTables/queryTable135.xml"/><Relationship Id="rId368" Type="http://schemas.openxmlformats.org/officeDocument/2006/relationships/queryTable" Target="../queryTables/queryTable352.xml"/><Relationship Id="rId389" Type="http://schemas.openxmlformats.org/officeDocument/2006/relationships/queryTable" Target="../queryTables/queryTable373.xml"/><Relationship Id="rId172" Type="http://schemas.openxmlformats.org/officeDocument/2006/relationships/queryTable" Target="../queryTables/queryTable156.xml"/><Relationship Id="rId193" Type="http://schemas.openxmlformats.org/officeDocument/2006/relationships/queryTable" Target="../queryTables/queryTable177.xml"/><Relationship Id="rId207" Type="http://schemas.openxmlformats.org/officeDocument/2006/relationships/queryTable" Target="../queryTables/queryTable191.xml"/><Relationship Id="rId228" Type="http://schemas.openxmlformats.org/officeDocument/2006/relationships/queryTable" Target="../queryTables/queryTable212.xml"/><Relationship Id="rId249" Type="http://schemas.openxmlformats.org/officeDocument/2006/relationships/queryTable" Target="../queryTables/queryTable233.xml"/><Relationship Id="rId414" Type="http://schemas.openxmlformats.org/officeDocument/2006/relationships/queryTable" Target="../queryTables/queryTable398.xml"/><Relationship Id="rId435" Type="http://schemas.openxmlformats.org/officeDocument/2006/relationships/queryTable" Target="../queryTables/queryTable419.xml"/><Relationship Id="rId456" Type="http://schemas.openxmlformats.org/officeDocument/2006/relationships/queryTable" Target="../queryTables/queryTable440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3.xml"/><Relationship Id="rId260" Type="http://schemas.openxmlformats.org/officeDocument/2006/relationships/queryTable" Target="../queryTables/queryTable244.xml"/><Relationship Id="rId281" Type="http://schemas.openxmlformats.org/officeDocument/2006/relationships/queryTable" Target="../queryTables/queryTable265.xml"/><Relationship Id="rId316" Type="http://schemas.openxmlformats.org/officeDocument/2006/relationships/queryTable" Target="../queryTables/queryTable300.xml"/><Relationship Id="rId337" Type="http://schemas.openxmlformats.org/officeDocument/2006/relationships/queryTable" Target="../queryTables/queryTable321.xml"/><Relationship Id="rId34" Type="http://schemas.openxmlformats.org/officeDocument/2006/relationships/queryTable" Target="../queryTables/queryTable18.xml"/><Relationship Id="rId55" Type="http://schemas.openxmlformats.org/officeDocument/2006/relationships/queryTable" Target="../queryTables/queryTable39.xml"/><Relationship Id="rId76" Type="http://schemas.openxmlformats.org/officeDocument/2006/relationships/queryTable" Target="../queryTables/queryTable60.xml"/><Relationship Id="rId97" Type="http://schemas.openxmlformats.org/officeDocument/2006/relationships/queryTable" Target="../queryTables/queryTable81.xml"/><Relationship Id="rId120" Type="http://schemas.openxmlformats.org/officeDocument/2006/relationships/queryTable" Target="../queryTables/queryTable104.xml"/><Relationship Id="rId141" Type="http://schemas.openxmlformats.org/officeDocument/2006/relationships/queryTable" Target="../queryTables/queryTable125.xml"/><Relationship Id="rId358" Type="http://schemas.openxmlformats.org/officeDocument/2006/relationships/queryTable" Target="../queryTables/queryTable342.xml"/><Relationship Id="rId379" Type="http://schemas.openxmlformats.org/officeDocument/2006/relationships/queryTable" Target="../queryTables/queryTable363.xml"/><Relationship Id="rId7" Type="http://schemas.openxmlformats.org/officeDocument/2006/relationships/image" Target="../media/image2.emf"/><Relationship Id="rId162" Type="http://schemas.openxmlformats.org/officeDocument/2006/relationships/queryTable" Target="../queryTables/queryTable146.xml"/><Relationship Id="rId183" Type="http://schemas.openxmlformats.org/officeDocument/2006/relationships/queryTable" Target="../queryTables/queryTable167.xml"/><Relationship Id="rId218" Type="http://schemas.openxmlformats.org/officeDocument/2006/relationships/queryTable" Target="../queryTables/queryTable202.xml"/><Relationship Id="rId239" Type="http://schemas.openxmlformats.org/officeDocument/2006/relationships/queryTable" Target="../queryTables/queryTable223.xml"/><Relationship Id="rId390" Type="http://schemas.openxmlformats.org/officeDocument/2006/relationships/queryTable" Target="../queryTables/queryTable374.xml"/><Relationship Id="rId404" Type="http://schemas.openxmlformats.org/officeDocument/2006/relationships/queryTable" Target="../queryTables/queryTable388.xml"/><Relationship Id="rId425" Type="http://schemas.openxmlformats.org/officeDocument/2006/relationships/queryTable" Target="../queryTables/queryTable409.xml"/><Relationship Id="rId446" Type="http://schemas.openxmlformats.org/officeDocument/2006/relationships/queryTable" Target="../queryTables/queryTable430.xml"/><Relationship Id="rId250" Type="http://schemas.openxmlformats.org/officeDocument/2006/relationships/queryTable" Target="../queryTables/queryTable234.xml"/><Relationship Id="rId271" Type="http://schemas.openxmlformats.org/officeDocument/2006/relationships/queryTable" Target="../queryTables/queryTable255.xml"/><Relationship Id="rId292" Type="http://schemas.openxmlformats.org/officeDocument/2006/relationships/queryTable" Target="../queryTables/queryTable276.xml"/><Relationship Id="rId306" Type="http://schemas.openxmlformats.org/officeDocument/2006/relationships/queryTable" Target="../queryTables/queryTable290.xml"/><Relationship Id="rId24" Type="http://schemas.openxmlformats.org/officeDocument/2006/relationships/queryTable" Target="../queryTables/queryTable8.xml"/><Relationship Id="rId45" Type="http://schemas.openxmlformats.org/officeDocument/2006/relationships/queryTable" Target="../queryTables/queryTable29.xml"/><Relationship Id="rId66" Type="http://schemas.openxmlformats.org/officeDocument/2006/relationships/queryTable" Target="../queryTables/queryTable50.xml"/><Relationship Id="rId87" Type="http://schemas.openxmlformats.org/officeDocument/2006/relationships/queryTable" Target="../queryTables/queryTable71.xml"/><Relationship Id="rId110" Type="http://schemas.openxmlformats.org/officeDocument/2006/relationships/queryTable" Target="../queryTables/queryTable94.xml"/><Relationship Id="rId131" Type="http://schemas.openxmlformats.org/officeDocument/2006/relationships/queryTable" Target="../queryTables/queryTable115.xml"/><Relationship Id="rId327" Type="http://schemas.openxmlformats.org/officeDocument/2006/relationships/queryTable" Target="../queryTables/queryTable311.xml"/><Relationship Id="rId348" Type="http://schemas.openxmlformats.org/officeDocument/2006/relationships/queryTable" Target="../queryTables/queryTable332.xml"/><Relationship Id="rId369" Type="http://schemas.openxmlformats.org/officeDocument/2006/relationships/queryTable" Target="../queryTables/queryTable353.xml"/><Relationship Id="rId152" Type="http://schemas.openxmlformats.org/officeDocument/2006/relationships/queryTable" Target="../queryTables/queryTable136.xml"/><Relationship Id="rId173" Type="http://schemas.openxmlformats.org/officeDocument/2006/relationships/queryTable" Target="../queryTables/queryTable157.xml"/><Relationship Id="rId194" Type="http://schemas.openxmlformats.org/officeDocument/2006/relationships/queryTable" Target="../queryTables/queryTable178.xml"/><Relationship Id="rId208" Type="http://schemas.openxmlformats.org/officeDocument/2006/relationships/queryTable" Target="../queryTables/queryTable192.xml"/><Relationship Id="rId229" Type="http://schemas.openxmlformats.org/officeDocument/2006/relationships/queryTable" Target="../queryTables/queryTable213.xml"/><Relationship Id="rId380" Type="http://schemas.openxmlformats.org/officeDocument/2006/relationships/queryTable" Target="../queryTables/queryTable364.xml"/><Relationship Id="rId415" Type="http://schemas.openxmlformats.org/officeDocument/2006/relationships/queryTable" Target="../queryTables/queryTable399.xml"/><Relationship Id="rId436" Type="http://schemas.openxmlformats.org/officeDocument/2006/relationships/queryTable" Target="../queryTables/queryTable420.xml"/><Relationship Id="rId457" Type="http://schemas.openxmlformats.org/officeDocument/2006/relationships/queryTable" Target="../queryTables/queryTable441.xml"/><Relationship Id="rId240" Type="http://schemas.openxmlformats.org/officeDocument/2006/relationships/queryTable" Target="../queryTables/queryTable224.xml"/><Relationship Id="rId261" Type="http://schemas.openxmlformats.org/officeDocument/2006/relationships/queryTable" Target="../queryTables/queryTable245.xml"/><Relationship Id="rId14" Type="http://schemas.openxmlformats.org/officeDocument/2006/relationships/ctrlProp" Target="../ctrlProps/ctrlProp1.xml"/><Relationship Id="rId35" Type="http://schemas.openxmlformats.org/officeDocument/2006/relationships/queryTable" Target="../queryTables/queryTable19.xml"/><Relationship Id="rId56" Type="http://schemas.openxmlformats.org/officeDocument/2006/relationships/queryTable" Target="../queryTables/queryTable40.xml"/><Relationship Id="rId77" Type="http://schemas.openxmlformats.org/officeDocument/2006/relationships/queryTable" Target="../queryTables/queryTable61.xml"/><Relationship Id="rId100" Type="http://schemas.openxmlformats.org/officeDocument/2006/relationships/queryTable" Target="../queryTables/queryTable84.xml"/><Relationship Id="rId282" Type="http://schemas.openxmlformats.org/officeDocument/2006/relationships/queryTable" Target="../queryTables/queryTable266.xml"/><Relationship Id="rId317" Type="http://schemas.openxmlformats.org/officeDocument/2006/relationships/queryTable" Target="../queryTables/queryTable301.xml"/><Relationship Id="rId338" Type="http://schemas.openxmlformats.org/officeDocument/2006/relationships/queryTable" Target="../queryTables/queryTable322.xml"/><Relationship Id="rId359" Type="http://schemas.openxmlformats.org/officeDocument/2006/relationships/queryTable" Target="../queryTables/queryTable343.xml"/><Relationship Id="rId8" Type="http://schemas.openxmlformats.org/officeDocument/2006/relationships/control" Target="../activeX/activeX3.xml"/><Relationship Id="rId98" Type="http://schemas.openxmlformats.org/officeDocument/2006/relationships/queryTable" Target="../queryTables/queryTable82.xml"/><Relationship Id="rId121" Type="http://schemas.openxmlformats.org/officeDocument/2006/relationships/queryTable" Target="../queryTables/queryTable105.xml"/><Relationship Id="rId142" Type="http://schemas.openxmlformats.org/officeDocument/2006/relationships/queryTable" Target="../queryTables/queryTable126.xml"/><Relationship Id="rId163" Type="http://schemas.openxmlformats.org/officeDocument/2006/relationships/queryTable" Target="../queryTables/queryTable147.xml"/><Relationship Id="rId184" Type="http://schemas.openxmlformats.org/officeDocument/2006/relationships/queryTable" Target="../queryTables/queryTable168.xml"/><Relationship Id="rId219" Type="http://schemas.openxmlformats.org/officeDocument/2006/relationships/queryTable" Target="../queryTables/queryTable203.xml"/><Relationship Id="rId370" Type="http://schemas.openxmlformats.org/officeDocument/2006/relationships/queryTable" Target="../queryTables/queryTable354.xml"/><Relationship Id="rId391" Type="http://schemas.openxmlformats.org/officeDocument/2006/relationships/queryTable" Target="../queryTables/queryTable375.xml"/><Relationship Id="rId405" Type="http://schemas.openxmlformats.org/officeDocument/2006/relationships/queryTable" Target="../queryTables/queryTable389.xml"/><Relationship Id="rId426" Type="http://schemas.openxmlformats.org/officeDocument/2006/relationships/queryTable" Target="../queryTables/queryTable410.xml"/><Relationship Id="rId447" Type="http://schemas.openxmlformats.org/officeDocument/2006/relationships/queryTable" Target="../queryTables/queryTable431.xml"/><Relationship Id="rId230" Type="http://schemas.openxmlformats.org/officeDocument/2006/relationships/queryTable" Target="../queryTables/queryTable214.xml"/><Relationship Id="rId251" Type="http://schemas.openxmlformats.org/officeDocument/2006/relationships/queryTable" Target="../queryTables/queryTable235.xml"/><Relationship Id="rId25" Type="http://schemas.openxmlformats.org/officeDocument/2006/relationships/queryTable" Target="../queryTables/queryTable9.xml"/><Relationship Id="rId46" Type="http://schemas.openxmlformats.org/officeDocument/2006/relationships/queryTable" Target="../queryTables/queryTable30.xml"/><Relationship Id="rId67" Type="http://schemas.openxmlformats.org/officeDocument/2006/relationships/queryTable" Target="../queryTables/queryTable51.xml"/><Relationship Id="rId272" Type="http://schemas.openxmlformats.org/officeDocument/2006/relationships/queryTable" Target="../queryTables/queryTable256.xml"/><Relationship Id="rId293" Type="http://schemas.openxmlformats.org/officeDocument/2006/relationships/queryTable" Target="../queryTables/queryTable277.xml"/><Relationship Id="rId307" Type="http://schemas.openxmlformats.org/officeDocument/2006/relationships/queryTable" Target="../queryTables/queryTable291.xml"/><Relationship Id="rId328" Type="http://schemas.openxmlformats.org/officeDocument/2006/relationships/queryTable" Target="../queryTables/queryTable312.xml"/><Relationship Id="rId349" Type="http://schemas.openxmlformats.org/officeDocument/2006/relationships/queryTable" Target="../queryTables/queryTable333.xml"/><Relationship Id="rId88" Type="http://schemas.openxmlformats.org/officeDocument/2006/relationships/queryTable" Target="../queryTables/queryTable72.xml"/><Relationship Id="rId111" Type="http://schemas.openxmlformats.org/officeDocument/2006/relationships/queryTable" Target="../queryTables/queryTable95.xml"/><Relationship Id="rId132" Type="http://schemas.openxmlformats.org/officeDocument/2006/relationships/queryTable" Target="../queryTables/queryTable116.xml"/><Relationship Id="rId153" Type="http://schemas.openxmlformats.org/officeDocument/2006/relationships/queryTable" Target="../queryTables/queryTable137.xml"/><Relationship Id="rId174" Type="http://schemas.openxmlformats.org/officeDocument/2006/relationships/queryTable" Target="../queryTables/queryTable158.xml"/><Relationship Id="rId195" Type="http://schemas.openxmlformats.org/officeDocument/2006/relationships/queryTable" Target="../queryTables/queryTable179.xml"/><Relationship Id="rId209" Type="http://schemas.openxmlformats.org/officeDocument/2006/relationships/queryTable" Target="../queryTables/queryTable193.xml"/><Relationship Id="rId360" Type="http://schemas.openxmlformats.org/officeDocument/2006/relationships/queryTable" Target="../queryTables/queryTable344.xml"/><Relationship Id="rId381" Type="http://schemas.openxmlformats.org/officeDocument/2006/relationships/queryTable" Target="../queryTables/queryTable365.xml"/><Relationship Id="rId416" Type="http://schemas.openxmlformats.org/officeDocument/2006/relationships/queryTable" Target="../queryTables/queryTable400.xml"/><Relationship Id="rId220" Type="http://schemas.openxmlformats.org/officeDocument/2006/relationships/queryTable" Target="../queryTables/queryTable204.xml"/><Relationship Id="rId241" Type="http://schemas.openxmlformats.org/officeDocument/2006/relationships/queryTable" Target="../queryTables/queryTable225.xml"/><Relationship Id="rId437" Type="http://schemas.openxmlformats.org/officeDocument/2006/relationships/queryTable" Target="../queryTables/queryTable421.xml"/><Relationship Id="rId458" Type="http://schemas.openxmlformats.org/officeDocument/2006/relationships/queryTable" Target="../queryTables/queryTable442.xml"/><Relationship Id="rId15" Type="http://schemas.openxmlformats.org/officeDocument/2006/relationships/ctrlProp" Target="../ctrlProps/ctrlProp2.xml"/><Relationship Id="rId36" Type="http://schemas.openxmlformats.org/officeDocument/2006/relationships/queryTable" Target="../queryTables/queryTable20.xml"/><Relationship Id="rId57" Type="http://schemas.openxmlformats.org/officeDocument/2006/relationships/queryTable" Target="../queryTables/queryTable41.xml"/><Relationship Id="rId262" Type="http://schemas.openxmlformats.org/officeDocument/2006/relationships/queryTable" Target="../queryTables/queryTable246.xml"/><Relationship Id="rId283" Type="http://schemas.openxmlformats.org/officeDocument/2006/relationships/queryTable" Target="../queryTables/queryTable267.xml"/><Relationship Id="rId318" Type="http://schemas.openxmlformats.org/officeDocument/2006/relationships/queryTable" Target="../queryTables/queryTable302.xml"/><Relationship Id="rId339" Type="http://schemas.openxmlformats.org/officeDocument/2006/relationships/queryTable" Target="../queryTables/queryTable323.xml"/><Relationship Id="rId78" Type="http://schemas.openxmlformats.org/officeDocument/2006/relationships/queryTable" Target="../queryTables/queryTable62.xml"/><Relationship Id="rId99" Type="http://schemas.openxmlformats.org/officeDocument/2006/relationships/queryTable" Target="../queryTables/queryTable83.xml"/><Relationship Id="rId101" Type="http://schemas.openxmlformats.org/officeDocument/2006/relationships/queryTable" Target="../queryTables/queryTable85.xml"/><Relationship Id="rId122" Type="http://schemas.openxmlformats.org/officeDocument/2006/relationships/queryTable" Target="../queryTables/queryTable106.xml"/><Relationship Id="rId143" Type="http://schemas.openxmlformats.org/officeDocument/2006/relationships/queryTable" Target="../queryTables/queryTable127.xml"/><Relationship Id="rId164" Type="http://schemas.openxmlformats.org/officeDocument/2006/relationships/queryTable" Target="../queryTables/queryTable148.xml"/><Relationship Id="rId185" Type="http://schemas.openxmlformats.org/officeDocument/2006/relationships/queryTable" Target="../queryTables/queryTable169.xml"/><Relationship Id="rId350" Type="http://schemas.openxmlformats.org/officeDocument/2006/relationships/queryTable" Target="../queryTables/queryTable334.xml"/><Relationship Id="rId371" Type="http://schemas.openxmlformats.org/officeDocument/2006/relationships/queryTable" Target="../queryTables/queryTable355.xml"/><Relationship Id="rId406" Type="http://schemas.openxmlformats.org/officeDocument/2006/relationships/queryTable" Target="../queryTables/queryTable390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4.xml"/><Relationship Id="rId392" Type="http://schemas.openxmlformats.org/officeDocument/2006/relationships/queryTable" Target="../queryTables/queryTable376.xml"/><Relationship Id="rId427" Type="http://schemas.openxmlformats.org/officeDocument/2006/relationships/queryTable" Target="../queryTables/queryTable411.xml"/><Relationship Id="rId448" Type="http://schemas.openxmlformats.org/officeDocument/2006/relationships/queryTable" Target="../queryTables/queryTable432.xml"/><Relationship Id="rId26" Type="http://schemas.openxmlformats.org/officeDocument/2006/relationships/queryTable" Target="../queryTables/queryTable10.xml"/><Relationship Id="rId231" Type="http://schemas.openxmlformats.org/officeDocument/2006/relationships/queryTable" Target="../queryTables/queryTable215.xml"/><Relationship Id="rId252" Type="http://schemas.openxmlformats.org/officeDocument/2006/relationships/queryTable" Target="../queryTables/queryTable236.xml"/><Relationship Id="rId273" Type="http://schemas.openxmlformats.org/officeDocument/2006/relationships/queryTable" Target="../queryTables/queryTable257.xml"/><Relationship Id="rId294" Type="http://schemas.openxmlformats.org/officeDocument/2006/relationships/queryTable" Target="../queryTables/queryTable278.xml"/><Relationship Id="rId308" Type="http://schemas.openxmlformats.org/officeDocument/2006/relationships/queryTable" Target="../queryTables/queryTable292.xml"/><Relationship Id="rId329" Type="http://schemas.openxmlformats.org/officeDocument/2006/relationships/queryTable" Target="../queryTables/queryTable313.xml"/><Relationship Id="rId47" Type="http://schemas.openxmlformats.org/officeDocument/2006/relationships/queryTable" Target="../queryTables/queryTable31.xml"/><Relationship Id="rId68" Type="http://schemas.openxmlformats.org/officeDocument/2006/relationships/queryTable" Target="../queryTables/queryTable52.xml"/><Relationship Id="rId89" Type="http://schemas.openxmlformats.org/officeDocument/2006/relationships/queryTable" Target="../queryTables/queryTable73.xml"/><Relationship Id="rId112" Type="http://schemas.openxmlformats.org/officeDocument/2006/relationships/queryTable" Target="../queryTables/queryTable96.xml"/><Relationship Id="rId133" Type="http://schemas.openxmlformats.org/officeDocument/2006/relationships/queryTable" Target="../queryTables/queryTable117.xml"/><Relationship Id="rId154" Type="http://schemas.openxmlformats.org/officeDocument/2006/relationships/queryTable" Target="../queryTables/queryTable138.xml"/><Relationship Id="rId175" Type="http://schemas.openxmlformats.org/officeDocument/2006/relationships/queryTable" Target="../queryTables/queryTable159.xml"/><Relationship Id="rId340" Type="http://schemas.openxmlformats.org/officeDocument/2006/relationships/queryTable" Target="../queryTables/queryTable324.xml"/><Relationship Id="rId361" Type="http://schemas.openxmlformats.org/officeDocument/2006/relationships/queryTable" Target="../queryTables/queryTable345.xml"/><Relationship Id="rId196" Type="http://schemas.openxmlformats.org/officeDocument/2006/relationships/queryTable" Target="../queryTables/queryTable180.xml"/><Relationship Id="rId200" Type="http://schemas.openxmlformats.org/officeDocument/2006/relationships/queryTable" Target="../queryTables/queryTable184.xml"/><Relationship Id="rId382" Type="http://schemas.openxmlformats.org/officeDocument/2006/relationships/queryTable" Target="../queryTables/queryTable366.xml"/><Relationship Id="rId417" Type="http://schemas.openxmlformats.org/officeDocument/2006/relationships/queryTable" Target="../queryTables/queryTable401.xml"/><Relationship Id="rId438" Type="http://schemas.openxmlformats.org/officeDocument/2006/relationships/queryTable" Target="../queryTables/queryTable422.xml"/><Relationship Id="rId459" Type="http://schemas.openxmlformats.org/officeDocument/2006/relationships/queryTable" Target="../queryTables/queryTable443.xml"/><Relationship Id="rId16" Type="http://schemas.openxmlformats.org/officeDocument/2006/relationships/ctrlProp" Target="../ctrlProps/ctrlProp3.xml"/><Relationship Id="rId221" Type="http://schemas.openxmlformats.org/officeDocument/2006/relationships/queryTable" Target="../queryTables/queryTable205.xml"/><Relationship Id="rId242" Type="http://schemas.openxmlformats.org/officeDocument/2006/relationships/queryTable" Target="../queryTables/queryTable226.xml"/><Relationship Id="rId263" Type="http://schemas.openxmlformats.org/officeDocument/2006/relationships/queryTable" Target="../queryTables/queryTable247.xml"/><Relationship Id="rId284" Type="http://schemas.openxmlformats.org/officeDocument/2006/relationships/queryTable" Target="../queryTables/queryTable268.xml"/><Relationship Id="rId319" Type="http://schemas.openxmlformats.org/officeDocument/2006/relationships/queryTable" Target="../queryTables/queryTable303.xml"/><Relationship Id="rId37" Type="http://schemas.openxmlformats.org/officeDocument/2006/relationships/queryTable" Target="../queryTables/queryTable21.xml"/><Relationship Id="rId58" Type="http://schemas.openxmlformats.org/officeDocument/2006/relationships/queryTable" Target="../queryTables/queryTable42.xml"/><Relationship Id="rId79" Type="http://schemas.openxmlformats.org/officeDocument/2006/relationships/queryTable" Target="../queryTables/queryTable63.xml"/><Relationship Id="rId102" Type="http://schemas.openxmlformats.org/officeDocument/2006/relationships/queryTable" Target="../queryTables/queryTable86.xml"/><Relationship Id="rId123" Type="http://schemas.openxmlformats.org/officeDocument/2006/relationships/queryTable" Target="../queryTables/queryTable107.xml"/><Relationship Id="rId144" Type="http://schemas.openxmlformats.org/officeDocument/2006/relationships/queryTable" Target="../queryTables/queryTable128.xml"/><Relationship Id="rId330" Type="http://schemas.openxmlformats.org/officeDocument/2006/relationships/queryTable" Target="../queryTables/queryTable314.xml"/><Relationship Id="rId90" Type="http://schemas.openxmlformats.org/officeDocument/2006/relationships/queryTable" Target="../queryTables/queryTable74.xml"/><Relationship Id="rId165" Type="http://schemas.openxmlformats.org/officeDocument/2006/relationships/queryTable" Target="../queryTables/queryTable149.xml"/><Relationship Id="rId186" Type="http://schemas.openxmlformats.org/officeDocument/2006/relationships/queryTable" Target="../queryTables/queryTable170.xml"/><Relationship Id="rId351" Type="http://schemas.openxmlformats.org/officeDocument/2006/relationships/queryTable" Target="../queryTables/queryTable335.xml"/><Relationship Id="rId372" Type="http://schemas.openxmlformats.org/officeDocument/2006/relationships/queryTable" Target="../queryTables/queryTable356.xml"/><Relationship Id="rId393" Type="http://schemas.openxmlformats.org/officeDocument/2006/relationships/queryTable" Target="../queryTables/queryTable377.xml"/><Relationship Id="rId407" Type="http://schemas.openxmlformats.org/officeDocument/2006/relationships/queryTable" Target="../queryTables/queryTable391.xml"/><Relationship Id="rId428" Type="http://schemas.openxmlformats.org/officeDocument/2006/relationships/queryTable" Target="../queryTables/queryTable412.xml"/><Relationship Id="rId449" Type="http://schemas.openxmlformats.org/officeDocument/2006/relationships/queryTable" Target="../queryTables/queryTable433.xml"/><Relationship Id="rId211" Type="http://schemas.openxmlformats.org/officeDocument/2006/relationships/queryTable" Target="../queryTables/queryTable195.xml"/><Relationship Id="rId232" Type="http://schemas.openxmlformats.org/officeDocument/2006/relationships/queryTable" Target="../queryTables/queryTable216.xml"/><Relationship Id="rId253" Type="http://schemas.openxmlformats.org/officeDocument/2006/relationships/queryTable" Target="../queryTables/queryTable237.xml"/><Relationship Id="rId274" Type="http://schemas.openxmlformats.org/officeDocument/2006/relationships/queryTable" Target="../queryTables/queryTable258.xml"/><Relationship Id="rId295" Type="http://schemas.openxmlformats.org/officeDocument/2006/relationships/queryTable" Target="../queryTables/queryTable279.xml"/><Relationship Id="rId309" Type="http://schemas.openxmlformats.org/officeDocument/2006/relationships/queryTable" Target="../queryTables/queryTable293.xml"/><Relationship Id="rId27" Type="http://schemas.openxmlformats.org/officeDocument/2006/relationships/queryTable" Target="../queryTables/queryTable11.xml"/><Relationship Id="rId48" Type="http://schemas.openxmlformats.org/officeDocument/2006/relationships/queryTable" Target="../queryTables/queryTable32.xml"/><Relationship Id="rId69" Type="http://schemas.openxmlformats.org/officeDocument/2006/relationships/queryTable" Target="../queryTables/queryTable53.xml"/><Relationship Id="rId113" Type="http://schemas.openxmlformats.org/officeDocument/2006/relationships/queryTable" Target="../queryTables/queryTable97.xml"/><Relationship Id="rId134" Type="http://schemas.openxmlformats.org/officeDocument/2006/relationships/queryTable" Target="../queryTables/queryTable118.xml"/><Relationship Id="rId320" Type="http://schemas.openxmlformats.org/officeDocument/2006/relationships/queryTable" Target="../queryTables/queryTable304.xml"/><Relationship Id="rId80" Type="http://schemas.openxmlformats.org/officeDocument/2006/relationships/queryTable" Target="../queryTables/queryTable64.xml"/><Relationship Id="rId155" Type="http://schemas.openxmlformats.org/officeDocument/2006/relationships/queryTable" Target="../queryTables/queryTable139.xml"/><Relationship Id="rId176" Type="http://schemas.openxmlformats.org/officeDocument/2006/relationships/queryTable" Target="../queryTables/queryTable160.xml"/><Relationship Id="rId197" Type="http://schemas.openxmlformats.org/officeDocument/2006/relationships/queryTable" Target="../queryTables/queryTable181.xml"/><Relationship Id="rId341" Type="http://schemas.openxmlformats.org/officeDocument/2006/relationships/queryTable" Target="../queryTables/queryTable325.xml"/><Relationship Id="rId362" Type="http://schemas.openxmlformats.org/officeDocument/2006/relationships/queryTable" Target="../queryTables/queryTable346.xml"/><Relationship Id="rId383" Type="http://schemas.openxmlformats.org/officeDocument/2006/relationships/queryTable" Target="../queryTables/queryTable367.xml"/><Relationship Id="rId418" Type="http://schemas.openxmlformats.org/officeDocument/2006/relationships/queryTable" Target="../queryTables/queryTable402.xml"/><Relationship Id="rId439" Type="http://schemas.openxmlformats.org/officeDocument/2006/relationships/queryTable" Target="../queryTables/queryTable423.xml"/><Relationship Id="rId201" Type="http://schemas.openxmlformats.org/officeDocument/2006/relationships/queryTable" Target="../queryTables/queryTable185.xml"/><Relationship Id="rId222" Type="http://schemas.openxmlformats.org/officeDocument/2006/relationships/queryTable" Target="../queryTables/queryTable206.xml"/><Relationship Id="rId243" Type="http://schemas.openxmlformats.org/officeDocument/2006/relationships/queryTable" Target="../queryTables/queryTable227.xml"/><Relationship Id="rId264" Type="http://schemas.openxmlformats.org/officeDocument/2006/relationships/queryTable" Target="../queryTables/queryTable248.xml"/><Relationship Id="rId285" Type="http://schemas.openxmlformats.org/officeDocument/2006/relationships/queryTable" Target="../queryTables/queryTable269.xml"/><Relationship Id="rId450" Type="http://schemas.openxmlformats.org/officeDocument/2006/relationships/queryTable" Target="../queryTables/queryTable434.xml"/><Relationship Id="rId17" Type="http://schemas.openxmlformats.org/officeDocument/2006/relationships/queryTable" Target="../queryTables/queryTable1.xml"/><Relationship Id="rId38" Type="http://schemas.openxmlformats.org/officeDocument/2006/relationships/queryTable" Target="../queryTables/queryTable22.xml"/><Relationship Id="rId59" Type="http://schemas.openxmlformats.org/officeDocument/2006/relationships/queryTable" Target="../queryTables/queryTable43.xml"/><Relationship Id="rId103" Type="http://schemas.openxmlformats.org/officeDocument/2006/relationships/queryTable" Target="../queryTables/queryTable87.xml"/><Relationship Id="rId124" Type="http://schemas.openxmlformats.org/officeDocument/2006/relationships/queryTable" Target="../queryTables/queryTable108.xml"/><Relationship Id="rId310" Type="http://schemas.openxmlformats.org/officeDocument/2006/relationships/queryTable" Target="../queryTables/queryTable294.xml"/><Relationship Id="rId70" Type="http://schemas.openxmlformats.org/officeDocument/2006/relationships/queryTable" Target="../queryTables/queryTable54.xml"/><Relationship Id="rId91" Type="http://schemas.openxmlformats.org/officeDocument/2006/relationships/queryTable" Target="../queryTables/queryTable75.xml"/><Relationship Id="rId145" Type="http://schemas.openxmlformats.org/officeDocument/2006/relationships/queryTable" Target="../queryTables/queryTable129.xml"/><Relationship Id="rId166" Type="http://schemas.openxmlformats.org/officeDocument/2006/relationships/queryTable" Target="../queryTables/queryTable150.xml"/><Relationship Id="rId187" Type="http://schemas.openxmlformats.org/officeDocument/2006/relationships/queryTable" Target="../queryTables/queryTable171.xml"/><Relationship Id="rId331" Type="http://schemas.openxmlformats.org/officeDocument/2006/relationships/queryTable" Target="../queryTables/queryTable315.xml"/><Relationship Id="rId352" Type="http://schemas.openxmlformats.org/officeDocument/2006/relationships/queryTable" Target="../queryTables/queryTable336.xml"/><Relationship Id="rId373" Type="http://schemas.openxmlformats.org/officeDocument/2006/relationships/queryTable" Target="../queryTables/queryTable357.xml"/><Relationship Id="rId394" Type="http://schemas.openxmlformats.org/officeDocument/2006/relationships/queryTable" Target="../queryTables/queryTable378.xml"/><Relationship Id="rId408" Type="http://schemas.openxmlformats.org/officeDocument/2006/relationships/queryTable" Target="../queryTables/queryTable392.xml"/><Relationship Id="rId429" Type="http://schemas.openxmlformats.org/officeDocument/2006/relationships/queryTable" Target="../queryTables/queryTable413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6.xml"/><Relationship Id="rId233" Type="http://schemas.openxmlformats.org/officeDocument/2006/relationships/queryTable" Target="../queryTables/queryTable217.xml"/><Relationship Id="rId254" Type="http://schemas.openxmlformats.org/officeDocument/2006/relationships/queryTable" Target="../queryTables/queryTable238.xml"/><Relationship Id="rId440" Type="http://schemas.openxmlformats.org/officeDocument/2006/relationships/queryTable" Target="../queryTables/queryTable424.xml"/><Relationship Id="rId28" Type="http://schemas.openxmlformats.org/officeDocument/2006/relationships/queryTable" Target="../queryTables/queryTable12.xml"/><Relationship Id="rId49" Type="http://schemas.openxmlformats.org/officeDocument/2006/relationships/queryTable" Target="../queryTables/queryTable33.xml"/><Relationship Id="rId114" Type="http://schemas.openxmlformats.org/officeDocument/2006/relationships/queryTable" Target="../queryTables/queryTable98.xml"/><Relationship Id="rId275" Type="http://schemas.openxmlformats.org/officeDocument/2006/relationships/queryTable" Target="../queryTables/queryTable259.xml"/><Relationship Id="rId296" Type="http://schemas.openxmlformats.org/officeDocument/2006/relationships/queryTable" Target="../queryTables/queryTable280.xml"/><Relationship Id="rId300" Type="http://schemas.openxmlformats.org/officeDocument/2006/relationships/queryTable" Target="../queryTables/queryTable284.xml"/><Relationship Id="rId60" Type="http://schemas.openxmlformats.org/officeDocument/2006/relationships/queryTable" Target="../queryTables/queryTable44.xml"/><Relationship Id="rId81" Type="http://schemas.openxmlformats.org/officeDocument/2006/relationships/queryTable" Target="../queryTables/queryTable65.xml"/><Relationship Id="rId135" Type="http://schemas.openxmlformats.org/officeDocument/2006/relationships/queryTable" Target="../queryTables/queryTable119.xml"/><Relationship Id="rId156" Type="http://schemas.openxmlformats.org/officeDocument/2006/relationships/queryTable" Target="../queryTables/queryTable140.xml"/><Relationship Id="rId177" Type="http://schemas.openxmlformats.org/officeDocument/2006/relationships/queryTable" Target="../queryTables/queryTable161.xml"/><Relationship Id="rId198" Type="http://schemas.openxmlformats.org/officeDocument/2006/relationships/queryTable" Target="../queryTables/queryTable182.xml"/><Relationship Id="rId321" Type="http://schemas.openxmlformats.org/officeDocument/2006/relationships/queryTable" Target="../queryTables/queryTable305.xml"/><Relationship Id="rId342" Type="http://schemas.openxmlformats.org/officeDocument/2006/relationships/queryTable" Target="../queryTables/queryTable326.xml"/><Relationship Id="rId363" Type="http://schemas.openxmlformats.org/officeDocument/2006/relationships/queryTable" Target="../queryTables/queryTable347.xml"/><Relationship Id="rId384" Type="http://schemas.openxmlformats.org/officeDocument/2006/relationships/queryTable" Target="../queryTables/queryTable368.xml"/><Relationship Id="rId419" Type="http://schemas.openxmlformats.org/officeDocument/2006/relationships/queryTable" Target="../queryTables/queryTable403.xml"/><Relationship Id="rId202" Type="http://schemas.openxmlformats.org/officeDocument/2006/relationships/queryTable" Target="../queryTables/queryTable186.xml"/><Relationship Id="rId223" Type="http://schemas.openxmlformats.org/officeDocument/2006/relationships/queryTable" Target="../queryTables/queryTable207.xml"/><Relationship Id="rId244" Type="http://schemas.openxmlformats.org/officeDocument/2006/relationships/queryTable" Target="../queryTables/queryTable228.xml"/><Relationship Id="rId430" Type="http://schemas.openxmlformats.org/officeDocument/2006/relationships/queryTable" Target="../queryTables/queryTable414.xml"/><Relationship Id="rId18" Type="http://schemas.openxmlformats.org/officeDocument/2006/relationships/queryTable" Target="../queryTables/queryTable2.xml"/><Relationship Id="rId39" Type="http://schemas.openxmlformats.org/officeDocument/2006/relationships/queryTable" Target="../queryTables/queryTable23.xml"/><Relationship Id="rId265" Type="http://schemas.openxmlformats.org/officeDocument/2006/relationships/queryTable" Target="../queryTables/queryTable249.xml"/><Relationship Id="rId286" Type="http://schemas.openxmlformats.org/officeDocument/2006/relationships/queryTable" Target="../queryTables/queryTable270.xml"/><Relationship Id="rId451" Type="http://schemas.openxmlformats.org/officeDocument/2006/relationships/queryTable" Target="../queryTables/queryTable435.xml"/><Relationship Id="rId50" Type="http://schemas.openxmlformats.org/officeDocument/2006/relationships/queryTable" Target="../queryTables/queryTable34.xml"/><Relationship Id="rId104" Type="http://schemas.openxmlformats.org/officeDocument/2006/relationships/queryTable" Target="../queryTables/queryTable88.xml"/><Relationship Id="rId125" Type="http://schemas.openxmlformats.org/officeDocument/2006/relationships/queryTable" Target="../queryTables/queryTable109.xml"/><Relationship Id="rId146" Type="http://schemas.openxmlformats.org/officeDocument/2006/relationships/queryTable" Target="../queryTables/queryTable130.xml"/><Relationship Id="rId167" Type="http://schemas.openxmlformats.org/officeDocument/2006/relationships/queryTable" Target="../queryTables/queryTable151.xml"/><Relationship Id="rId188" Type="http://schemas.openxmlformats.org/officeDocument/2006/relationships/queryTable" Target="../queryTables/queryTable172.xml"/><Relationship Id="rId311" Type="http://schemas.openxmlformats.org/officeDocument/2006/relationships/queryTable" Target="../queryTables/queryTable295.xml"/><Relationship Id="rId332" Type="http://schemas.openxmlformats.org/officeDocument/2006/relationships/queryTable" Target="../queryTables/queryTable316.xml"/><Relationship Id="rId353" Type="http://schemas.openxmlformats.org/officeDocument/2006/relationships/queryTable" Target="../queryTables/queryTable337.xml"/><Relationship Id="rId374" Type="http://schemas.openxmlformats.org/officeDocument/2006/relationships/queryTable" Target="../queryTables/queryTable358.xml"/><Relationship Id="rId395" Type="http://schemas.openxmlformats.org/officeDocument/2006/relationships/queryTable" Target="../queryTables/queryTable379.xml"/><Relationship Id="rId409" Type="http://schemas.openxmlformats.org/officeDocument/2006/relationships/queryTable" Target="../queryTables/queryTable393.xml"/><Relationship Id="rId71" Type="http://schemas.openxmlformats.org/officeDocument/2006/relationships/queryTable" Target="../queryTables/queryTable55.xml"/><Relationship Id="rId92" Type="http://schemas.openxmlformats.org/officeDocument/2006/relationships/queryTable" Target="../queryTables/queryTable76.xml"/><Relationship Id="rId213" Type="http://schemas.openxmlformats.org/officeDocument/2006/relationships/queryTable" Target="../queryTables/queryTable197.xml"/><Relationship Id="rId234" Type="http://schemas.openxmlformats.org/officeDocument/2006/relationships/queryTable" Target="../queryTables/queryTable218.xml"/><Relationship Id="rId420" Type="http://schemas.openxmlformats.org/officeDocument/2006/relationships/queryTable" Target="../queryTables/queryTable40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3.xml"/><Relationship Id="rId255" Type="http://schemas.openxmlformats.org/officeDocument/2006/relationships/queryTable" Target="../queryTables/queryTable239.xml"/><Relationship Id="rId276" Type="http://schemas.openxmlformats.org/officeDocument/2006/relationships/queryTable" Target="../queryTables/queryTable260.xml"/><Relationship Id="rId297" Type="http://schemas.openxmlformats.org/officeDocument/2006/relationships/queryTable" Target="../queryTables/queryTable281.xml"/><Relationship Id="rId441" Type="http://schemas.openxmlformats.org/officeDocument/2006/relationships/queryTable" Target="../queryTables/queryTable425.xml"/><Relationship Id="rId40" Type="http://schemas.openxmlformats.org/officeDocument/2006/relationships/queryTable" Target="../queryTables/queryTable24.xml"/><Relationship Id="rId115" Type="http://schemas.openxmlformats.org/officeDocument/2006/relationships/queryTable" Target="../queryTables/queryTable99.xml"/><Relationship Id="rId136" Type="http://schemas.openxmlformats.org/officeDocument/2006/relationships/queryTable" Target="../queryTables/queryTable120.xml"/><Relationship Id="rId157" Type="http://schemas.openxmlformats.org/officeDocument/2006/relationships/queryTable" Target="../queryTables/queryTable141.xml"/><Relationship Id="rId178" Type="http://schemas.openxmlformats.org/officeDocument/2006/relationships/queryTable" Target="../queryTables/queryTable162.xml"/><Relationship Id="rId301" Type="http://schemas.openxmlformats.org/officeDocument/2006/relationships/queryTable" Target="../queryTables/queryTable285.xml"/><Relationship Id="rId322" Type="http://schemas.openxmlformats.org/officeDocument/2006/relationships/queryTable" Target="../queryTables/queryTable306.xml"/><Relationship Id="rId343" Type="http://schemas.openxmlformats.org/officeDocument/2006/relationships/queryTable" Target="../queryTables/queryTable327.xml"/><Relationship Id="rId364" Type="http://schemas.openxmlformats.org/officeDocument/2006/relationships/queryTable" Target="../queryTables/queryTable348.xml"/><Relationship Id="rId61" Type="http://schemas.openxmlformats.org/officeDocument/2006/relationships/queryTable" Target="../queryTables/queryTable45.xml"/><Relationship Id="rId82" Type="http://schemas.openxmlformats.org/officeDocument/2006/relationships/queryTable" Target="../queryTables/queryTable66.xml"/><Relationship Id="rId199" Type="http://schemas.openxmlformats.org/officeDocument/2006/relationships/queryTable" Target="../queryTables/queryTable183.xml"/><Relationship Id="rId203" Type="http://schemas.openxmlformats.org/officeDocument/2006/relationships/queryTable" Target="../queryTables/queryTable187.xml"/><Relationship Id="rId385" Type="http://schemas.openxmlformats.org/officeDocument/2006/relationships/queryTable" Target="../queryTables/queryTable369.xml"/><Relationship Id="rId19" Type="http://schemas.openxmlformats.org/officeDocument/2006/relationships/queryTable" Target="../queryTables/queryTable3.xml"/><Relationship Id="rId224" Type="http://schemas.openxmlformats.org/officeDocument/2006/relationships/queryTable" Target="../queryTables/queryTable208.xml"/><Relationship Id="rId245" Type="http://schemas.openxmlformats.org/officeDocument/2006/relationships/queryTable" Target="../queryTables/queryTable229.xml"/><Relationship Id="rId266" Type="http://schemas.openxmlformats.org/officeDocument/2006/relationships/queryTable" Target="../queryTables/queryTable250.xml"/><Relationship Id="rId287" Type="http://schemas.openxmlformats.org/officeDocument/2006/relationships/queryTable" Target="../queryTables/queryTable271.xml"/><Relationship Id="rId410" Type="http://schemas.openxmlformats.org/officeDocument/2006/relationships/queryTable" Target="../queryTables/queryTable394.xml"/><Relationship Id="rId431" Type="http://schemas.openxmlformats.org/officeDocument/2006/relationships/queryTable" Target="../queryTables/queryTable415.xml"/><Relationship Id="rId452" Type="http://schemas.openxmlformats.org/officeDocument/2006/relationships/queryTable" Target="../queryTables/queryTable436.xml"/><Relationship Id="rId30" Type="http://schemas.openxmlformats.org/officeDocument/2006/relationships/queryTable" Target="../queryTables/queryTable14.xml"/><Relationship Id="rId105" Type="http://schemas.openxmlformats.org/officeDocument/2006/relationships/queryTable" Target="../queryTables/queryTable89.xml"/><Relationship Id="rId126" Type="http://schemas.openxmlformats.org/officeDocument/2006/relationships/queryTable" Target="../queryTables/queryTable110.xml"/><Relationship Id="rId147" Type="http://schemas.openxmlformats.org/officeDocument/2006/relationships/queryTable" Target="../queryTables/queryTable131.xml"/><Relationship Id="rId168" Type="http://schemas.openxmlformats.org/officeDocument/2006/relationships/queryTable" Target="../queryTables/queryTable152.xml"/><Relationship Id="rId312" Type="http://schemas.openxmlformats.org/officeDocument/2006/relationships/queryTable" Target="../queryTables/queryTable296.xml"/><Relationship Id="rId333" Type="http://schemas.openxmlformats.org/officeDocument/2006/relationships/queryTable" Target="../queryTables/queryTable317.xml"/><Relationship Id="rId354" Type="http://schemas.openxmlformats.org/officeDocument/2006/relationships/queryTable" Target="../queryTables/queryTable338.xml"/><Relationship Id="rId51" Type="http://schemas.openxmlformats.org/officeDocument/2006/relationships/queryTable" Target="../queryTables/queryTable35.xml"/><Relationship Id="rId72" Type="http://schemas.openxmlformats.org/officeDocument/2006/relationships/queryTable" Target="../queryTables/queryTable56.xml"/><Relationship Id="rId93" Type="http://schemas.openxmlformats.org/officeDocument/2006/relationships/queryTable" Target="../queryTables/queryTable77.xml"/><Relationship Id="rId189" Type="http://schemas.openxmlformats.org/officeDocument/2006/relationships/queryTable" Target="../queryTables/queryTable173.xml"/><Relationship Id="rId375" Type="http://schemas.openxmlformats.org/officeDocument/2006/relationships/queryTable" Target="../queryTables/queryTable359.xml"/><Relationship Id="rId396" Type="http://schemas.openxmlformats.org/officeDocument/2006/relationships/queryTable" Target="../queryTables/queryTable380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8.xml"/><Relationship Id="rId235" Type="http://schemas.openxmlformats.org/officeDocument/2006/relationships/queryTable" Target="../queryTables/queryTable219.xml"/><Relationship Id="rId256" Type="http://schemas.openxmlformats.org/officeDocument/2006/relationships/queryTable" Target="../queryTables/queryTable240.xml"/><Relationship Id="rId277" Type="http://schemas.openxmlformats.org/officeDocument/2006/relationships/queryTable" Target="../queryTables/queryTable261.xml"/><Relationship Id="rId298" Type="http://schemas.openxmlformats.org/officeDocument/2006/relationships/queryTable" Target="../queryTables/queryTable282.xml"/><Relationship Id="rId400" Type="http://schemas.openxmlformats.org/officeDocument/2006/relationships/queryTable" Target="../queryTables/queryTable384.xml"/><Relationship Id="rId421" Type="http://schemas.openxmlformats.org/officeDocument/2006/relationships/queryTable" Target="../queryTables/queryTable405.xml"/><Relationship Id="rId442" Type="http://schemas.openxmlformats.org/officeDocument/2006/relationships/queryTable" Target="../queryTables/queryTable426.xml"/><Relationship Id="rId116" Type="http://schemas.openxmlformats.org/officeDocument/2006/relationships/queryTable" Target="../queryTables/queryTable100.xml"/><Relationship Id="rId137" Type="http://schemas.openxmlformats.org/officeDocument/2006/relationships/queryTable" Target="../queryTables/queryTable121.xml"/><Relationship Id="rId158" Type="http://schemas.openxmlformats.org/officeDocument/2006/relationships/queryTable" Target="../queryTables/queryTable142.xml"/><Relationship Id="rId302" Type="http://schemas.openxmlformats.org/officeDocument/2006/relationships/queryTable" Target="../queryTables/queryTable286.xml"/><Relationship Id="rId323" Type="http://schemas.openxmlformats.org/officeDocument/2006/relationships/queryTable" Target="../queryTables/queryTable307.xml"/><Relationship Id="rId344" Type="http://schemas.openxmlformats.org/officeDocument/2006/relationships/queryTable" Target="../queryTables/queryTable328.xml"/><Relationship Id="rId20" Type="http://schemas.openxmlformats.org/officeDocument/2006/relationships/queryTable" Target="../queryTables/queryTable4.xml"/><Relationship Id="rId41" Type="http://schemas.openxmlformats.org/officeDocument/2006/relationships/queryTable" Target="../queryTables/queryTable25.xml"/><Relationship Id="rId62" Type="http://schemas.openxmlformats.org/officeDocument/2006/relationships/queryTable" Target="../queryTables/queryTable46.xml"/><Relationship Id="rId83" Type="http://schemas.openxmlformats.org/officeDocument/2006/relationships/queryTable" Target="../queryTables/queryTable67.xml"/><Relationship Id="rId179" Type="http://schemas.openxmlformats.org/officeDocument/2006/relationships/queryTable" Target="../queryTables/queryTable163.xml"/><Relationship Id="rId365" Type="http://schemas.openxmlformats.org/officeDocument/2006/relationships/queryTable" Target="../queryTables/queryTable349.xml"/><Relationship Id="rId386" Type="http://schemas.openxmlformats.org/officeDocument/2006/relationships/queryTable" Target="../queryTables/queryTable370.xml"/><Relationship Id="rId190" Type="http://schemas.openxmlformats.org/officeDocument/2006/relationships/queryTable" Target="../queryTables/queryTable174.xml"/><Relationship Id="rId204" Type="http://schemas.openxmlformats.org/officeDocument/2006/relationships/queryTable" Target="../queryTables/queryTable188.xml"/><Relationship Id="rId225" Type="http://schemas.openxmlformats.org/officeDocument/2006/relationships/queryTable" Target="../queryTables/queryTable209.xml"/><Relationship Id="rId246" Type="http://schemas.openxmlformats.org/officeDocument/2006/relationships/queryTable" Target="../queryTables/queryTable230.xml"/><Relationship Id="rId267" Type="http://schemas.openxmlformats.org/officeDocument/2006/relationships/queryTable" Target="../queryTables/queryTable251.xml"/><Relationship Id="rId288" Type="http://schemas.openxmlformats.org/officeDocument/2006/relationships/queryTable" Target="../queryTables/queryTable272.xml"/><Relationship Id="rId411" Type="http://schemas.openxmlformats.org/officeDocument/2006/relationships/queryTable" Target="../queryTables/queryTable395.xml"/><Relationship Id="rId432" Type="http://schemas.openxmlformats.org/officeDocument/2006/relationships/queryTable" Target="../queryTables/queryTable416.xml"/><Relationship Id="rId453" Type="http://schemas.openxmlformats.org/officeDocument/2006/relationships/queryTable" Target="../queryTables/queryTable437.xml"/><Relationship Id="rId106" Type="http://schemas.openxmlformats.org/officeDocument/2006/relationships/queryTable" Target="../queryTables/queryTable90.xml"/><Relationship Id="rId127" Type="http://schemas.openxmlformats.org/officeDocument/2006/relationships/queryTable" Target="../queryTables/queryTable111.xml"/><Relationship Id="rId313" Type="http://schemas.openxmlformats.org/officeDocument/2006/relationships/queryTable" Target="../queryTables/queryTable297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5.xml"/><Relationship Id="rId52" Type="http://schemas.openxmlformats.org/officeDocument/2006/relationships/queryTable" Target="../queryTables/queryTable36.xml"/><Relationship Id="rId73" Type="http://schemas.openxmlformats.org/officeDocument/2006/relationships/queryTable" Target="../queryTables/queryTable57.xml"/><Relationship Id="rId94" Type="http://schemas.openxmlformats.org/officeDocument/2006/relationships/queryTable" Target="../queryTables/queryTable78.xml"/><Relationship Id="rId148" Type="http://schemas.openxmlformats.org/officeDocument/2006/relationships/queryTable" Target="../queryTables/queryTable132.xml"/><Relationship Id="rId169" Type="http://schemas.openxmlformats.org/officeDocument/2006/relationships/queryTable" Target="../queryTables/queryTable153.xml"/><Relationship Id="rId334" Type="http://schemas.openxmlformats.org/officeDocument/2006/relationships/queryTable" Target="../queryTables/queryTable318.xml"/><Relationship Id="rId355" Type="http://schemas.openxmlformats.org/officeDocument/2006/relationships/queryTable" Target="../queryTables/queryTable339.xml"/><Relationship Id="rId376" Type="http://schemas.openxmlformats.org/officeDocument/2006/relationships/queryTable" Target="../queryTables/queryTable360.xml"/><Relationship Id="rId397" Type="http://schemas.openxmlformats.org/officeDocument/2006/relationships/queryTable" Target="../queryTables/queryTable381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4.xml"/><Relationship Id="rId215" Type="http://schemas.openxmlformats.org/officeDocument/2006/relationships/queryTable" Target="../queryTables/queryTable199.xml"/><Relationship Id="rId236" Type="http://schemas.openxmlformats.org/officeDocument/2006/relationships/queryTable" Target="../queryTables/queryTable220.xml"/><Relationship Id="rId257" Type="http://schemas.openxmlformats.org/officeDocument/2006/relationships/queryTable" Target="../queryTables/queryTable241.xml"/><Relationship Id="rId278" Type="http://schemas.openxmlformats.org/officeDocument/2006/relationships/queryTable" Target="../queryTables/queryTable262.xml"/><Relationship Id="rId401" Type="http://schemas.openxmlformats.org/officeDocument/2006/relationships/queryTable" Target="../queryTables/queryTable385.xml"/><Relationship Id="rId422" Type="http://schemas.openxmlformats.org/officeDocument/2006/relationships/queryTable" Target="../queryTables/queryTable406.xml"/><Relationship Id="rId443" Type="http://schemas.openxmlformats.org/officeDocument/2006/relationships/queryTable" Target="../queryTables/queryTable427.xml"/><Relationship Id="rId303" Type="http://schemas.openxmlformats.org/officeDocument/2006/relationships/queryTable" Target="../queryTables/queryTable287.xml"/><Relationship Id="rId42" Type="http://schemas.openxmlformats.org/officeDocument/2006/relationships/queryTable" Target="../queryTables/queryTable26.xml"/><Relationship Id="rId84" Type="http://schemas.openxmlformats.org/officeDocument/2006/relationships/queryTable" Target="../queryTables/queryTable68.xml"/><Relationship Id="rId138" Type="http://schemas.openxmlformats.org/officeDocument/2006/relationships/queryTable" Target="../queryTables/queryTable122.xml"/><Relationship Id="rId345" Type="http://schemas.openxmlformats.org/officeDocument/2006/relationships/queryTable" Target="../queryTables/queryTable329.xml"/><Relationship Id="rId387" Type="http://schemas.openxmlformats.org/officeDocument/2006/relationships/queryTable" Target="../queryTables/queryTable371.xml"/><Relationship Id="rId191" Type="http://schemas.openxmlformats.org/officeDocument/2006/relationships/queryTable" Target="../queryTables/queryTable175.xml"/><Relationship Id="rId205" Type="http://schemas.openxmlformats.org/officeDocument/2006/relationships/queryTable" Target="../queryTables/queryTable189.xml"/><Relationship Id="rId247" Type="http://schemas.openxmlformats.org/officeDocument/2006/relationships/queryTable" Target="../queryTables/queryTable231.xml"/><Relationship Id="rId412" Type="http://schemas.openxmlformats.org/officeDocument/2006/relationships/queryTable" Target="../queryTables/queryTable396.xml"/><Relationship Id="rId107" Type="http://schemas.openxmlformats.org/officeDocument/2006/relationships/queryTable" Target="../queryTables/queryTable91.xml"/><Relationship Id="rId289" Type="http://schemas.openxmlformats.org/officeDocument/2006/relationships/queryTable" Target="../queryTables/queryTable273.xml"/><Relationship Id="rId454" Type="http://schemas.openxmlformats.org/officeDocument/2006/relationships/queryTable" Target="../queryTables/queryTable438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7.xml"/><Relationship Id="rId149" Type="http://schemas.openxmlformats.org/officeDocument/2006/relationships/queryTable" Target="../queryTables/queryTable133.xml"/><Relationship Id="rId314" Type="http://schemas.openxmlformats.org/officeDocument/2006/relationships/queryTable" Target="../queryTables/queryTable298.xml"/><Relationship Id="rId356" Type="http://schemas.openxmlformats.org/officeDocument/2006/relationships/queryTable" Target="../queryTables/queryTable340.xml"/><Relationship Id="rId398" Type="http://schemas.openxmlformats.org/officeDocument/2006/relationships/queryTable" Target="../queryTables/queryTable382.xml"/><Relationship Id="rId95" Type="http://schemas.openxmlformats.org/officeDocument/2006/relationships/queryTable" Target="../queryTables/queryTable79.xml"/><Relationship Id="rId160" Type="http://schemas.openxmlformats.org/officeDocument/2006/relationships/queryTable" Target="../queryTables/queryTable144.xml"/><Relationship Id="rId216" Type="http://schemas.openxmlformats.org/officeDocument/2006/relationships/queryTable" Target="../queryTables/queryTable200.xml"/><Relationship Id="rId423" Type="http://schemas.openxmlformats.org/officeDocument/2006/relationships/queryTable" Target="../queryTables/queryTable407.xml"/><Relationship Id="rId258" Type="http://schemas.openxmlformats.org/officeDocument/2006/relationships/queryTable" Target="../queryTables/queryTable242.xml"/><Relationship Id="rId22" Type="http://schemas.openxmlformats.org/officeDocument/2006/relationships/queryTable" Target="../queryTables/queryTable6.xml"/><Relationship Id="rId64" Type="http://schemas.openxmlformats.org/officeDocument/2006/relationships/queryTable" Target="../queryTables/queryTable48.xml"/><Relationship Id="rId118" Type="http://schemas.openxmlformats.org/officeDocument/2006/relationships/queryTable" Target="../queryTables/queryTable102.xml"/><Relationship Id="rId325" Type="http://schemas.openxmlformats.org/officeDocument/2006/relationships/queryTable" Target="../queryTables/queryTable309.xml"/><Relationship Id="rId367" Type="http://schemas.openxmlformats.org/officeDocument/2006/relationships/queryTable" Target="../queryTables/queryTable351.xml"/><Relationship Id="rId171" Type="http://schemas.openxmlformats.org/officeDocument/2006/relationships/queryTable" Target="../queryTables/queryTable155.xml"/><Relationship Id="rId227" Type="http://schemas.openxmlformats.org/officeDocument/2006/relationships/queryTable" Target="../queryTables/queryTable211.xml"/><Relationship Id="rId269" Type="http://schemas.openxmlformats.org/officeDocument/2006/relationships/queryTable" Target="../queryTables/queryTable253.xml"/><Relationship Id="rId434" Type="http://schemas.openxmlformats.org/officeDocument/2006/relationships/queryTable" Target="../queryTables/queryTable418.xml"/><Relationship Id="rId33" Type="http://schemas.openxmlformats.org/officeDocument/2006/relationships/queryTable" Target="../queryTables/queryTable17.xml"/><Relationship Id="rId129" Type="http://schemas.openxmlformats.org/officeDocument/2006/relationships/queryTable" Target="../queryTables/queryTable113.xml"/><Relationship Id="rId280" Type="http://schemas.openxmlformats.org/officeDocument/2006/relationships/queryTable" Target="../queryTables/queryTable264.xml"/><Relationship Id="rId336" Type="http://schemas.openxmlformats.org/officeDocument/2006/relationships/queryTable" Target="../queryTables/queryTable320.xml"/><Relationship Id="rId75" Type="http://schemas.openxmlformats.org/officeDocument/2006/relationships/queryTable" Target="../queryTables/queryTable59.xml"/><Relationship Id="rId140" Type="http://schemas.openxmlformats.org/officeDocument/2006/relationships/queryTable" Target="../queryTables/queryTable124.xml"/><Relationship Id="rId182" Type="http://schemas.openxmlformats.org/officeDocument/2006/relationships/queryTable" Target="../queryTables/queryTable166.xml"/><Relationship Id="rId378" Type="http://schemas.openxmlformats.org/officeDocument/2006/relationships/queryTable" Target="../queryTables/queryTable362.xml"/><Relationship Id="rId403" Type="http://schemas.openxmlformats.org/officeDocument/2006/relationships/queryTable" Target="../queryTables/queryTable387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2.xml"/><Relationship Id="rId445" Type="http://schemas.openxmlformats.org/officeDocument/2006/relationships/queryTable" Target="../queryTables/queryTable42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zoomScaleNormal="100" workbookViewId="0">
      <selection activeCell="F5" sqref="F5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44" bestFit="1" customWidth="1"/>
    <col min="4" max="4" width="6.28515625" style="1" customWidth="1"/>
    <col min="5" max="5" width="14.1406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9</v>
      </c>
    </row>
    <row r="2" spans="2:27" ht="3" customHeight="1">
      <c r="D2" s="2"/>
      <c r="AA2" s="1">
        <v>0</v>
      </c>
    </row>
    <row r="3" spans="2:27" ht="3" customHeight="1">
      <c r="D3" s="44"/>
    </row>
    <row r="4" spans="2:27" ht="21">
      <c r="B4" s="42"/>
      <c r="D4" s="44"/>
    </row>
    <row r="5" spans="2:27">
      <c r="B5" s="43"/>
      <c r="D5" s="44"/>
    </row>
    <row r="6" spans="2:27">
      <c r="D6" s="44"/>
    </row>
    <row r="7" spans="2:27">
      <c r="D7" s="44"/>
    </row>
    <row r="8" spans="2:27">
      <c r="D8" s="44"/>
    </row>
    <row r="12" spans="2:27">
      <c r="D12" s="45"/>
    </row>
    <row r="13" spans="2:27">
      <c r="C13" s="1"/>
    </row>
    <row r="17" spans="2:9" ht="16.5" customHeight="1"/>
    <row r="23" spans="2:9" ht="15.75" thickBot="1">
      <c r="I23" s="8"/>
    </row>
    <row r="24" spans="2:9" ht="21.75" thickBot="1">
      <c r="B24" s="42"/>
      <c r="C24" s="47" t="s">
        <v>14</v>
      </c>
      <c r="D24" s="106" t="s">
        <v>170</v>
      </c>
      <c r="I24" s="8"/>
    </row>
    <row r="25" spans="2:9" ht="21.75" thickBot="1">
      <c r="B25" s="43"/>
      <c r="C25" s="46" t="s">
        <v>16</v>
      </c>
      <c r="D25" s="109" t="s">
        <v>171</v>
      </c>
      <c r="E25" s="1" t="s">
        <v>115</v>
      </c>
      <c r="I25" s="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OptionButton1">
          <controlPr defaultSize="0" autoLine="0" r:id="rId5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4" name="OptionButton1"/>
      </mc:Fallback>
    </mc:AlternateContent>
    <mc:AlternateContent xmlns:mc="http://schemas.openxmlformats.org/markup-compatibility/2006">
      <mc:Choice Requires="x14">
        <control shapeId="1064" r:id="rId6" name="OptionButton2">
          <controlPr defaultSize="0" autoLine="0" r:id="rId7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6" name="OptionButton2"/>
      </mc:Fallback>
    </mc:AlternateContent>
    <mc:AlternateContent xmlns:mc="http://schemas.openxmlformats.org/markup-compatibility/2006">
      <mc:Choice Requires="x14">
        <control shapeId="1090" r:id="rId8" name="CheckBox9">
          <controlPr defaultSize="0" autoLine="0" r:id="rId9">
            <anchor moveWithCells="1">
              <from>
                <xdr:col>2</xdr:col>
                <xdr:colOff>209550</xdr:colOff>
                <xdr:row>9</xdr:row>
                <xdr:rowOff>114300</xdr:rowOff>
              </from>
              <to>
                <xdr:col>2</xdr:col>
                <xdr:colOff>1219200</xdr:colOff>
                <xdr:row>11</xdr:row>
                <xdr:rowOff>0</xdr:rowOff>
              </to>
            </anchor>
          </controlPr>
        </control>
      </mc:Choice>
      <mc:Fallback>
        <control shapeId="1090" r:id="rId8" name="CheckBox9"/>
      </mc:Fallback>
    </mc:AlternateContent>
    <mc:AlternateContent xmlns:mc="http://schemas.openxmlformats.org/markup-compatibility/2006">
      <mc:Choice Requires="x14">
        <control shapeId="1091" r:id="rId10" name="CheckBox10">
          <controlPr defaultSize="0" autoLine="0" r:id="rId11">
            <anchor moveWithCells="1">
              <from>
                <xdr:col>2</xdr:col>
                <xdr:colOff>180975</xdr:colOff>
                <xdr:row>12</xdr:row>
                <xdr:rowOff>28575</xdr:rowOff>
              </from>
              <to>
                <xdr:col>2</xdr:col>
                <xdr:colOff>1247775</xdr:colOff>
                <xdr:row>13</xdr:row>
                <xdr:rowOff>85725</xdr:rowOff>
              </to>
            </anchor>
          </controlPr>
        </control>
      </mc:Choice>
      <mc:Fallback>
        <control shapeId="1091" r:id="rId10" name="CheckBox10"/>
      </mc:Fallback>
    </mc:AlternateContent>
    <mc:AlternateContent xmlns:mc="http://schemas.openxmlformats.org/markup-compatibility/2006">
      <mc:Choice Requires="x14">
        <control shapeId="1093" r:id="rId12" name="CheckBox1">
          <controlPr defaultSize="0" autoLine="0" r:id="rId13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4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1093" r:id="rId12" name="CheckBox1"/>
      </mc:Fallback>
    </mc:AlternateContent>
    <mc:AlternateContent xmlns:mc="http://schemas.openxmlformats.org/markup-compatibility/2006">
      <mc:Choice Requires="x14">
        <control shapeId="1033" r:id="rId14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1457325</xdr:colOff>
                <xdr:row>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5" name="Group Box 58">
          <controlPr defaultSize="0" autoFill="0" autoPict="0">
            <anchor moveWithCells="1">
              <from>
                <xdr:col>2</xdr:col>
                <xdr:colOff>57150</xdr:colOff>
                <xdr:row>8</xdr:row>
                <xdr:rowOff>66675</xdr:rowOff>
              </from>
              <to>
                <xdr:col>2</xdr:col>
                <xdr:colOff>1457325</xdr:colOff>
                <xdr:row>14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6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685800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XEV1048517"/>
  <sheetViews>
    <sheetView showGridLines="0" zoomScale="70" zoomScaleNormal="70" workbookViewId="0">
      <selection sqref="A1:C2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2" width="16.28515625" style="3" bestFit="1" customWidth="1"/>
    <col min="23" max="23" width="9.7109375" style="3" bestFit="1" customWidth="1"/>
    <col min="24" max="24" width="16.28515625" style="3" bestFit="1" customWidth="1"/>
    <col min="25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47" width="16.28515625" bestFit="1" customWidth="1"/>
    <col min="48" max="51" width="16.28515625" style="3" bestFit="1" customWidth="1"/>
    <col min="52" max="52" width="9.7109375" style="3" bestFit="1" customWidth="1"/>
    <col min="53" max="53" width="16.28515625" style="3" bestFit="1" customWidth="1"/>
    <col min="54" max="55" width="9.7109375" style="3" bestFit="1" customWidth="1"/>
    <col min="56" max="59" width="16.28515625" style="3" bestFit="1" customWidth="1"/>
    <col min="60" max="61" width="9.7109375" style="3" bestFit="1" customWidth="1"/>
    <col min="62" max="64" width="16.28515625" style="3" bestFit="1" customWidth="1"/>
    <col min="65" max="65" width="9.7109375" style="3" bestFit="1" customWidth="1"/>
    <col min="66" max="66" width="16.28515625" style="3" bestFit="1" customWidth="1"/>
    <col min="67" max="67" width="9.7109375" style="3" bestFit="1" customWidth="1"/>
    <col min="68" max="70" width="16.28515625" style="3" bestFit="1" customWidth="1"/>
    <col min="71" max="71" width="9.7109375" style="3" bestFit="1" customWidth="1"/>
    <col min="72" max="72" width="16.28515625" style="3" bestFit="1" customWidth="1"/>
    <col min="73" max="73" width="9.7109375" style="3" bestFit="1" customWidth="1"/>
    <col min="74" max="79" width="16.28515625" style="3" bestFit="1" customWidth="1"/>
    <col min="80" max="84" width="9.7109375" style="3" bestFit="1" customWidth="1"/>
    <col min="85" max="16384" width="11.42578125" style="3"/>
  </cols>
  <sheetData>
    <row r="1" spans="1:84" thickBot="1">
      <c r="A1" s="112"/>
      <c r="B1" s="113"/>
      <c r="C1" s="114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M1" s="9"/>
      <c r="AN1" s="9"/>
      <c r="AO1" s="9"/>
      <c r="AP1" s="9"/>
      <c r="AQ1" s="9"/>
      <c r="AR1" s="9"/>
      <c r="AS1" s="9"/>
      <c r="AT1" s="9"/>
      <c r="AU1" s="9"/>
      <c r="AV1" s="9"/>
      <c r="AW1" s="6"/>
      <c r="AX1" s="6"/>
      <c r="AY1" s="6"/>
      <c r="AZ1" s="6"/>
      <c r="BA1" s="6"/>
    </row>
    <row r="2" spans="1:84" thickBot="1">
      <c r="A2" s="115"/>
      <c r="B2" s="116"/>
      <c r="C2" s="117"/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</row>
    <row r="3" spans="1:84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</row>
    <row r="4" spans="1:84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</row>
    <row r="5" spans="1:84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</row>
    <row r="6" spans="1:84" thickBot="1">
      <c r="A6" s="80" t="s">
        <v>3</v>
      </c>
      <c r="B6" s="79" t="s">
        <v>4</v>
      </c>
      <c r="C6" s="81" t="s">
        <v>5</v>
      </c>
      <c r="D6" s="54">
        <v>78</v>
      </c>
      <c r="E6" s="65">
        <v>0</v>
      </c>
      <c r="F6" s="65">
        <v>0</v>
      </c>
      <c r="G6" s="94">
        <v>7998.8146096783221</v>
      </c>
      <c r="H6" s="94">
        <v>4008.4513615213441</v>
      </c>
      <c r="I6" s="95">
        <v>0.91025641025600001</v>
      </c>
      <c r="J6" s="54">
        <v>71</v>
      </c>
      <c r="K6" s="54">
        <v>78</v>
      </c>
      <c r="L6" s="54">
        <v>19149.549807010801</v>
      </c>
      <c r="M6" s="54">
        <v>3100</v>
      </c>
      <c r="N6" s="54"/>
      <c r="O6" s="54"/>
      <c r="P6" s="54">
        <v>13050</v>
      </c>
      <c r="Q6" s="54"/>
      <c r="R6" s="54"/>
      <c r="S6" s="55">
        <v>79</v>
      </c>
      <c r="T6" s="55">
        <v>0</v>
      </c>
      <c r="U6" s="55">
        <v>4</v>
      </c>
      <c r="V6" s="96">
        <v>1618.5722991420976</v>
      </c>
      <c r="W6" s="97">
        <v>1039.7288281258898</v>
      </c>
      <c r="X6" s="55">
        <v>4020.62407206936</v>
      </c>
      <c r="Y6" s="55">
        <v>637.5</v>
      </c>
      <c r="Z6" s="55"/>
      <c r="AA6" s="55"/>
      <c r="AB6" s="55">
        <v>3375</v>
      </c>
      <c r="AC6" s="55"/>
      <c r="AD6" s="55"/>
      <c r="AE6" s="54">
        <v>81</v>
      </c>
      <c r="AF6" s="54">
        <v>0</v>
      </c>
      <c r="AG6" s="54">
        <v>0</v>
      </c>
      <c r="AH6" s="54">
        <v>80</v>
      </c>
      <c r="AI6" s="98">
        <v>8364.4903492583489</v>
      </c>
      <c r="AJ6" s="98">
        <v>3915.4031649939247</v>
      </c>
      <c r="AK6" s="54">
        <v>21612.136276113681</v>
      </c>
      <c r="AL6" s="54">
        <v>3412.5</v>
      </c>
      <c r="AM6" s="54"/>
      <c r="AN6" s="54"/>
      <c r="AO6" s="54">
        <v>12675.000000000004</v>
      </c>
      <c r="AP6" s="54"/>
      <c r="AQ6" s="54"/>
      <c r="AR6" s="55">
        <v>76</v>
      </c>
      <c r="AS6" s="55">
        <v>3</v>
      </c>
      <c r="AT6" s="55">
        <v>2</v>
      </c>
      <c r="AU6" s="55">
        <v>61</v>
      </c>
      <c r="AV6" s="97">
        <v>1770.6796240327833</v>
      </c>
      <c r="AW6" s="97">
        <v>1199.2305547897149</v>
      </c>
      <c r="AX6" s="55">
        <v>4541.6142313800556</v>
      </c>
      <c r="AY6" s="55">
        <v>363.88888888888891</v>
      </c>
      <c r="AZ6" s="55"/>
      <c r="BA6" s="55"/>
      <c r="BB6" s="55">
        <v>3487.5</v>
      </c>
      <c r="BC6" s="55"/>
      <c r="BD6" s="55"/>
      <c r="BE6" s="74">
        <v>77</v>
      </c>
      <c r="BF6" s="99">
        <v>51</v>
      </c>
      <c r="BG6" s="99">
        <v>77</v>
      </c>
      <c r="BH6" s="57" t="s">
        <v>107</v>
      </c>
      <c r="BI6" s="57" t="s">
        <v>107</v>
      </c>
      <c r="BJ6" s="70">
        <v>151</v>
      </c>
      <c r="BK6" s="70">
        <v>0</v>
      </c>
      <c r="BL6" s="58">
        <v>1</v>
      </c>
      <c r="BM6" s="100">
        <v>2.4649066666666659</v>
      </c>
      <c r="BN6" s="100">
        <v>0.57035999999999987</v>
      </c>
      <c r="BO6" s="100">
        <v>1.4275600000000006</v>
      </c>
      <c r="BP6" s="62">
        <v>154</v>
      </c>
      <c r="BQ6" s="62">
        <v>0</v>
      </c>
      <c r="BR6" s="62">
        <v>10</v>
      </c>
      <c r="BS6" s="101">
        <v>4.687652777777779</v>
      </c>
      <c r="BT6" s="101">
        <v>0.97906944444444433</v>
      </c>
      <c r="BU6" s="101">
        <v>3.2953680555555551</v>
      </c>
      <c r="BV6" s="93" t="s">
        <v>172</v>
      </c>
      <c r="BW6" s="91">
        <v>18</v>
      </c>
      <c r="BX6" s="102">
        <v>3.8222222593095569</v>
      </c>
      <c r="BY6" s="91">
        <v>19</v>
      </c>
      <c r="BZ6" s="103">
        <v>6.4203157894736833</v>
      </c>
      <c r="CA6" s="92">
        <v>0</v>
      </c>
      <c r="CB6" s="104">
        <v>1</v>
      </c>
      <c r="CC6" s="91">
        <v>18</v>
      </c>
      <c r="CD6" s="92">
        <v>18</v>
      </c>
      <c r="CE6" s="104">
        <v>0.94736842105200003</v>
      </c>
      <c r="CF6" s="91">
        <v>18</v>
      </c>
    </row>
    <row r="7" spans="1:84" thickBot="1">
      <c r="A7" s="80" t="s">
        <v>3</v>
      </c>
      <c r="B7" s="79" t="s">
        <v>4</v>
      </c>
      <c r="C7" s="68" t="s">
        <v>6</v>
      </c>
      <c r="D7" s="54">
        <v>75</v>
      </c>
      <c r="E7" s="65">
        <v>0</v>
      </c>
      <c r="F7" s="54">
        <v>0</v>
      </c>
      <c r="G7" s="94">
        <v>11065.99483964486</v>
      </c>
      <c r="H7" s="94">
        <v>2697.2959432374869</v>
      </c>
      <c r="I7" s="95">
        <v>0.97333333333299998</v>
      </c>
      <c r="J7" s="54">
        <v>73</v>
      </c>
      <c r="K7" s="54">
        <v>75</v>
      </c>
      <c r="L7" s="54">
        <v>14595.130694732641</v>
      </c>
      <c r="M7" s="54">
        <v>7725</v>
      </c>
      <c r="N7" s="54"/>
      <c r="O7" s="54"/>
      <c r="P7" s="54">
        <v>13990.384615384615</v>
      </c>
      <c r="Q7" s="54"/>
      <c r="R7" s="54"/>
      <c r="S7" s="55">
        <v>77</v>
      </c>
      <c r="T7" s="55">
        <v>0</v>
      </c>
      <c r="U7" s="55">
        <v>2</v>
      </c>
      <c r="V7" s="96">
        <v>2701.7745683168405</v>
      </c>
      <c r="W7" s="97">
        <v>925.02739185154712</v>
      </c>
      <c r="X7" s="55">
        <v>3744.987459427552</v>
      </c>
      <c r="Y7" s="55">
        <v>1175</v>
      </c>
      <c r="Z7" s="55"/>
      <c r="AA7" s="55"/>
      <c r="AB7" s="55">
        <v>3562.5</v>
      </c>
      <c r="AC7" s="55"/>
      <c r="AD7" s="55"/>
      <c r="AE7" s="54">
        <v>77</v>
      </c>
      <c r="AF7" s="54">
        <v>0</v>
      </c>
      <c r="AG7" s="54">
        <v>0</v>
      </c>
      <c r="AH7" s="54">
        <v>77</v>
      </c>
      <c r="AI7" s="98">
        <v>13558.245456352777</v>
      </c>
      <c r="AJ7" s="98">
        <v>4679.9708842882101</v>
      </c>
      <c r="AK7" s="54">
        <v>25128.144360821603</v>
      </c>
      <c r="AL7" s="54">
        <v>7631.25</v>
      </c>
      <c r="AM7" s="54"/>
      <c r="AN7" s="54"/>
      <c r="AO7" s="54">
        <v>19612.5</v>
      </c>
      <c r="AP7" s="54"/>
      <c r="AQ7" s="54"/>
      <c r="AR7" s="55">
        <v>78</v>
      </c>
      <c r="AS7" s="55">
        <v>1</v>
      </c>
      <c r="AT7" s="55">
        <v>0</v>
      </c>
      <c r="AU7" s="55">
        <v>75</v>
      </c>
      <c r="AV7" s="97">
        <v>2548.190770077777</v>
      </c>
      <c r="AW7" s="97">
        <v>1058.6746605593514</v>
      </c>
      <c r="AX7" s="55">
        <v>4086.3838463252559</v>
      </c>
      <c r="AY7" s="55">
        <v>985</v>
      </c>
      <c r="AZ7" s="55"/>
      <c r="BA7" s="55"/>
      <c r="BB7" s="55">
        <v>3845.833333333333</v>
      </c>
      <c r="BC7" s="55"/>
      <c r="BD7" s="55"/>
      <c r="BE7" s="74">
        <v>32</v>
      </c>
      <c r="BF7" s="99">
        <v>201</v>
      </c>
      <c r="BG7" s="99">
        <v>490</v>
      </c>
      <c r="BH7" s="57" t="s">
        <v>107</v>
      </c>
      <c r="BI7" s="57" t="s">
        <v>107</v>
      </c>
      <c r="BJ7" s="70">
        <v>150</v>
      </c>
      <c r="BK7" s="70">
        <v>0</v>
      </c>
      <c r="BL7" s="58">
        <v>2</v>
      </c>
      <c r="BM7" s="100">
        <v>3.1188851351351339</v>
      </c>
      <c r="BN7" s="100">
        <v>0.93650675675675676</v>
      </c>
      <c r="BO7" s="100">
        <v>1.403317567567568</v>
      </c>
      <c r="BP7" s="62">
        <v>153</v>
      </c>
      <c r="BQ7" s="62">
        <v>1</v>
      </c>
      <c r="BR7" s="62">
        <v>4</v>
      </c>
      <c r="BS7" s="101">
        <v>4.8340472972972997</v>
      </c>
      <c r="BT7" s="101">
        <v>1.1979932432432434</v>
      </c>
      <c r="BU7" s="101">
        <v>2.8966486486486489</v>
      </c>
      <c r="BV7" s="93" t="s">
        <v>173</v>
      </c>
      <c r="BW7" s="91">
        <v>17</v>
      </c>
      <c r="BX7" s="102">
        <v>3.722222235467699</v>
      </c>
      <c r="BY7" s="91">
        <v>19</v>
      </c>
      <c r="BZ7" s="103">
        <v>6.6158888888888914</v>
      </c>
      <c r="CA7" s="92">
        <v>1</v>
      </c>
      <c r="CB7" s="104">
        <v>0.94736842105300001</v>
      </c>
      <c r="CC7" s="91">
        <v>17</v>
      </c>
      <c r="CD7" s="92">
        <v>17</v>
      </c>
      <c r="CE7" s="104">
        <v>0.89473684210500004</v>
      </c>
      <c r="CF7" s="91">
        <v>18</v>
      </c>
    </row>
    <row r="8" spans="1:84" thickBot="1">
      <c r="A8" s="80" t="s">
        <v>3</v>
      </c>
      <c r="B8" s="79" t="s">
        <v>4</v>
      </c>
      <c r="C8" s="77" t="s">
        <v>7</v>
      </c>
      <c r="D8" s="54">
        <v>81</v>
      </c>
      <c r="E8" s="65">
        <v>2</v>
      </c>
      <c r="F8" s="54">
        <v>0</v>
      </c>
      <c r="G8" s="94">
        <v>7890.0177420761311</v>
      </c>
      <c r="H8" s="94">
        <v>3109.7559054733051</v>
      </c>
      <c r="I8" s="95">
        <v>0.93670886075899995</v>
      </c>
      <c r="J8" s="54">
        <v>74</v>
      </c>
      <c r="K8" s="54">
        <v>78</v>
      </c>
      <c r="L8" s="54">
        <v>13460.01509182832</v>
      </c>
      <c r="M8" s="54">
        <v>3725</v>
      </c>
      <c r="N8" s="54"/>
      <c r="O8" s="54"/>
      <c r="P8" s="54">
        <v>11796.428571428571</v>
      </c>
      <c r="Q8" s="54"/>
      <c r="R8" s="54"/>
      <c r="S8" s="55">
        <v>82</v>
      </c>
      <c r="T8" s="55">
        <v>0</v>
      </c>
      <c r="U8" s="55">
        <v>7</v>
      </c>
      <c r="V8" s="96">
        <v>2262.1235193280636</v>
      </c>
      <c r="W8" s="97">
        <v>1014.4008127998562</v>
      </c>
      <c r="X8" s="55">
        <v>3793.5368568537042</v>
      </c>
      <c r="Y8" s="55">
        <v>775</v>
      </c>
      <c r="Z8" s="55"/>
      <c r="AA8" s="55"/>
      <c r="AB8" s="55">
        <v>3597.2222222222222</v>
      </c>
      <c r="AC8" s="55"/>
      <c r="AD8" s="55"/>
      <c r="AE8" s="54">
        <v>79</v>
      </c>
      <c r="AF8" s="54">
        <v>0</v>
      </c>
      <c r="AG8" s="54">
        <v>3</v>
      </c>
      <c r="AH8" s="54">
        <v>76</v>
      </c>
      <c r="AI8" s="98">
        <v>8512.1779645008937</v>
      </c>
      <c r="AJ8" s="98">
        <v>5135.4322577251678</v>
      </c>
      <c r="AK8" s="54">
        <v>23956.06597494824</v>
      </c>
      <c r="AL8" s="54">
        <v>2175</v>
      </c>
      <c r="AM8" s="54"/>
      <c r="AN8" s="54"/>
      <c r="AO8" s="54">
        <v>14775.000000000002</v>
      </c>
      <c r="AP8" s="54"/>
      <c r="AQ8" s="54"/>
      <c r="AR8" s="55">
        <v>84</v>
      </c>
      <c r="AS8" s="55">
        <v>1</v>
      </c>
      <c r="AT8" s="55">
        <v>7</v>
      </c>
      <c r="AU8" s="55">
        <v>69</v>
      </c>
      <c r="AV8" s="97">
        <v>2535.5614857847286</v>
      </c>
      <c r="AW8" s="97">
        <v>1295.555831402376</v>
      </c>
      <c r="AX8" s="55">
        <v>4470.1577006189518</v>
      </c>
      <c r="AY8" s="55">
        <v>449.99999999999994</v>
      </c>
      <c r="AZ8" s="55"/>
      <c r="BA8" s="55"/>
      <c r="BB8" s="55">
        <v>4200</v>
      </c>
      <c r="BC8" s="55"/>
      <c r="BD8" s="55"/>
      <c r="BE8" s="74">
        <v>74</v>
      </c>
      <c r="BF8" s="99">
        <v>202</v>
      </c>
      <c r="BG8" s="99">
        <v>494</v>
      </c>
      <c r="BH8" s="57" t="s">
        <v>107</v>
      </c>
      <c r="BI8" s="57" t="s">
        <v>107</v>
      </c>
      <c r="BJ8" s="70">
        <v>162</v>
      </c>
      <c r="BK8" s="70">
        <v>6</v>
      </c>
      <c r="BL8" s="58">
        <v>12</v>
      </c>
      <c r="BM8" s="100">
        <v>4.4425277777777765</v>
      </c>
      <c r="BN8" s="100">
        <v>0.67186805555555518</v>
      </c>
      <c r="BO8" s="100">
        <v>3.1004722222222219</v>
      </c>
      <c r="BP8" s="62">
        <v>163</v>
      </c>
      <c r="BQ8" s="62">
        <v>3</v>
      </c>
      <c r="BR8" s="62">
        <v>14</v>
      </c>
      <c r="BS8" s="101">
        <v>4.8606575342465757</v>
      </c>
      <c r="BT8" s="101">
        <v>0.86449999999999971</v>
      </c>
      <c r="BU8" s="101">
        <v>3.2517054794520548</v>
      </c>
      <c r="BV8" s="93" t="s">
        <v>174</v>
      </c>
      <c r="BW8" s="91">
        <v>17</v>
      </c>
      <c r="BX8" s="102">
        <v>3.7833333677715726</v>
      </c>
      <c r="BY8" s="91">
        <v>19</v>
      </c>
      <c r="BZ8" s="103">
        <v>7.3165555555555546</v>
      </c>
      <c r="CA8" s="92">
        <v>1</v>
      </c>
      <c r="CB8" s="104">
        <v>0.94736842105300001</v>
      </c>
      <c r="CC8" s="91">
        <v>18</v>
      </c>
      <c r="CD8" s="92">
        <v>17</v>
      </c>
      <c r="CE8" s="104">
        <v>0.94736842105200003</v>
      </c>
      <c r="CF8" s="91">
        <v>18</v>
      </c>
    </row>
    <row r="9" spans="1:84" thickBot="1">
      <c r="A9" s="80" t="s">
        <v>3</v>
      </c>
      <c r="B9" s="79" t="s">
        <v>4</v>
      </c>
      <c r="C9" s="75" t="s">
        <v>8</v>
      </c>
      <c r="D9" s="54">
        <v>80</v>
      </c>
      <c r="E9" s="65">
        <v>0</v>
      </c>
      <c r="F9" s="54">
        <v>0</v>
      </c>
      <c r="G9" s="94">
        <v>6531.4097125466078</v>
      </c>
      <c r="H9" s="94">
        <v>2512.8152551130997</v>
      </c>
      <c r="I9" s="95">
        <v>0.9375</v>
      </c>
      <c r="J9" s="54">
        <v>75</v>
      </c>
      <c r="K9" s="54">
        <v>80</v>
      </c>
      <c r="L9" s="54">
        <v>12600.81209060432</v>
      </c>
      <c r="M9" s="54">
        <v>3450</v>
      </c>
      <c r="N9" s="54"/>
      <c r="O9" s="54"/>
      <c r="P9" s="54">
        <v>10000</v>
      </c>
      <c r="Q9" s="54"/>
      <c r="R9" s="54"/>
      <c r="S9" s="55">
        <v>82</v>
      </c>
      <c r="T9" s="55">
        <v>1</v>
      </c>
      <c r="U9" s="55">
        <v>12</v>
      </c>
      <c r="V9" s="96">
        <v>1999.8568415789509</v>
      </c>
      <c r="W9" s="97">
        <v>907.01537850562079</v>
      </c>
      <c r="X9" s="55">
        <v>3539.6877737896803</v>
      </c>
      <c r="Y9" s="55">
        <v>681.25</v>
      </c>
      <c r="Z9" s="55"/>
      <c r="AA9" s="55"/>
      <c r="AB9" s="55">
        <v>2956.818181818182</v>
      </c>
      <c r="AC9" s="55"/>
      <c r="AD9" s="55"/>
      <c r="AE9" s="54">
        <v>77</v>
      </c>
      <c r="AF9" s="54">
        <v>1</v>
      </c>
      <c r="AG9" s="54">
        <v>1</v>
      </c>
      <c r="AH9" s="54">
        <v>75</v>
      </c>
      <c r="AI9" s="98">
        <v>8520.3423677104129</v>
      </c>
      <c r="AJ9" s="98">
        <v>4166.7846830133412</v>
      </c>
      <c r="AK9" s="54">
        <v>20940.26637551856</v>
      </c>
      <c r="AL9" s="54">
        <v>3975</v>
      </c>
      <c r="AM9" s="54"/>
      <c r="AN9" s="54"/>
      <c r="AO9" s="54">
        <v>14625</v>
      </c>
      <c r="AP9" s="54"/>
      <c r="AQ9" s="54"/>
      <c r="AR9" s="55">
        <v>83</v>
      </c>
      <c r="AS9" s="55">
        <v>0</v>
      </c>
      <c r="AT9" s="55">
        <v>3</v>
      </c>
      <c r="AU9" s="55">
        <v>67</v>
      </c>
      <c r="AV9" s="97">
        <v>1728.8350990589745</v>
      </c>
      <c r="AW9" s="97">
        <v>1128.3836246730896</v>
      </c>
      <c r="AX9" s="55">
        <v>3954.4932583497121</v>
      </c>
      <c r="AY9" s="55">
        <v>300</v>
      </c>
      <c r="AZ9" s="55"/>
      <c r="BA9" s="55"/>
      <c r="BB9" s="55">
        <v>3312.5</v>
      </c>
      <c r="BC9" s="55"/>
      <c r="BD9" s="55"/>
      <c r="BE9" s="74">
        <v>78</v>
      </c>
      <c r="BF9" s="99">
        <v>56</v>
      </c>
      <c r="BG9" s="99">
        <v>69</v>
      </c>
      <c r="BH9" s="57" t="s">
        <v>107</v>
      </c>
      <c r="BI9" s="57" t="s">
        <v>107</v>
      </c>
      <c r="BJ9" s="70">
        <v>157</v>
      </c>
      <c r="BK9" s="70">
        <v>1</v>
      </c>
      <c r="BL9" s="58">
        <v>3</v>
      </c>
      <c r="BM9" s="100">
        <v>4.398954248366012</v>
      </c>
      <c r="BN9" s="100">
        <v>0.71573202614379106</v>
      </c>
      <c r="BO9" s="100">
        <v>3.1551307189542483</v>
      </c>
      <c r="BP9" s="62">
        <v>159</v>
      </c>
      <c r="BQ9" s="62">
        <v>0</v>
      </c>
      <c r="BR9" s="62">
        <v>2</v>
      </c>
      <c r="BS9" s="101">
        <v>4.5171082802547771</v>
      </c>
      <c r="BT9" s="101">
        <v>0.84565605095541441</v>
      </c>
      <c r="BU9" s="101">
        <v>3.1783057324840773</v>
      </c>
      <c r="BV9" s="93" t="s">
        <v>175</v>
      </c>
      <c r="BW9" s="91">
        <v>17</v>
      </c>
      <c r="BX9" s="102">
        <v>3.7894737218555652</v>
      </c>
      <c r="BY9" s="91">
        <v>19</v>
      </c>
      <c r="BZ9" s="103">
        <v>7.3672631578947376</v>
      </c>
      <c r="CA9" s="92">
        <v>0</v>
      </c>
      <c r="CB9" s="104">
        <v>1</v>
      </c>
      <c r="CC9" s="91">
        <v>18</v>
      </c>
      <c r="CD9" s="92">
        <v>17</v>
      </c>
      <c r="CE9" s="104">
        <v>0.94736842105200003</v>
      </c>
      <c r="CF9" s="91">
        <v>19</v>
      </c>
    </row>
    <row r="10" spans="1:84" customFormat="1" ht="15.75" thickBo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W10" s="11"/>
      <c r="X10" s="11"/>
      <c r="Y10" s="11"/>
      <c r="Z10" s="11"/>
      <c r="AA10" s="11"/>
      <c r="AB10" s="12"/>
      <c r="AC10" s="12"/>
      <c r="AD10" s="12"/>
      <c r="AE10" s="12"/>
      <c r="AF10" s="12"/>
      <c r="AG10" s="12"/>
      <c r="AH10" s="12"/>
      <c r="AI10" s="12"/>
      <c r="AJ10" s="12"/>
      <c r="AK10" s="14"/>
      <c r="AL10" s="14"/>
      <c r="AM10" s="14"/>
      <c r="AN10" s="14"/>
      <c r="AO10" s="14"/>
      <c r="AP10" s="37"/>
      <c r="AQ10" s="14"/>
      <c r="AR10" s="14"/>
      <c r="AS10" s="14"/>
      <c r="AT10" s="14"/>
      <c r="AU10" s="10"/>
      <c r="AV10" s="10"/>
      <c r="AW10" s="10"/>
      <c r="AX10" s="10"/>
      <c r="AY10" s="10"/>
    </row>
    <row r="11" spans="1:84" s="21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</row>
    <row r="12" spans="1:84" s="16" customFormat="1" thickBot="1">
      <c r="A12" s="80" t="s">
        <v>3</v>
      </c>
      <c r="B12" s="79" t="s">
        <v>4</v>
      </c>
      <c r="C12" s="81" t="s">
        <v>5</v>
      </c>
      <c r="D12" s="54">
        <v>78</v>
      </c>
      <c r="E12" s="65">
        <v>0</v>
      </c>
      <c r="F12" s="65">
        <v>0</v>
      </c>
      <c r="G12" s="94">
        <v>7998.8146096783221</v>
      </c>
      <c r="H12" s="94">
        <v>4008.4513615213446</v>
      </c>
      <c r="I12" s="95">
        <v>0.91025641025600001</v>
      </c>
      <c r="J12" s="54">
        <v>71</v>
      </c>
      <c r="K12" s="54">
        <v>78</v>
      </c>
      <c r="L12" s="54">
        <v>19149.549807010801</v>
      </c>
      <c r="M12" s="54">
        <v>3100</v>
      </c>
      <c r="N12" s="54">
        <v>3224.2388758782204</v>
      </c>
      <c r="O12" s="54" t="s">
        <v>107</v>
      </c>
      <c r="P12" s="54">
        <v>13050</v>
      </c>
      <c r="Q12" s="54">
        <v>15102.914389799636</v>
      </c>
      <c r="R12" s="54" t="s">
        <v>107</v>
      </c>
      <c r="S12" s="55">
        <v>79</v>
      </c>
      <c r="T12" s="55">
        <v>0</v>
      </c>
      <c r="U12" s="55">
        <v>4</v>
      </c>
      <c r="V12" s="96">
        <v>1618.5722991420978</v>
      </c>
      <c r="W12" s="97">
        <v>1039.7288281258895</v>
      </c>
      <c r="X12" s="55">
        <v>4020.62407206936</v>
      </c>
      <c r="Y12" s="55">
        <v>637.5</v>
      </c>
      <c r="Z12" s="55">
        <v>733.19544984488107</v>
      </c>
      <c r="AA12" s="55" t="s">
        <v>107</v>
      </c>
      <c r="AB12" s="55">
        <v>3375</v>
      </c>
      <c r="AC12" s="55">
        <v>3700.8949599623174</v>
      </c>
      <c r="AD12" s="55" t="s">
        <v>107</v>
      </c>
      <c r="AE12" s="54">
        <v>81</v>
      </c>
      <c r="AF12" s="54">
        <v>0</v>
      </c>
      <c r="AG12" s="54">
        <v>0</v>
      </c>
      <c r="AH12" s="54">
        <v>81</v>
      </c>
      <c r="AI12" s="98">
        <v>8364.4903492583526</v>
      </c>
      <c r="AJ12" s="98">
        <v>3915.4031649939247</v>
      </c>
      <c r="AK12" s="54">
        <v>21612.136276113681</v>
      </c>
      <c r="AL12" s="54">
        <v>3412.4999999999995</v>
      </c>
      <c r="AM12" s="54">
        <v>3272.5943970767357</v>
      </c>
      <c r="AN12" s="54" t="s">
        <v>107</v>
      </c>
      <c r="AO12" s="54">
        <v>12675.000000000004</v>
      </c>
      <c r="AP12" s="54">
        <v>17666.371681415931</v>
      </c>
      <c r="AQ12" s="54" t="s">
        <v>107</v>
      </c>
      <c r="AR12" s="55">
        <v>76</v>
      </c>
      <c r="AS12" s="55">
        <v>3</v>
      </c>
      <c r="AT12" s="55">
        <v>2</v>
      </c>
      <c r="AU12" s="55">
        <v>71</v>
      </c>
      <c r="AV12" s="97">
        <v>1770.6796240327828</v>
      </c>
      <c r="AW12" s="97">
        <v>1199.2305547897149</v>
      </c>
      <c r="AX12" s="55">
        <v>4541.6142313800556</v>
      </c>
      <c r="AY12" s="55">
        <v>363.88888888888891</v>
      </c>
      <c r="AZ12" s="55">
        <v>434.83560090702952</v>
      </c>
      <c r="BA12" s="55" t="s">
        <v>107</v>
      </c>
      <c r="BB12" s="55">
        <v>3487.5</v>
      </c>
      <c r="BC12" s="55">
        <v>4244.0011648223644</v>
      </c>
      <c r="BD12" s="55" t="s">
        <v>107</v>
      </c>
      <c r="BE12" s="74">
        <v>77</v>
      </c>
      <c r="BF12" s="99">
        <v>51</v>
      </c>
      <c r="BG12" s="99">
        <v>77</v>
      </c>
      <c r="BH12" s="57">
        <v>46</v>
      </c>
      <c r="BI12" s="57">
        <v>0</v>
      </c>
      <c r="BJ12" s="70">
        <v>151</v>
      </c>
      <c r="BK12" s="70">
        <v>0</v>
      </c>
      <c r="BL12" s="58">
        <v>1</v>
      </c>
      <c r="BM12" s="100">
        <v>2.4649066666666668</v>
      </c>
      <c r="BN12" s="100">
        <v>0.57036000000000009</v>
      </c>
      <c r="BO12" s="100">
        <v>1.4275599999999997</v>
      </c>
      <c r="BP12" s="62">
        <v>154</v>
      </c>
      <c r="BQ12" s="62">
        <v>0</v>
      </c>
      <c r="BR12" s="62">
        <v>10</v>
      </c>
      <c r="BS12" s="101">
        <v>4.687652777777779</v>
      </c>
      <c r="BT12" s="101">
        <v>0.97906944444444433</v>
      </c>
      <c r="BU12" s="101">
        <v>3.2953680555555547</v>
      </c>
      <c r="BV12" s="93" t="s">
        <v>177</v>
      </c>
      <c r="BW12" s="91">
        <v>66</v>
      </c>
      <c r="BX12" s="102">
        <v>3.7985915734734332</v>
      </c>
      <c r="BY12" s="91">
        <v>73</v>
      </c>
      <c r="BZ12" s="103">
        <v>7.0017123287671241</v>
      </c>
      <c r="CA12" s="92">
        <v>0</v>
      </c>
      <c r="CB12" s="104"/>
      <c r="CC12" s="91"/>
      <c r="CD12" s="92"/>
      <c r="CE12" s="104"/>
      <c r="CF12" s="91"/>
    </row>
    <row r="13" spans="1:84" s="16" customFormat="1" thickBot="1">
      <c r="A13" s="80" t="s">
        <v>3</v>
      </c>
      <c r="B13" s="79" t="s">
        <v>4</v>
      </c>
      <c r="C13" s="68" t="s">
        <v>6</v>
      </c>
      <c r="D13" s="54">
        <v>75</v>
      </c>
      <c r="E13" s="65">
        <v>0</v>
      </c>
      <c r="F13" s="54">
        <v>0</v>
      </c>
      <c r="G13" s="94">
        <v>11065.994839644865</v>
      </c>
      <c r="H13" s="94">
        <v>2697.2959432374869</v>
      </c>
      <c r="I13" s="95">
        <v>0.97333333333299998</v>
      </c>
      <c r="J13" s="54">
        <v>73</v>
      </c>
      <c r="K13" s="54">
        <v>75</v>
      </c>
      <c r="L13" s="54">
        <v>14595.130694732641</v>
      </c>
      <c r="M13" s="54">
        <v>7725</v>
      </c>
      <c r="N13" s="54">
        <v>3364.9386084583903</v>
      </c>
      <c r="O13" s="54" t="s">
        <v>107</v>
      </c>
      <c r="P13" s="54">
        <v>13990.384615384615</v>
      </c>
      <c r="Q13" s="54">
        <v>13538.547071905114</v>
      </c>
      <c r="R13" s="54" t="s">
        <v>107</v>
      </c>
      <c r="S13" s="55">
        <v>77</v>
      </c>
      <c r="T13" s="55">
        <v>0</v>
      </c>
      <c r="U13" s="55">
        <v>2</v>
      </c>
      <c r="V13" s="96">
        <v>2701.77456831684</v>
      </c>
      <c r="W13" s="97">
        <v>925.02739185154712</v>
      </c>
      <c r="X13" s="55">
        <v>3744.987459427552</v>
      </c>
      <c r="Y13" s="55">
        <v>1175</v>
      </c>
      <c r="Z13" s="55">
        <v>736.10976202039819</v>
      </c>
      <c r="AA13" s="55" t="s">
        <v>107</v>
      </c>
      <c r="AB13" s="55">
        <v>3562.5</v>
      </c>
      <c r="AC13" s="55">
        <v>3431.8373812038017</v>
      </c>
      <c r="AD13" s="55" t="s">
        <v>107</v>
      </c>
      <c r="AE13" s="54">
        <v>77</v>
      </c>
      <c r="AF13" s="54">
        <v>0</v>
      </c>
      <c r="AG13" s="54">
        <v>0</v>
      </c>
      <c r="AH13" s="54">
        <v>77</v>
      </c>
      <c r="AI13" s="98">
        <v>13558.245456352775</v>
      </c>
      <c r="AJ13" s="98">
        <v>4679.970884288211</v>
      </c>
      <c r="AK13" s="54">
        <v>25128.144360821603</v>
      </c>
      <c r="AL13" s="54">
        <v>7631.25</v>
      </c>
      <c r="AM13" s="54">
        <v>3796.8023255813951</v>
      </c>
      <c r="AN13" s="54" t="s">
        <v>107</v>
      </c>
      <c r="AO13" s="54">
        <v>19612.499999999996</v>
      </c>
      <c r="AP13" s="54">
        <v>17710.495049504952</v>
      </c>
      <c r="AQ13" s="54" t="s">
        <v>107</v>
      </c>
      <c r="AR13" s="55">
        <v>78</v>
      </c>
      <c r="AS13" s="55">
        <v>1</v>
      </c>
      <c r="AT13" s="55">
        <v>0</v>
      </c>
      <c r="AU13" s="55">
        <v>77</v>
      </c>
      <c r="AV13" s="97">
        <v>2548.1907700777774</v>
      </c>
      <c r="AW13" s="97">
        <v>1058.6746605593517</v>
      </c>
      <c r="AX13" s="55">
        <v>4086.3838463252559</v>
      </c>
      <c r="AY13" s="55">
        <v>985</v>
      </c>
      <c r="AZ13" s="55">
        <v>569.43563728598599</v>
      </c>
      <c r="BA13" s="55" t="s">
        <v>107</v>
      </c>
      <c r="BB13" s="55">
        <v>3845.833333333333</v>
      </c>
      <c r="BC13" s="55">
        <v>4173.9030023094692</v>
      </c>
      <c r="BD13" s="55" t="s">
        <v>107</v>
      </c>
      <c r="BE13" s="74">
        <v>32</v>
      </c>
      <c r="BF13" s="99">
        <v>201</v>
      </c>
      <c r="BG13" s="99">
        <v>490</v>
      </c>
      <c r="BH13" s="57">
        <v>57</v>
      </c>
      <c r="BI13" s="57">
        <v>0</v>
      </c>
      <c r="BJ13" s="70">
        <v>150</v>
      </c>
      <c r="BK13" s="70">
        <v>0</v>
      </c>
      <c r="BL13" s="58">
        <v>2</v>
      </c>
      <c r="BM13" s="100">
        <v>3.1188851351351348</v>
      </c>
      <c r="BN13" s="100">
        <v>0.93650675675675676</v>
      </c>
      <c r="BO13" s="100">
        <v>1.4033175675675673</v>
      </c>
      <c r="BP13" s="62">
        <v>153</v>
      </c>
      <c r="BQ13" s="62">
        <v>1</v>
      </c>
      <c r="BR13" s="62">
        <v>4</v>
      </c>
      <c r="BS13" s="101">
        <v>4.834047297297297</v>
      </c>
      <c r="BT13" s="101">
        <v>1.1979932432432432</v>
      </c>
      <c r="BU13" s="101">
        <v>2.8966486486486485</v>
      </c>
      <c r="BV13" s="93" t="s">
        <v>178</v>
      </c>
      <c r="BW13" s="91">
        <v>71</v>
      </c>
      <c r="BX13" s="102">
        <v>3.7986301559291475</v>
      </c>
      <c r="BY13" s="91">
        <v>75</v>
      </c>
      <c r="BZ13" s="103">
        <v>6.667337837837839</v>
      </c>
      <c r="CA13" s="92">
        <v>1</v>
      </c>
      <c r="CB13" s="104"/>
      <c r="CC13" s="91"/>
      <c r="CD13" s="92"/>
      <c r="CE13" s="104"/>
      <c r="CF13" s="91"/>
    </row>
    <row r="14" spans="1:84" s="16" customFormat="1" thickBot="1">
      <c r="A14" s="80" t="s">
        <v>3</v>
      </c>
      <c r="B14" s="79" t="s">
        <v>4</v>
      </c>
      <c r="C14" s="77" t="s">
        <v>7</v>
      </c>
      <c r="D14" s="54">
        <v>81</v>
      </c>
      <c r="E14" s="65">
        <v>2</v>
      </c>
      <c r="F14" s="54">
        <v>0</v>
      </c>
      <c r="G14" s="94">
        <v>7890.0177420761356</v>
      </c>
      <c r="H14" s="94">
        <v>3109.7559054733051</v>
      </c>
      <c r="I14" s="95">
        <v>0.93670886075899995</v>
      </c>
      <c r="J14" s="54">
        <v>74</v>
      </c>
      <c r="K14" s="54">
        <v>78</v>
      </c>
      <c r="L14" s="54">
        <v>13460.01509182832</v>
      </c>
      <c r="M14" s="54">
        <v>3725</v>
      </c>
      <c r="N14" s="54">
        <v>2363.9265762170789</v>
      </c>
      <c r="O14" s="54" t="s">
        <v>107</v>
      </c>
      <c r="P14" s="54">
        <v>11796.428571428572</v>
      </c>
      <c r="Q14" s="54">
        <v>9418.1523500810363</v>
      </c>
      <c r="R14" s="54" t="s">
        <v>107</v>
      </c>
      <c r="S14" s="55">
        <v>82</v>
      </c>
      <c r="T14" s="55">
        <v>0</v>
      </c>
      <c r="U14" s="55">
        <v>7</v>
      </c>
      <c r="V14" s="96">
        <v>2262.1235193280636</v>
      </c>
      <c r="W14" s="97">
        <v>1014.4008127998561</v>
      </c>
      <c r="X14" s="55">
        <v>3793.5368568537042</v>
      </c>
      <c r="Y14" s="55">
        <v>775</v>
      </c>
      <c r="Z14" s="55">
        <v>768.26865671641781</v>
      </c>
      <c r="AA14" s="55" t="s">
        <v>107</v>
      </c>
      <c r="AB14" s="55">
        <v>3597.2222222222222</v>
      </c>
      <c r="AC14" s="55">
        <v>3443.8086303939967</v>
      </c>
      <c r="AD14" s="55" t="s">
        <v>107</v>
      </c>
      <c r="AE14" s="54">
        <v>79</v>
      </c>
      <c r="AF14" s="54">
        <v>0</v>
      </c>
      <c r="AG14" s="54">
        <v>3</v>
      </c>
      <c r="AH14" s="54">
        <v>76</v>
      </c>
      <c r="AI14" s="98">
        <v>8512.177964500901</v>
      </c>
      <c r="AJ14" s="98">
        <v>5135.4322577251678</v>
      </c>
      <c r="AK14" s="54">
        <v>23956.06597494824</v>
      </c>
      <c r="AL14" s="54">
        <v>2175</v>
      </c>
      <c r="AM14" s="54">
        <v>2501.7316017316016</v>
      </c>
      <c r="AN14" s="54" t="s">
        <v>107</v>
      </c>
      <c r="AO14" s="54">
        <v>14775.000000000002</v>
      </c>
      <c r="AP14" s="54">
        <v>14561.923847695389</v>
      </c>
      <c r="AQ14" s="54" t="s">
        <v>107</v>
      </c>
      <c r="AR14" s="55">
        <v>84</v>
      </c>
      <c r="AS14" s="55">
        <v>1</v>
      </c>
      <c r="AT14" s="55">
        <v>7</v>
      </c>
      <c r="AU14" s="55">
        <v>76</v>
      </c>
      <c r="AV14" s="97">
        <v>2535.561485784729</v>
      </c>
      <c r="AW14" s="97">
        <v>1295.555831402376</v>
      </c>
      <c r="AX14" s="55">
        <v>4470.1577006189518</v>
      </c>
      <c r="AY14" s="55">
        <v>450.00000000000006</v>
      </c>
      <c r="AZ14" s="55">
        <v>502.59927797833939</v>
      </c>
      <c r="BA14" s="55" t="s">
        <v>107</v>
      </c>
      <c r="BB14" s="55">
        <v>4200</v>
      </c>
      <c r="BC14" s="55">
        <v>3852.5862068965521</v>
      </c>
      <c r="BD14" s="55" t="s">
        <v>107</v>
      </c>
      <c r="BE14" s="74">
        <v>74</v>
      </c>
      <c r="BF14" s="99">
        <v>202</v>
      </c>
      <c r="BG14" s="99">
        <v>494</v>
      </c>
      <c r="BH14" s="57">
        <v>52</v>
      </c>
      <c r="BI14" s="57">
        <v>0</v>
      </c>
      <c r="BJ14" s="70">
        <v>162</v>
      </c>
      <c r="BK14" s="70">
        <v>6</v>
      </c>
      <c r="BL14" s="58">
        <v>12</v>
      </c>
      <c r="BM14" s="100">
        <v>4.4425277777777783</v>
      </c>
      <c r="BN14" s="100">
        <v>0.67186805555555551</v>
      </c>
      <c r="BO14" s="100">
        <v>3.1004722222222223</v>
      </c>
      <c r="BP14" s="62">
        <v>163</v>
      </c>
      <c r="BQ14" s="62">
        <v>3</v>
      </c>
      <c r="BR14" s="62">
        <v>14</v>
      </c>
      <c r="BS14" s="101">
        <v>4.8606575342465765</v>
      </c>
      <c r="BT14" s="101">
        <v>0.86449999999999994</v>
      </c>
      <c r="BU14" s="101">
        <v>3.2517054794520548</v>
      </c>
      <c r="BV14" s="93" t="s">
        <v>179</v>
      </c>
      <c r="BW14" s="91">
        <v>63</v>
      </c>
      <c r="BX14" s="102">
        <v>3.8086956791255786</v>
      </c>
      <c r="BY14" s="91">
        <v>72</v>
      </c>
      <c r="BZ14" s="103">
        <v>7.4742898550724641</v>
      </c>
      <c r="CA14" s="92">
        <v>3</v>
      </c>
      <c r="CB14" s="104"/>
      <c r="CC14" s="91"/>
      <c r="CD14" s="92"/>
      <c r="CE14" s="104"/>
      <c r="CF14" s="91"/>
    </row>
    <row r="15" spans="1:84" s="16" customFormat="1" thickBot="1">
      <c r="A15" s="80" t="s">
        <v>3</v>
      </c>
      <c r="B15" s="79" t="s">
        <v>4</v>
      </c>
      <c r="C15" s="75" t="s">
        <v>8</v>
      </c>
      <c r="D15" s="54">
        <v>80</v>
      </c>
      <c r="E15" s="65">
        <v>0</v>
      </c>
      <c r="F15" s="54">
        <v>0</v>
      </c>
      <c r="G15" s="94">
        <v>6531.4097125466051</v>
      </c>
      <c r="H15" s="94">
        <v>2512.8152551131002</v>
      </c>
      <c r="I15" s="95">
        <v>0.9375</v>
      </c>
      <c r="J15" s="54">
        <v>75</v>
      </c>
      <c r="K15" s="54">
        <v>80</v>
      </c>
      <c r="L15" s="54">
        <v>12600.81209060432</v>
      </c>
      <c r="M15" s="54">
        <v>3450</v>
      </c>
      <c r="N15" s="54">
        <v>2434.7701149425288</v>
      </c>
      <c r="O15" s="54" t="s">
        <v>107</v>
      </c>
      <c r="P15" s="54">
        <v>10000</v>
      </c>
      <c r="Q15" s="54">
        <v>10145.932203389832</v>
      </c>
      <c r="R15" s="54" t="s">
        <v>107</v>
      </c>
      <c r="S15" s="55">
        <v>82</v>
      </c>
      <c r="T15" s="55">
        <v>1</v>
      </c>
      <c r="U15" s="55">
        <v>12</v>
      </c>
      <c r="V15" s="96">
        <v>1999.85684157895</v>
      </c>
      <c r="W15" s="97">
        <v>907.01537850562102</v>
      </c>
      <c r="X15" s="55">
        <v>3539.6877737896803</v>
      </c>
      <c r="Y15" s="55">
        <v>681.25</v>
      </c>
      <c r="Z15" s="55">
        <v>662.38297872340422</v>
      </c>
      <c r="AA15" s="55" t="s">
        <v>107</v>
      </c>
      <c r="AB15" s="55">
        <v>2956.818181818182</v>
      </c>
      <c r="AC15" s="55">
        <v>3073.8738738738743</v>
      </c>
      <c r="AD15" s="55" t="s">
        <v>107</v>
      </c>
      <c r="AE15" s="54">
        <v>77</v>
      </c>
      <c r="AF15" s="54">
        <v>1</v>
      </c>
      <c r="AG15" s="54">
        <v>1</v>
      </c>
      <c r="AH15" s="54">
        <v>75</v>
      </c>
      <c r="AI15" s="98">
        <v>8520.3423677104092</v>
      </c>
      <c r="AJ15" s="98">
        <v>4166.7846830133421</v>
      </c>
      <c r="AK15" s="54">
        <v>20940.26637551856</v>
      </c>
      <c r="AL15" s="54">
        <v>3975</v>
      </c>
      <c r="AM15" s="54">
        <v>2619.3390452876379</v>
      </c>
      <c r="AN15" s="54" t="s">
        <v>107</v>
      </c>
      <c r="AO15" s="54">
        <v>14625</v>
      </c>
      <c r="AP15" s="54">
        <v>14429.775280898877</v>
      </c>
      <c r="AQ15" s="54" t="s">
        <v>107</v>
      </c>
      <c r="AR15" s="55">
        <v>83</v>
      </c>
      <c r="AS15" s="55">
        <v>0</v>
      </c>
      <c r="AT15" s="55">
        <v>3</v>
      </c>
      <c r="AU15" s="55">
        <v>80</v>
      </c>
      <c r="AV15" s="97">
        <v>1728.835099058974</v>
      </c>
      <c r="AW15" s="97">
        <v>1128.3836246730896</v>
      </c>
      <c r="AX15" s="55">
        <v>3954.4932583497121</v>
      </c>
      <c r="AY15" s="55">
        <v>300</v>
      </c>
      <c r="AZ15" s="55">
        <v>359.48144382308084</v>
      </c>
      <c r="BA15" s="55" t="s">
        <v>107</v>
      </c>
      <c r="BB15" s="55">
        <v>3312.5</v>
      </c>
      <c r="BC15" s="55">
        <v>3725.3456221198162</v>
      </c>
      <c r="BD15" s="55" t="s">
        <v>107</v>
      </c>
      <c r="BE15" s="74">
        <v>78</v>
      </c>
      <c r="BF15" s="99">
        <v>56</v>
      </c>
      <c r="BG15" s="99">
        <v>69</v>
      </c>
      <c r="BH15" s="57">
        <v>53</v>
      </c>
      <c r="BI15" s="57">
        <v>0</v>
      </c>
      <c r="BJ15" s="70">
        <v>157</v>
      </c>
      <c r="BK15" s="70">
        <v>1</v>
      </c>
      <c r="BL15" s="58">
        <v>3</v>
      </c>
      <c r="BM15" s="100">
        <v>4.3989542483660138</v>
      </c>
      <c r="BN15" s="100">
        <v>0.71573202614379094</v>
      </c>
      <c r="BO15" s="100">
        <v>3.1551307189542479</v>
      </c>
      <c r="BP15" s="62">
        <v>159</v>
      </c>
      <c r="BQ15" s="62">
        <v>0</v>
      </c>
      <c r="BR15" s="62">
        <v>2</v>
      </c>
      <c r="BS15" s="101">
        <v>4.5171082802547762</v>
      </c>
      <c r="BT15" s="101">
        <v>0.84565605095541418</v>
      </c>
      <c r="BU15" s="101">
        <v>3.178305732484076</v>
      </c>
      <c r="BV15" s="93" t="s">
        <v>180</v>
      </c>
      <c r="BW15" s="91">
        <v>73</v>
      </c>
      <c r="BX15" s="102">
        <v>3.8311688590359378</v>
      </c>
      <c r="BY15" s="91">
        <v>79</v>
      </c>
      <c r="BZ15" s="103">
        <v>7.769576923076924</v>
      </c>
      <c r="CA15" s="92">
        <v>1</v>
      </c>
      <c r="CB15" s="104"/>
      <c r="CC15" s="91"/>
      <c r="CD15" s="92"/>
      <c r="CE15" s="104"/>
      <c r="CF15" s="91"/>
    </row>
    <row r="16" spans="1:84" ht="15.75" thickBot="1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I16"/>
      <c r="BJ16"/>
      <c r="BK16"/>
      <c r="BL16"/>
      <c r="BM16"/>
      <c r="BN16"/>
      <c r="BO16"/>
      <c r="BP16"/>
      <c r="BQ16"/>
      <c r="BR16"/>
      <c r="BS16"/>
    </row>
    <row r="17" spans="1:16376" s="21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</row>
    <row r="18" spans="1:16376" s="50" customFormat="1" thickBot="1">
      <c r="A18" s="48" t="s">
        <v>3</v>
      </c>
      <c r="B18" s="5" t="s">
        <v>4</v>
      </c>
      <c r="C18" s="22" t="s">
        <v>5</v>
      </c>
      <c r="D18" s="49" t="b">
        <f>D6=D12</f>
        <v>1</v>
      </c>
      <c r="E18" s="49" t="b">
        <f t="shared" ref="E18:BP19" si="0">E6=E12</f>
        <v>1</v>
      </c>
      <c r="F18" s="49" t="b">
        <f t="shared" si="0"/>
        <v>1</v>
      </c>
      <c r="G18" s="49" t="b">
        <f t="shared" si="0"/>
        <v>1</v>
      </c>
      <c r="H18" s="49" t="b">
        <f t="shared" si="0"/>
        <v>1</v>
      </c>
      <c r="I18" s="49" t="b">
        <f t="shared" si="0"/>
        <v>1</v>
      </c>
      <c r="J18" s="49" t="b">
        <f t="shared" si="0"/>
        <v>1</v>
      </c>
      <c r="K18" s="49" t="b">
        <f t="shared" si="0"/>
        <v>1</v>
      </c>
      <c r="L18" s="49" t="b">
        <f t="shared" si="0"/>
        <v>1</v>
      </c>
      <c r="M18" s="49" t="b">
        <f t="shared" si="0"/>
        <v>1</v>
      </c>
      <c r="N18" s="49" t="b">
        <f t="shared" si="0"/>
        <v>0</v>
      </c>
      <c r="O18" s="49" t="b">
        <f t="shared" si="0"/>
        <v>1</v>
      </c>
      <c r="P18" s="49" t="b">
        <f t="shared" si="0"/>
        <v>1</v>
      </c>
      <c r="Q18" s="49" t="b">
        <f t="shared" si="0"/>
        <v>0</v>
      </c>
      <c r="R18" s="49" t="b">
        <f t="shared" si="0"/>
        <v>1</v>
      </c>
      <c r="S18" s="49" t="b">
        <f t="shared" si="0"/>
        <v>1</v>
      </c>
      <c r="T18" s="49" t="b">
        <f t="shared" si="0"/>
        <v>1</v>
      </c>
      <c r="U18" s="49" t="b">
        <f t="shared" si="0"/>
        <v>1</v>
      </c>
      <c r="V18" s="49" t="b">
        <f t="shared" si="0"/>
        <v>1</v>
      </c>
      <c r="W18" s="49" t="b">
        <f t="shared" si="0"/>
        <v>1</v>
      </c>
      <c r="X18" s="49" t="b">
        <f t="shared" si="0"/>
        <v>1</v>
      </c>
      <c r="Y18" s="49" t="b">
        <f t="shared" si="0"/>
        <v>1</v>
      </c>
      <c r="Z18" s="49" t="b">
        <f t="shared" si="0"/>
        <v>0</v>
      </c>
      <c r="AA18" s="49" t="b">
        <f t="shared" si="0"/>
        <v>1</v>
      </c>
      <c r="AB18" s="49" t="b">
        <f t="shared" si="0"/>
        <v>1</v>
      </c>
      <c r="AC18" s="49" t="b">
        <f t="shared" si="0"/>
        <v>0</v>
      </c>
      <c r="AD18" s="49" t="b">
        <f t="shared" si="0"/>
        <v>1</v>
      </c>
      <c r="AE18" s="49" t="b">
        <f t="shared" si="0"/>
        <v>1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1</v>
      </c>
      <c r="AJ18" s="49" t="b">
        <f t="shared" si="0"/>
        <v>1</v>
      </c>
      <c r="AK18" s="49" t="b">
        <f t="shared" si="0"/>
        <v>1</v>
      </c>
      <c r="AL18" s="49" t="b">
        <f t="shared" si="0"/>
        <v>1</v>
      </c>
      <c r="AM18" s="49" t="b">
        <f t="shared" si="0"/>
        <v>0</v>
      </c>
      <c r="AN18" s="49" t="b">
        <f t="shared" si="0"/>
        <v>1</v>
      </c>
      <c r="AO18" s="49" t="b">
        <f t="shared" si="0"/>
        <v>1</v>
      </c>
      <c r="AP18" s="49" t="b">
        <f t="shared" si="0"/>
        <v>0</v>
      </c>
      <c r="AQ18" s="49" t="b">
        <f t="shared" si="0"/>
        <v>1</v>
      </c>
      <c r="AR18" s="49" t="b">
        <f t="shared" si="0"/>
        <v>1</v>
      </c>
      <c r="AS18" s="49" t="b">
        <f t="shared" si="0"/>
        <v>1</v>
      </c>
      <c r="AT18" s="49" t="b">
        <f t="shared" si="0"/>
        <v>1</v>
      </c>
      <c r="AU18" s="49" t="b">
        <f t="shared" si="0"/>
        <v>0</v>
      </c>
      <c r="AV18" s="49" t="b">
        <f t="shared" si="0"/>
        <v>1</v>
      </c>
      <c r="AW18" s="49" t="b">
        <f t="shared" si="0"/>
        <v>1</v>
      </c>
      <c r="AX18" s="49" t="b">
        <f t="shared" si="0"/>
        <v>1</v>
      </c>
      <c r="AY18" s="49" t="b">
        <f t="shared" si="0"/>
        <v>1</v>
      </c>
      <c r="AZ18" s="49" t="b">
        <f t="shared" si="0"/>
        <v>0</v>
      </c>
      <c r="BA18" s="49" t="b">
        <f t="shared" si="0"/>
        <v>1</v>
      </c>
      <c r="BB18" s="49" t="b">
        <f t="shared" si="0"/>
        <v>1</v>
      </c>
      <c r="BC18" s="49" t="b">
        <f t="shared" si="0"/>
        <v>0</v>
      </c>
      <c r="BD18" s="49" t="b">
        <f t="shared" si="0"/>
        <v>1</v>
      </c>
      <c r="BE18" s="49" t="b">
        <f t="shared" si="0"/>
        <v>1</v>
      </c>
      <c r="BF18" s="49" t="b">
        <f t="shared" si="0"/>
        <v>1</v>
      </c>
      <c r="BG18" s="49" t="b">
        <f t="shared" si="0"/>
        <v>1</v>
      </c>
      <c r="BH18" s="49" t="b">
        <f t="shared" si="0"/>
        <v>0</v>
      </c>
      <c r="BI18" s="49" t="b">
        <f t="shared" si="0"/>
        <v>0</v>
      </c>
      <c r="BJ18" s="49" t="b">
        <f t="shared" si="0"/>
        <v>1</v>
      </c>
      <c r="BK18" s="49" t="b">
        <f t="shared" si="0"/>
        <v>1</v>
      </c>
      <c r="BL18" s="49" t="b">
        <f t="shared" si="0"/>
        <v>1</v>
      </c>
      <c r="BM18" s="49" t="b">
        <f t="shared" si="0"/>
        <v>1</v>
      </c>
      <c r="BN18" s="49" t="b">
        <f t="shared" si="0"/>
        <v>1</v>
      </c>
      <c r="BO18" s="49" t="b">
        <f t="shared" si="0"/>
        <v>1</v>
      </c>
      <c r="BP18" s="49" t="b">
        <f t="shared" si="0"/>
        <v>1</v>
      </c>
      <c r="BQ18" s="49" t="b">
        <f t="shared" ref="BQ18:CF21" si="1">BQ6=BQ12</f>
        <v>1</v>
      </c>
      <c r="BR18" s="49" t="b">
        <f t="shared" si="1"/>
        <v>1</v>
      </c>
      <c r="BS18" s="49" t="b">
        <f t="shared" si="1"/>
        <v>1</v>
      </c>
      <c r="BT18" s="49" t="b">
        <f t="shared" si="1"/>
        <v>1</v>
      </c>
      <c r="BU18" s="49" t="b">
        <f t="shared" si="1"/>
        <v>0</v>
      </c>
      <c r="BV18" s="49" t="b">
        <f t="shared" si="1"/>
        <v>0</v>
      </c>
      <c r="BW18" s="49" t="b">
        <f t="shared" si="1"/>
        <v>0</v>
      </c>
      <c r="BX18" s="49" t="b">
        <f t="shared" si="1"/>
        <v>0</v>
      </c>
      <c r="BY18" s="49" t="b">
        <f t="shared" si="1"/>
        <v>0</v>
      </c>
      <c r="BZ18" s="49" t="b">
        <f t="shared" si="1"/>
        <v>0</v>
      </c>
      <c r="CA18" s="49" t="b">
        <f t="shared" si="1"/>
        <v>1</v>
      </c>
      <c r="CB18" s="49" t="b">
        <f t="shared" si="1"/>
        <v>0</v>
      </c>
      <c r="CC18" s="49" t="b">
        <f t="shared" si="1"/>
        <v>0</v>
      </c>
      <c r="CD18" s="49" t="b">
        <f t="shared" si="1"/>
        <v>0</v>
      </c>
      <c r="CE18" s="49" t="b">
        <f t="shared" si="1"/>
        <v>0</v>
      </c>
      <c r="CF18" s="49" t="b">
        <f t="shared" si="1"/>
        <v>0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thickBot="1">
      <c r="A19" s="48" t="s">
        <v>3</v>
      </c>
      <c r="B19" s="5" t="s">
        <v>4</v>
      </c>
      <c r="C19" s="23" t="s">
        <v>6</v>
      </c>
      <c r="D19" s="49" t="b">
        <f t="shared" ref="D19:S21" si="2">D7=D13</f>
        <v>1</v>
      </c>
      <c r="E19" s="49" t="b">
        <f t="shared" si="2"/>
        <v>1</v>
      </c>
      <c r="F19" s="49" t="b">
        <f t="shared" si="2"/>
        <v>1</v>
      </c>
      <c r="G19" s="49" t="b">
        <f t="shared" si="2"/>
        <v>1</v>
      </c>
      <c r="H19" s="49" t="b">
        <f t="shared" si="2"/>
        <v>1</v>
      </c>
      <c r="I19" s="49" t="b">
        <f t="shared" si="2"/>
        <v>1</v>
      </c>
      <c r="J19" s="49" t="b">
        <f t="shared" si="2"/>
        <v>1</v>
      </c>
      <c r="K19" s="49" t="b">
        <f t="shared" si="2"/>
        <v>1</v>
      </c>
      <c r="L19" s="49" t="b">
        <f t="shared" si="2"/>
        <v>1</v>
      </c>
      <c r="M19" s="49" t="b">
        <f t="shared" si="2"/>
        <v>1</v>
      </c>
      <c r="N19" s="49" t="b">
        <f t="shared" si="2"/>
        <v>0</v>
      </c>
      <c r="O19" s="49" t="b">
        <f t="shared" si="2"/>
        <v>1</v>
      </c>
      <c r="P19" s="49" t="b">
        <f t="shared" si="2"/>
        <v>1</v>
      </c>
      <c r="Q19" s="49" t="b">
        <f t="shared" si="2"/>
        <v>0</v>
      </c>
      <c r="R19" s="49" t="b">
        <f t="shared" si="2"/>
        <v>1</v>
      </c>
      <c r="S19" s="49" t="b">
        <f t="shared" si="2"/>
        <v>1</v>
      </c>
      <c r="T19" s="49" t="b">
        <f t="shared" si="0"/>
        <v>1</v>
      </c>
      <c r="U19" s="49" t="b">
        <f t="shared" si="0"/>
        <v>1</v>
      </c>
      <c r="V19" s="49" t="b">
        <f t="shared" si="0"/>
        <v>1</v>
      </c>
      <c r="W19" s="49" t="b">
        <f t="shared" si="0"/>
        <v>1</v>
      </c>
      <c r="X19" s="49" t="b">
        <f t="shared" si="0"/>
        <v>1</v>
      </c>
      <c r="Y19" s="49" t="b">
        <f t="shared" si="0"/>
        <v>1</v>
      </c>
      <c r="Z19" s="49" t="b">
        <f t="shared" si="0"/>
        <v>0</v>
      </c>
      <c r="AA19" s="49" t="b">
        <f t="shared" si="0"/>
        <v>1</v>
      </c>
      <c r="AB19" s="49" t="b">
        <f t="shared" si="0"/>
        <v>1</v>
      </c>
      <c r="AC19" s="49" t="b">
        <f t="shared" si="0"/>
        <v>0</v>
      </c>
      <c r="AD19" s="49" t="b">
        <f t="shared" si="0"/>
        <v>1</v>
      </c>
      <c r="AE19" s="49" t="b">
        <f t="shared" si="0"/>
        <v>1</v>
      </c>
      <c r="AF19" s="49" t="b">
        <f t="shared" si="0"/>
        <v>1</v>
      </c>
      <c r="AG19" s="49" t="b">
        <f t="shared" si="0"/>
        <v>1</v>
      </c>
      <c r="AH19" s="49" t="b">
        <f t="shared" si="0"/>
        <v>1</v>
      </c>
      <c r="AI19" s="49" t="b">
        <f t="shared" si="0"/>
        <v>1</v>
      </c>
      <c r="AJ19" s="49" t="b">
        <f t="shared" si="0"/>
        <v>1</v>
      </c>
      <c r="AK19" s="49" t="b">
        <f t="shared" si="0"/>
        <v>1</v>
      </c>
      <c r="AL19" s="49" t="b">
        <f t="shared" si="0"/>
        <v>1</v>
      </c>
      <c r="AM19" s="49" t="b">
        <f t="shared" si="0"/>
        <v>0</v>
      </c>
      <c r="AN19" s="49" t="b">
        <f t="shared" si="0"/>
        <v>1</v>
      </c>
      <c r="AO19" s="49" t="b">
        <f t="shared" si="0"/>
        <v>1</v>
      </c>
      <c r="AP19" s="49" t="b">
        <f t="shared" si="0"/>
        <v>0</v>
      </c>
      <c r="AQ19" s="49" t="b">
        <f t="shared" si="0"/>
        <v>1</v>
      </c>
      <c r="AR19" s="49" t="b">
        <f t="shared" si="0"/>
        <v>1</v>
      </c>
      <c r="AS19" s="49" t="b">
        <f t="shared" si="0"/>
        <v>1</v>
      </c>
      <c r="AT19" s="49" t="b">
        <f t="shared" si="0"/>
        <v>1</v>
      </c>
      <c r="AU19" s="49" t="b">
        <f t="shared" si="0"/>
        <v>0</v>
      </c>
      <c r="AV19" s="49" t="b">
        <f t="shared" si="0"/>
        <v>1</v>
      </c>
      <c r="AW19" s="49" t="b">
        <f t="shared" si="0"/>
        <v>1</v>
      </c>
      <c r="AX19" s="49" t="b">
        <f t="shared" si="0"/>
        <v>1</v>
      </c>
      <c r="AY19" s="49" t="b">
        <f t="shared" si="0"/>
        <v>1</v>
      </c>
      <c r="AZ19" s="49" t="b">
        <f t="shared" si="0"/>
        <v>0</v>
      </c>
      <c r="BA19" s="49" t="b">
        <f t="shared" si="0"/>
        <v>1</v>
      </c>
      <c r="BB19" s="49" t="b">
        <f t="shared" si="0"/>
        <v>1</v>
      </c>
      <c r="BC19" s="49" t="b">
        <f t="shared" si="0"/>
        <v>0</v>
      </c>
      <c r="BD19" s="49" t="b">
        <f t="shared" si="0"/>
        <v>1</v>
      </c>
      <c r="BE19" s="49" t="b">
        <f t="shared" si="0"/>
        <v>1</v>
      </c>
      <c r="BF19" s="49" t="b">
        <f t="shared" si="0"/>
        <v>1</v>
      </c>
      <c r="BG19" s="49" t="b">
        <f t="shared" si="0"/>
        <v>1</v>
      </c>
      <c r="BH19" s="49" t="b">
        <f t="shared" si="0"/>
        <v>0</v>
      </c>
      <c r="BI19" s="49" t="b">
        <f t="shared" si="0"/>
        <v>0</v>
      </c>
      <c r="BJ19" s="49" t="b">
        <f t="shared" si="0"/>
        <v>1</v>
      </c>
      <c r="BK19" s="49" t="b">
        <f t="shared" si="0"/>
        <v>1</v>
      </c>
      <c r="BL19" s="49" t="b">
        <f t="shared" si="0"/>
        <v>1</v>
      </c>
      <c r="BM19" s="49" t="b">
        <f t="shared" si="0"/>
        <v>1</v>
      </c>
      <c r="BN19" s="49" t="b">
        <f t="shared" si="0"/>
        <v>1</v>
      </c>
      <c r="BO19" s="49" t="b">
        <f t="shared" si="0"/>
        <v>1</v>
      </c>
      <c r="BP19" s="49" t="b">
        <f t="shared" si="0"/>
        <v>1</v>
      </c>
      <c r="BQ19" s="49" t="b">
        <f t="shared" si="1"/>
        <v>1</v>
      </c>
      <c r="BR19" s="49" t="b">
        <f t="shared" si="1"/>
        <v>1</v>
      </c>
      <c r="BS19" s="49" t="b">
        <f t="shared" si="1"/>
        <v>1</v>
      </c>
      <c r="BT19" s="49" t="b">
        <f t="shared" si="1"/>
        <v>1</v>
      </c>
      <c r="BU19" s="49" t="b">
        <f t="shared" si="1"/>
        <v>1</v>
      </c>
      <c r="BV19" s="49" t="b">
        <f t="shared" si="1"/>
        <v>0</v>
      </c>
      <c r="BW19" s="49" t="b">
        <f t="shared" si="1"/>
        <v>0</v>
      </c>
      <c r="BX19" s="49" t="b">
        <f t="shared" si="1"/>
        <v>0</v>
      </c>
      <c r="BY19" s="49" t="b">
        <f t="shared" si="1"/>
        <v>0</v>
      </c>
      <c r="BZ19" s="49" t="b">
        <f t="shared" si="1"/>
        <v>0</v>
      </c>
      <c r="CA19" s="49" t="b">
        <f t="shared" si="1"/>
        <v>1</v>
      </c>
      <c r="CB19" s="49" t="b">
        <f t="shared" si="1"/>
        <v>0</v>
      </c>
      <c r="CC19" s="49" t="b">
        <f t="shared" si="1"/>
        <v>0</v>
      </c>
      <c r="CD19" s="49" t="b">
        <f t="shared" si="1"/>
        <v>0</v>
      </c>
      <c r="CE19" s="49" t="b">
        <f t="shared" si="1"/>
        <v>0</v>
      </c>
      <c r="CF19" s="49" t="b">
        <f t="shared" si="1"/>
        <v>0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thickBot="1">
      <c r="A20" s="48" t="s">
        <v>3</v>
      </c>
      <c r="B20" s="5" t="s">
        <v>4</v>
      </c>
      <c r="C20" s="24" t="s">
        <v>7</v>
      </c>
      <c r="D20" s="49" t="b">
        <f t="shared" si="2"/>
        <v>1</v>
      </c>
      <c r="E20" s="49" t="b">
        <f t="shared" ref="E20:BP21" si="3">E8=E14</f>
        <v>1</v>
      </c>
      <c r="F20" s="49" t="b">
        <f t="shared" si="3"/>
        <v>1</v>
      </c>
      <c r="G20" s="49" t="b">
        <f t="shared" si="3"/>
        <v>0</v>
      </c>
      <c r="H20" s="49" t="b">
        <f t="shared" si="3"/>
        <v>1</v>
      </c>
      <c r="I20" s="49" t="b">
        <f t="shared" si="3"/>
        <v>1</v>
      </c>
      <c r="J20" s="49" t="b">
        <f t="shared" si="3"/>
        <v>1</v>
      </c>
      <c r="K20" s="49" t="b">
        <f t="shared" si="3"/>
        <v>1</v>
      </c>
      <c r="L20" s="49" t="b">
        <f t="shared" si="3"/>
        <v>1</v>
      </c>
      <c r="M20" s="49" t="b">
        <f t="shared" si="3"/>
        <v>1</v>
      </c>
      <c r="N20" s="49" t="b">
        <f t="shared" si="3"/>
        <v>0</v>
      </c>
      <c r="O20" s="49" t="b">
        <f t="shared" si="3"/>
        <v>1</v>
      </c>
      <c r="P20" s="49" t="b">
        <f t="shared" si="3"/>
        <v>1</v>
      </c>
      <c r="Q20" s="49" t="b">
        <f t="shared" si="3"/>
        <v>0</v>
      </c>
      <c r="R20" s="49" t="b">
        <f t="shared" si="3"/>
        <v>1</v>
      </c>
      <c r="S20" s="49" t="b">
        <f t="shared" si="3"/>
        <v>1</v>
      </c>
      <c r="T20" s="49" t="b">
        <f t="shared" si="3"/>
        <v>1</v>
      </c>
      <c r="U20" s="49" t="b">
        <f t="shared" si="3"/>
        <v>1</v>
      </c>
      <c r="V20" s="49" t="b">
        <f t="shared" si="3"/>
        <v>1</v>
      </c>
      <c r="W20" s="49" t="b">
        <f t="shared" si="3"/>
        <v>1</v>
      </c>
      <c r="X20" s="49" t="b">
        <f t="shared" si="3"/>
        <v>1</v>
      </c>
      <c r="Y20" s="49" t="b">
        <f t="shared" si="3"/>
        <v>1</v>
      </c>
      <c r="Z20" s="49" t="b">
        <f t="shared" si="3"/>
        <v>0</v>
      </c>
      <c r="AA20" s="49" t="b">
        <f t="shared" si="3"/>
        <v>1</v>
      </c>
      <c r="AB20" s="49" t="b">
        <f t="shared" si="3"/>
        <v>1</v>
      </c>
      <c r="AC20" s="49" t="b">
        <f t="shared" si="3"/>
        <v>0</v>
      </c>
      <c r="AD20" s="49" t="b">
        <f t="shared" si="3"/>
        <v>1</v>
      </c>
      <c r="AE20" s="49" t="b">
        <f t="shared" si="3"/>
        <v>1</v>
      </c>
      <c r="AF20" s="49" t="b">
        <f t="shared" si="3"/>
        <v>1</v>
      </c>
      <c r="AG20" s="49" t="b">
        <f t="shared" si="3"/>
        <v>1</v>
      </c>
      <c r="AH20" s="49" t="b">
        <f t="shared" si="3"/>
        <v>1</v>
      </c>
      <c r="AI20" s="49" t="b">
        <f t="shared" si="3"/>
        <v>0</v>
      </c>
      <c r="AJ20" s="49" t="b">
        <f t="shared" si="3"/>
        <v>1</v>
      </c>
      <c r="AK20" s="49" t="b">
        <f t="shared" si="3"/>
        <v>1</v>
      </c>
      <c r="AL20" s="49" t="b">
        <f t="shared" si="3"/>
        <v>1</v>
      </c>
      <c r="AM20" s="49" t="b">
        <f t="shared" si="3"/>
        <v>0</v>
      </c>
      <c r="AN20" s="49" t="b">
        <f t="shared" si="3"/>
        <v>1</v>
      </c>
      <c r="AO20" s="49" t="b">
        <f t="shared" si="3"/>
        <v>1</v>
      </c>
      <c r="AP20" s="49" t="b">
        <f t="shared" si="3"/>
        <v>0</v>
      </c>
      <c r="AQ20" s="49" t="b">
        <f t="shared" si="3"/>
        <v>1</v>
      </c>
      <c r="AR20" s="49" t="b">
        <f t="shared" si="3"/>
        <v>1</v>
      </c>
      <c r="AS20" s="49" t="b">
        <f t="shared" si="3"/>
        <v>1</v>
      </c>
      <c r="AT20" s="49" t="b">
        <f t="shared" si="3"/>
        <v>1</v>
      </c>
      <c r="AU20" s="49" t="b">
        <f t="shared" si="3"/>
        <v>0</v>
      </c>
      <c r="AV20" s="49" t="b">
        <f t="shared" si="3"/>
        <v>1</v>
      </c>
      <c r="AW20" s="49" t="b">
        <f t="shared" si="3"/>
        <v>1</v>
      </c>
      <c r="AX20" s="49" t="b">
        <f t="shared" si="3"/>
        <v>1</v>
      </c>
      <c r="AY20" s="49" t="b">
        <f t="shared" si="3"/>
        <v>1</v>
      </c>
      <c r="AZ20" s="49" t="b">
        <f t="shared" si="3"/>
        <v>0</v>
      </c>
      <c r="BA20" s="49" t="b">
        <f t="shared" si="3"/>
        <v>1</v>
      </c>
      <c r="BB20" s="49" t="b">
        <f t="shared" si="3"/>
        <v>1</v>
      </c>
      <c r="BC20" s="49" t="b">
        <f t="shared" si="3"/>
        <v>0</v>
      </c>
      <c r="BD20" s="49" t="b">
        <f t="shared" si="3"/>
        <v>1</v>
      </c>
      <c r="BE20" s="49" t="b">
        <f t="shared" si="3"/>
        <v>1</v>
      </c>
      <c r="BF20" s="49" t="b">
        <f t="shared" si="3"/>
        <v>1</v>
      </c>
      <c r="BG20" s="49" t="b">
        <f t="shared" si="3"/>
        <v>1</v>
      </c>
      <c r="BH20" s="49" t="b">
        <f t="shared" si="3"/>
        <v>0</v>
      </c>
      <c r="BI20" s="49" t="b">
        <f t="shared" si="3"/>
        <v>0</v>
      </c>
      <c r="BJ20" s="49" t="b">
        <f t="shared" si="3"/>
        <v>1</v>
      </c>
      <c r="BK20" s="49" t="b">
        <f t="shared" si="3"/>
        <v>1</v>
      </c>
      <c r="BL20" s="49" t="b">
        <f t="shared" si="3"/>
        <v>1</v>
      </c>
      <c r="BM20" s="49" t="b">
        <f t="shared" si="3"/>
        <v>1</v>
      </c>
      <c r="BN20" s="49" t="b">
        <f t="shared" si="3"/>
        <v>0</v>
      </c>
      <c r="BO20" s="49" t="b">
        <f t="shared" si="3"/>
        <v>1</v>
      </c>
      <c r="BP20" s="49" t="b">
        <f t="shared" si="3"/>
        <v>1</v>
      </c>
      <c r="BQ20" s="49" t="b">
        <f t="shared" si="1"/>
        <v>1</v>
      </c>
      <c r="BR20" s="49" t="b">
        <f t="shared" si="1"/>
        <v>1</v>
      </c>
      <c r="BS20" s="49" t="b">
        <f t="shared" si="1"/>
        <v>1</v>
      </c>
      <c r="BT20" s="49" t="b">
        <f t="shared" si="1"/>
        <v>1</v>
      </c>
      <c r="BU20" s="49" t="b">
        <f t="shared" si="1"/>
        <v>1</v>
      </c>
      <c r="BV20" s="49" t="b">
        <f t="shared" si="1"/>
        <v>0</v>
      </c>
      <c r="BW20" s="49" t="b">
        <f t="shared" si="1"/>
        <v>0</v>
      </c>
      <c r="BX20" s="49" t="b">
        <f t="shared" si="1"/>
        <v>0</v>
      </c>
      <c r="BY20" s="49" t="b">
        <f t="shared" si="1"/>
        <v>0</v>
      </c>
      <c r="BZ20" s="49" t="b">
        <f t="shared" si="1"/>
        <v>0</v>
      </c>
      <c r="CA20" s="49" t="b">
        <f t="shared" si="1"/>
        <v>0</v>
      </c>
      <c r="CB20" s="49" t="b">
        <f t="shared" si="1"/>
        <v>0</v>
      </c>
      <c r="CC20" s="49" t="b">
        <f t="shared" si="1"/>
        <v>0</v>
      </c>
      <c r="CD20" s="49" t="b">
        <f t="shared" si="1"/>
        <v>0</v>
      </c>
      <c r="CE20" s="49" t="b">
        <f t="shared" si="1"/>
        <v>0</v>
      </c>
      <c r="CF20" s="49" t="b">
        <f t="shared" si="1"/>
        <v>0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thickBot="1">
      <c r="A21" s="48" t="s">
        <v>3</v>
      </c>
      <c r="B21" s="5" t="s">
        <v>4</v>
      </c>
      <c r="C21" s="25" t="s">
        <v>8</v>
      </c>
      <c r="D21" s="49" t="b">
        <f t="shared" si="2"/>
        <v>1</v>
      </c>
      <c r="E21" s="49" t="b">
        <f t="shared" si="3"/>
        <v>1</v>
      </c>
      <c r="F21" s="49" t="b">
        <f t="shared" si="3"/>
        <v>1</v>
      </c>
      <c r="G21" s="49" t="b">
        <f t="shared" si="3"/>
        <v>1</v>
      </c>
      <c r="H21" s="49" t="b">
        <f t="shared" si="3"/>
        <v>1</v>
      </c>
      <c r="I21" s="49" t="b">
        <f t="shared" si="3"/>
        <v>1</v>
      </c>
      <c r="J21" s="49" t="b">
        <f t="shared" si="3"/>
        <v>1</v>
      </c>
      <c r="K21" s="49" t="b">
        <f t="shared" si="3"/>
        <v>1</v>
      </c>
      <c r="L21" s="49" t="b">
        <f t="shared" si="3"/>
        <v>1</v>
      </c>
      <c r="M21" s="49" t="b">
        <f t="shared" si="3"/>
        <v>1</v>
      </c>
      <c r="N21" s="49" t="b">
        <f t="shared" si="3"/>
        <v>0</v>
      </c>
      <c r="O21" s="49" t="b">
        <f t="shared" si="3"/>
        <v>1</v>
      </c>
      <c r="P21" s="49" t="b">
        <f t="shared" si="3"/>
        <v>1</v>
      </c>
      <c r="Q21" s="49" t="b">
        <f t="shared" si="3"/>
        <v>0</v>
      </c>
      <c r="R21" s="49" t="b">
        <f t="shared" si="3"/>
        <v>1</v>
      </c>
      <c r="S21" s="49" t="b">
        <f t="shared" si="3"/>
        <v>1</v>
      </c>
      <c r="T21" s="49" t="b">
        <f t="shared" si="3"/>
        <v>1</v>
      </c>
      <c r="U21" s="49" t="b">
        <f t="shared" si="3"/>
        <v>1</v>
      </c>
      <c r="V21" s="49" t="b">
        <f t="shared" si="3"/>
        <v>1</v>
      </c>
      <c r="W21" s="49" t="b">
        <f t="shared" si="3"/>
        <v>1</v>
      </c>
      <c r="X21" s="49" t="b">
        <f t="shared" si="3"/>
        <v>1</v>
      </c>
      <c r="Y21" s="49" t="b">
        <f t="shared" si="3"/>
        <v>1</v>
      </c>
      <c r="Z21" s="49" t="b">
        <f t="shared" si="3"/>
        <v>0</v>
      </c>
      <c r="AA21" s="49" t="b">
        <f t="shared" si="3"/>
        <v>1</v>
      </c>
      <c r="AB21" s="49" t="b">
        <f t="shared" si="3"/>
        <v>1</v>
      </c>
      <c r="AC21" s="49" t="b">
        <f t="shared" si="3"/>
        <v>0</v>
      </c>
      <c r="AD21" s="49" t="b">
        <f t="shared" si="3"/>
        <v>1</v>
      </c>
      <c r="AE21" s="49" t="b">
        <f t="shared" si="3"/>
        <v>1</v>
      </c>
      <c r="AF21" s="49" t="b">
        <f t="shared" si="3"/>
        <v>1</v>
      </c>
      <c r="AG21" s="49" t="b">
        <f t="shared" si="3"/>
        <v>1</v>
      </c>
      <c r="AH21" s="49" t="b">
        <f t="shared" si="3"/>
        <v>1</v>
      </c>
      <c r="AI21" s="49" t="b">
        <f t="shared" si="3"/>
        <v>1</v>
      </c>
      <c r="AJ21" s="49" t="b">
        <f t="shared" si="3"/>
        <v>1</v>
      </c>
      <c r="AK21" s="49" t="b">
        <f t="shared" si="3"/>
        <v>1</v>
      </c>
      <c r="AL21" s="49" t="b">
        <f t="shared" si="3"/>
        <v>1</v>
      </c>
      <c r="AM21" s="49" t="b">
        <f t="shared" si="3"/>
        <v>0</v>
      </c>
      <c r="AN21" s="49" t="b">
        <f t="shared" si="3"/>
        <v>1</v>
      </c>
      <c r="AO21" s="49" t="b">
        <f t="shared" si="3"/>
        <v>1</v>
      </c>
      <c r="AP21" s="49" t="b">
        <f t="shared" si="3"/>
        <v>0</v>
      </c>
      <c r="AQ21" s="49" t="b">
        <f t="shared" si="3"/>
        <v>1</v>
      </c>
      <c r="AR21" s="49" t="b">
        <f t="shared" si="3"/>
        <v>1</v>
      </c>
      <c r="AS21" s="49" t="b">
        <f t="shared" si="3"/>
        <v>1</v>
      </c>
      <c r="AT21" s="49" t="b">
        <f t="shared" si="3"/>
        <v>1</v>
      </c>
      <c r="AU21" s="49" t="b">
        <f t="shared" si="3"/>
        <v>0</v>
      </c>
      <c r="AV21" s="49" t="b">
        <f t="shared" si="3"/>
        <v>1</v>
      </c>
      <c r="AW21" s="49" t="b">
        <f t="shared" si="3"/>
        <v>1</v>
      </c>
      <c r="AX21" s="49" t="b">
        <f t="shared" si="3"/>
        <v>1</v>
      </c>
      <c r="AY21" s="49" t="b">
        <f t="shared" si="3"/>
        <v>1</v>
      </c>
      <c r="AZ21" s="49" t="b">
        <f t="shared" si="3"/>
        <v>0</v>
      </c>
      <c r="BA21" s="49" t="b">
        <f t="shared" si="3"/>
        <v>1</v>
      </c>
      <c r="BB21" s="49" t="b">
        <f t="shared" si="3"/>
        <v>1</v>
      </c>
      <c r="BC21" s="49" t="b">
        <f t="shared" si="3"/>
        <v>0</v>
      </c>
      <c r="BD21" s="49" t="b">
        <f t="shared" si="3"/>
        <v>1</v>
      </c>
      <c r="BE21" s="49" t="b">
        <f t="shared" si="3"/>
        <v>1</v>
      </c>
      <c r="BF21" s="49" t="b">
        <f t="shared" si="3"/>
        <v>1</v>
      </c>
      <c r="BG21" s="49" t="b">
        <f t="shared" si="3"/>
        <v>1</v>
      </c>
      <c r="BH21" s="49" t="b">
        <f t="shared" si="3"/>
        <v>0</v>
      </c>
      <c r="BI21" s="49" t="b">
        <f t="shared" si="3"/>
        <v>0</v>
      </c>
      <c r="BJ21" s="49" t="b">
        <f t="shared" si="3"/>
        <v>1</v>
      </c>
      <c r="BK21" s="49" t="b">
        <f t="shared" si="3"/>
        <v>1</v>
      </c>
      <c r="BL21" s="49" t="b">
        <f t="shared" si="3"/>
        <v>1</v>
      </c>
      <c r="BM21" s="49" t="b">
        <f t="shared" si="3"/>
        <v>1</v>
      </c>
      <c r="BN21" s="49" t="b">
        <f t="shared" si="3"/>
        <v>1</v>
      </c>
      <c r="BO21" s="49" t="b">
        <f t="shared" si="3"/>
        <v>1</v>
      </c>
      <c r="BP21" s="49" t="b">
        <f t="shared" si="3"/>
        <v>1</v>
      </c>
      <c r="BQ21" s="49" t="b">
        <f t="shared" si="1"/>
        <v>1</v>
      </c>
      <c r="BR21" s="49" t="b">
        <f t="shared" si="1"/>
        <v>1</v>
      </c>
      <c r="BS21" s="49" t="b">
        <f t="shared" si="1"/>
        <v>1</v>
      </c>
      <c r="BT21" s="49" t="b">
        <f t="shared" si="1"/>
        <v>1</v>
      </c>
      <c r="BU21" s="49" t="b">
        <f t="shared" si="1"/>
        <v>1</v>
      </c>
      <c r="BV21" s="49" t="b">
        <f t="shared" si="1"/>
        <v>0</v>
      </c>
      <c r="BW21" s="49" t="b">
        <f t="shared" si="1"/>
        <v>0</v>
      </c>
      <c r="BX21" s="49" t="b">
        <f t="shared" si="1"/>
        <v>0</v>
      </c>
      <c r="BY21" s="49" t="b">
        <f t="shared" si="1"/>
        <v>0</v>
      </c>
      <c r="BZ21" s="49" t="b">
        <f t="shared" si="1"/>
        <v>0</v>
      </c>
      <c r="CA21" s="49" t="b">
        <f t="shared" si="1"/>
        <v>0</v>
      </c>
      <c r="CB21" s="49" t="b">
        <f t="shared" si="1"/>
        <v>0</v>
      </c>
      <c r="CC21" s="49" t="b">
        <f t="shared" si="1"/>
        <v>0</v>
      </c>
      <c r="CD21" s="49" t="b">
        <f t="shared" si="1"/>
        <v>0</v>
      </c>
      <c r="CE21" s="49" t="b">
        <f t="shared" si="1"/>
        <v>0</v>
      </c>
      <c r="CF21" s="49" t="b">
        <f t="shared" si="1"/>
        <v>0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>
      <c r="A22"/>
      <c r="B22"/>
      <c r="C22"/>
      <c r="D22" s="33"/>
      <c r="E22" s="33"/>
      <c r="F22" s="33"/>
      <c r="G22" s="33"/>
      <c r="H22" s="33"/>
      <c r="I22" s="33"/>
      <c r="J22" s="33"/>
      <c r="K22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M22" s="33"/>
      <c r="AN22" s="33"/>
      <c r="AO22" s="33"/>
      <c r="AP22" s="33"/>
      <c r="AQ22" s="33"/>
      <c r="AR22" s="33"/>
      <c r="AS22" s="33"/>
      <c r="AT22" s="33"/>
      <c r="AU22" s="33"/>
      <c r="AV22" s="33"/>
    </row>
    <row r="23" spans="1:16376">
      <c r="A23"/>
      <c r="B23"/>
      <c r="C23"/>
      <c r="D23" s="33"/>
      <c r="E23" s="33"/>
      <c r="F23" s="33"/>
      <c r="G23" s="33"/>
      <c r="H23" s="33"/>
      <c r="I23" s="33"/>
      <c r="J23" s="33"/>
      <c r="K23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M23" s="33"/>
      <c r="AN23" s="33"/>
      <c r="AO23" s="33"/>
      <c r="AP23" s="33"/>
      <c r="AQ23" s="33"/>
      <c r="AR23" s="33"/>
      <c r="AS23" s="33"/>
      <c r="AT23" s="33"/>
      <c r="AU23" s="33"/>
      <c r="AV23" s="33"/>
    </row>
    <row r="24" spans="1:16376">
      <c r="A24"/>
      <c r="B24"/>
      <c r="C24"/>
      <c r="D24"/>
      <c r="E24"/>
      <c r="F24"/>
      <c r="G24"/>
      <c r="H24"/>
      <c r="I24"/>
      <c r="J24"/>
      <c r="K2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/>
      <c r="B25"/>
      <c r="C25"/>
      <c r="D25"/>
      <c r="E25"/>
      <c r="F25"/>
      <c r="G25"/>
      <c r="H25"/>
      <c r="I25"/>
      <c r="J25"/>
      <c r="K25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 ht="14.25">
      <c r="A26" s="6"/>
      <c r="B26" s="7"/>
      <c r="C26" s="6"/>
      <c r="D26" s="6"/>
      <c r="E26" s="33"/>
      <c r="F26" s="33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33"/>
      <c r="T26" s="33"/>
      <c r="U26" s="33"/>
      <c r="V26" s="6"/>
      <c r="W26" s="6"/>
      <c r="X26" s="6"/>
      <c r="Y26" s="6"/>
      <c r="Z26" s="6"/>
      <c r="AE26" s="33"/>
      <c r="AF26" s="33"/>
      <c r="AG26" s="33"/>
      <c r="AH26" s="33"/>
      <c r="AR26" s="33"/>
      <c r="AS26" s="33"/>
      <c r="AT26" s="33"/>
      <c r="AU26" s="33"/>
      <c r="BE26" s="33"/>
      <c r="BF26" s="33"/>
      <c r="BG26" s="33"/>
      <c r="BJ26" s="33"/>
      <c r="BK26" s="33"/>
      <c r="BL26" s="33"/>
      <c r="BP26" s="33"/>
      <c r="BQ26" s="33"/>
      <c r="BR26" s="33"/>
      <c r="BV26" s="33"/>
      <c r="BW26" s="33"/>
      <c r="BX26" s="33"/>
      <c r="BY26" s="33"/>
      <c r="BZ26" s="33"/>
      <c r="CA26" s="33"/>
    </row>
    <row r="27" spans="1:16376" ht="14.25">
      <c r="A27" s="6"/>
      <c r="B27" s="7"/>
      <c r="C27" s="6"/>
      <c r="D27" s="33"/>
      <c r="E27" s="33"/>
      <c r="F27" s="33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33"/>
      <c r="T27" s="33"/>
      <c r="U27" s="33"/>
      <c r="V27" s="6"/>
      <c r="W27" s="6"/>
      <c r="X27" s="6"/>
      <c r="Y27" s="6"/>
      <c r="Z27" s="6"/>
      <c r="AE27" s="33"/>
      <c r="AF27" s="33"/>
      <c r="AG27" s="33"/>
      <c r="AH27" s="33"/>
      <c r="AR27" s="33"/>
      <c r="AS27" s="33"/>
      <c r="AT27" s="33"/>
      <c r="AU27" s="33"/>
      <c r="BE27" s="33"/>
      <c r="BF27" s="33"/>
      <c r="BG27" s="33"/>
      <c r="BJ27" s="33"/>
      <c r="BK27" s="33"/>
      <c r="BL27" s="33"/>
      <c r="BP27" s="33"/>
      <c r="BQ27" s="33"/>
      <c r="BR27" s="33"/>
      <c r="BV27" s="33"/>
      <c r="BW27" s="33"/>
      <c r="BX27" s="33"/>
      <c r="BY27" s="33"/>
      <c r="BZ27" s="33"/>
      <c r="CA27" s="33"/>
    </row>
    <row r="28" spans="1:16376" ht="14.25">
      <c r="A28" s="6"/>
      <c r="B28" s="7"/>
      <c r="C28" s="6"/>
      <c r="D28" s="33"/>
      <c r="E28" s="33"/>
      <c r="F28" s="33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33"/>
      <c r="T28" s="33"/>
      <c r="U28" s="33"/>
      <c r="V28" s="6"/>
      <c r="W28" s="6"/>
      <c r="X28" s="6"/>
      <c r="Y28" s="6"/>
      <c r="Z28" s="6"/>
      <c r="AE28" s="33"/>
      <c r="AF28" s="33"/>
      <c r="AG28" s="33"/>
      <c r="AH28" s="33"/>
      <c r="AR28" s="33"/>
      <c r="AS28" s="33"/>
      <c r="AT28" s="33"/>
      <c r="AU28" s="33"/>
      <c r="BE28" s="33"/>
      <c r="BF28" s="33"/>
      <c r="BG28" s="33"/>
      <c r="BJ28" s="33"/>
      <c r="BK28" s="33"/>
      <c r="BL28" s="33"/>
      <c r="BP28" s="33"/>
      <c r="BQ28" s="33"/>
      <c r="BR28" s="33"/>
      <c r="BV28" s="33"/>
      <c r="BW28" s="33"/>
      <c r="BX28" s="33"/>
      <c r="BY28" s="33"/>
      <c r="BZ28" s="33"/>
      <c r="CA28" s="33"/>
    </row>
    <row r="29" spans="1:16376" ht="14.25">
      <c r="A29" s="6"/>
      <c r="B29" s="7"/>
      <c r="C29" s="6"/>
      <c r="D29" s="33"/>
      <c r="E29" s="33"/>
      <c r="F29" s="33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33"/>
      <c r="T29" s="33"/>
      <c r="U29" s="33"/>
      <c r="V29" s="6"/>
      <c r="W29" s="6"/>
      <c r="X29" s="6"/>
      <c r="Y29" s="6"/>
      <c r="Z29" s="6"/>
      <c r="AE29" s="33"/>
      <c r="AF29" s="33"/>
      <c r="AG29" s="33"/>
      <c r="AH29" s="33"/>
      <c r="AR29" s="33"/>
      <c r="AS29" s="33"/>
      <c r="AT29" s="33"/>
      <c r="AU29" s="33"/>
      <c r="BE29" s="33"/>
      <c r="BF29" s="33"/>
      <c r="BG29" s="33"/>
      <c r="BJ29" s="33"/>
      <c r="BK29" s="33"/>
      <c r="BL29" s="33"/>
      <c r="BP29" s="33"/>
      <c r="BQ29" s="33"/>
      <c r="BR29" s="33"/>
      <c r="BV29" s="33"/>
      <c r="BW29" s="33"/>
      <c r="BX29" s="33"/>
      <c r="BY29" s="33"/>
      <c r="BZ29" s="33"/>
      <c r="CA29" s="33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1048517" spans="42:42">
      <c r="AP1048517" s="21"/>
    </row>
  </sheetData>
  <dataConsolidate/>
  <mergeCells count="11">
    <mergeCell ref="F17:I17"/>
    <mergeCell ref="F11:I11"/>
    <mergeCell ref="A1:C2"/>
    <mergeCell ref="BV2:CF2"/>
    <mergeCell ref="BJ2:BO2"/>
    <mergeCell ref="BP2:BU2"/>
    <mergeCell ref="BE2:BI2"/>
    <mergeCell ref="D2:R2"/>
    <mergeCell ref="S2:AD2"/>
    <mergeCell ref="AE2:AQ2"/>
    <mergeCell ref="AR2:BD2"/>
  </mergeCells>
  <conditionalFormatting sqref="AT6:AV9">
    <cfRule type="cellIs" dxfId="41" priority="85" operator="lessThan">
      <formula>0</formula>
    </cfRule>
  </conditionalFormatting>
  <conditionalFormatting sqref="AP6:AQ9">
    <cfRule type="cellIs" dxfId="40" priority="84" operator="greaterThan">
      <formula>0</formula>
    </cfRule>
  </conditionalFormatting>
  <conditionalFormatting sqref="AV11">
    <cfRule type="cellIs" dxfId="39" priority="71" operator="lessThan">
      <formula>0</formula>
    </cfRule>
  </conditionalFormatting>
  <conditionalFormatting sqref="AQ11">
    <cfRule type="cellIs" dxfId="38" priority="68" operator="lessThan">
      <formula>0</formula>
    </cfRule>
  </conditionalFormatting>
  <conditionalFormatting sqref="AR6:AR9">
    <cfRule type="cellIs" dxfId="37" priority="57" operator="greaterThan">
      <formula>0</formula>
    </cfRule>
  </conditionalFormatting>
  <conditionalFormatting sqref="AD6:AD9">
    <cfRule type="cellIs" dxfId="36" priority="51" operator="lessThan">
      <formula>3.25</formula>
    </cfRule>
  </conditionalFormatting>
  <conditionalFormatting sqref="AV17">
    <cfRule type="cellIs" dxfId="35" priority="27" operator="lessThan">
      <formula>0</formula>
    </cfRule>
  </conditionalFormatting>
  <conditionalFormatting sqref="AQ17">
    <cfRule type="cellIs" dxfId="34" priority="26" operator="lessThan">
      <formula>0</formula>
    </cfRule>
  </conditionalFormatting>
  <conditionalFormatting sqref="AT12:AV15">
    <cfRule type="cellIs" dxfId="33" priority="20" operator="lessThan">
      <formula>0</formula>
    </cfRule>
  </conditionalFormatting>
  <conditionalFormatting sqref="AP12:AQ15">
    <cfRule type="cellIs" dxfId="32" priority="19" operator="greaterThan">
      <formula>0</formula>
    </cfRule>
  </conditionalFormatting>
  <conditionalFormatting sqref="AR12:AR15">
    <cfRule type="cellIs" dxfId="31" priority="18" operator="greaterThan">
      <formula>0</formula>
    </cfRule>
  </conditionalFormatting>
  <conditionalFormatting sqref="AD12:AD15">
    <cfRule type="cellIs" dxfId="30" priority="17" operator="lessThan">
      <formula>3.25</formula>
    </cfRule>
  </conditionalFormatting>
  <conditionalFormatting sqref="D18:CF21">
    <cfRule type="cellIs" dxfId="29" priority="3" operator="equal">
      <formula>TRUE</formula>
    </cfRule>
    <cfRule type="cellIs" dxfId="28" priority="4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XEV8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6" bestFit="1" customWidth="1"/>
    <col min="46" max="84" width="16.28515625" style="3" bestFit="1" customWidth="1"/>
    <col min="85" max="16384" width="11.42578125" style="3"/>
  </cols>
  <sheetData>
    <row r="1" spans="1:84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84" ht="15" thickBot="1"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</row>
    <row r="3" spans="1:84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</row>
    <row r="4" spans="1:84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</row>
    <row r="5" spans="1:84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</row>
    <row r="6" spans="1:84" s="16" customFormat="1" ht="15" thickBot="1">
      <c r="A6" s="80" t="s">
        <v>3</v>
      </c>
      <c r="B6" s="79" t="s">
        <v>4</v>
      </c>
      <c r="C6" s="81" t="s">
        <v>5</v>
      </c>
      <c r="D6" s="54"/>
      <c r="E6" s="65"/>
      <c r="F6" s="65"/>
      <c r="G6" s="94"/>
      <c r="H6" s="94"/>
      <c r="I6" s="95"/>
      <c r="J6" s="54"/>
      <c r="K6" s="54"/>
      <c r="L6" s="54"/>
      <c r="M6" s="54"/>
      <c r="N6" s="54"/>
      <c r="O6" s="54"/>
      <c r="P6" s="54"/>
      <c r="Q6" s="54"/>
      <c r="R6" s="54"/>
      <c r="S6" s="55"/>
      <c r="T6" s="55"/>
      <c r="U6" s="55"/>
      <c r="V6" s="96"/>
      <c r="W6" s="97"/>
      <c r="X6" s="55"/>
      <c r="Y6" s="55"/>
      <c r="Z6" s="55"/>
      <c r="AA6" s="55"/>
      <c r="AB6" s="55"/>
      <c r="AC6" s="55"/>
      <c r="AD6" s="55"/>
      <c r="AE6" s="54"/>
      <c r="AF6" s="54"/>
      <c r="AG6" s="54"/>
      <c r="AH6" s="54"/>
      <c r="AI6" s="98"/>
      <c r="AJ6" s="98"/>
      <c r="AK6" s="54"/>
      <c r="AL6" s="54"/>
      <c r="AM6" s="54"/>
      <c r="AN6" s="54"/>
      <c r="AO6" s="54"/>
      <c r="AP6" s="54"/>
      <c r="AQ6" s="54"/>
      <c r="AR6" s="55"/>
      <c r="AS6" s="55"/>
      <c r="AT6" s="55"/>
      <c r="AU6" s="55"/>
      <c r="AV6" s="97"/>
      <c r="AW6" s="97"/>
      <c r="AX6" s="55"/>
      <c r="AY6" s="55"/>
      <c r="AZ6" s="55"/>
      <c r="BA6" s="55"/>
      <c r="BB6" s="55"/>
      <c r="BC6" s="55"/>
      <c r="BD6" s="55"/>
      <c r="BE6" s="74">
        <v>0</v>
      </c>
      <c r="BF6" s="99"/>
      <c r="BG6" s="99"/>
      <c r="BH6" s="57" t="s">
        <v>107</v>
      </c>
      <c r="BI6" s="57" t="s">
        <v>107</v>
      </c>
      <c r="BJ6" s="70"/>
      <c r="BK6" s="70"/>
      <c r="BL6" s="58"/>
      <c r="BM6" s="100"/>
      <c r="BN6" s="100"/>
      <c r="BO6" s="100"/>
      <c r="BP6" s="62"/>
      <c r="BQ6" s="62"/>
      <c r="BR6" s="62"/>
      <c r="BS6" s="101"/>
      <c r="BT6" s="101"/>
      <c r="BU6" s="101"/>
      <c r="BV6" s="93"/>
      <c r="BW6" s="91"/>
      <c r="BX6" s="102"/>
      <c r="BY6" s="91"/>
      <c r="BZ6" s="103"/>
      <c r="CA6" s="92"/>
      <c r="CB6" s="104"/>
      <c r="CC6" s="91"/>
      <c r="CD6" s="92"/>
      <c r="CE6" s="104"/>
      <c r="CF6" s="91"/>
    </row>
    <row r="7" spans="1:84" s="16" customFormat="1" ht="15" thickBot="1">
      <c r="A7" s="80" t="s">
        <v>3</v>
      </c>
      <c r="B7" s="79" t="s">
        <v>4</v>
      </c>
      <c r="C7" s="68" t="s">
        <v>6</v>
      </c>
      <c r="D7" s="54"/>
      <c r="E7" s="65"/>
      <c r="F7" s="54"/>
      <c r="G7" s="94"/>
      <c r="H7" s="94"/>
      <c r="I7" s="95"/>
      <c r="J7" s="54"/>
      <c r="K7" s="54"/>
      <c r="L7" s="54"/>
      <c r="M7" s="54"/>
      <c r="N7" s="54"/>
      <c r="O7" s="54"/>
      <c r="P7" s="54"/>
      <c r="Q7" s="54"/>
      <c r="R7" s="54"/>
      <c r="S7" s="55"/>
      <c r="T7" s="55"/>
      <c r="U7" s="55"/>
      <c r="V7" s="96"/>
      <c r="W7" s="97"/>
      <c r="X7" s="55"/>
      <c r="Y7" s="55"/>
      <c r="Z7" s="55"/>
      <c r="AA7" s="55"/>
      <c r="AB7" s="55"/>
      <c r="AC7" s="55"/>
      <c r="AD7" s="55"/>
      <c r="AE7" s="54"/>
      <c r="AF7" s="54"/>
      <c r="AG7" s="54"/>
      <c r="AH7" s="54"/>
      <c r="AI7" s="98"/>
      <c r="AJ7" s="98"/>
      <c r="AK7" s="54"/>
      <c r="AL7" s="54"/>
      <c r="AM7" s="54"/>
      <c r="AN7" s="54"/>
      <c r="AO7" s="54"/>
      <c r="AP7" s="54"/>
      <c r="AQ7" s="54"/>
      <c r="AR7" s="55"/>
      <c r="AS7" s="55"/>
      <c r="AT7" s="55"/>
      <c r="AU7" s="55"/>
      <c r="AV7" s="97"/>
      <c r="AW7" s="97"/>
      <c r="AX7" s="55"/>
      <c r="AY7" s="55"/>
      <c r="AZ7" s="55"/>
      <c r="BA7" s="55"/>
      <c r="BB7" s="55"/>
      <c r="BC7" s="55"/>
      <c r="BD7" s="55"/>
      <c r="BE7" s="74">
        <v>0</v>
      </c>
      <c r="BF7" s="99"/>
      <c r="BG7" s="99"/>
      <c r="BH7" s="57" t="s">
        <v>107</v>
      </c>
      <c r="BI7" s="57" t="s">
        <v>107</v>
      </c>
      <c r="BJ7" s="70"/>
      <c r="BK7" s="70"/>
      <c r="BL7" s="58"/>
      <c r="BM7" s="100"/>
      <c r="BN7" s="100"/>
      <c r="BO7" s="100"/>
      <c r="BP7" s="62"/>
      <c r="BQ7" s="62"/>
      <c r="BR7" s="62"/>
      <c r="BS7" s="101"/>
      <c r="BT7" s="101"/>
      <c r="BU7" s="101"/>
      <c r="BV7" s="93"/>
      <c r="BW7" s="91"/>
      <c r="BX7" s="102"/>
      <c r="BY7" s="91"/>
      <c r="BZ7" s="103"/>
      <c r="CA7" s="92"/>
      <c r="CB7" s="104"/>
      <c r="CC7" s="91"/>
      <c r="CD7" s="92"/>
      <c r="CE7" s="104"/>
      <c r="CF7" s="91"/>
    </row>
    <row r="8" spans="1:84" s="16" customFormat="1" ht="15" thickBot="1">
      <c r="A8" s="80" t="s">
        <v>3</v>
      </c>
      <c r="B8" s="79" t="s">
        <v>4</v>
      </c>
      <c r="C8" s="77" t="s">
        <v>7</v>
      </c>
      <c r="D8" s="54"/>
      <c r="E8" s="65"/>
      <c r="F8" s="54"/>
      <c r="G8" s="94"/>
      <c r="H8" s="94"/>
      <c r="I8" s="95"/>
      <c r="J8" s="54"/>
      <c r="K8" s="54"/>
      <c r="L8" s="54"/>
      <c r="M8" s="54"/>
      <c r="N8" s="54"/>
      <c r="O8" s="54"/>
      <c r="P8" s="54"/>
      <c r="Q8" s="54"/>
      <c r="R8" s="54"/>
      <c r="S8" s="55"/>
      <c r="T8" s="55"/>
      <c r="U8" s="55"/>
      <c r="V8" s="96"/>
      <c r="W8" s="97"/>
      <c r="X8" s="55"/>
      <c r="Y8" s="55"/>
      <c r="Z8" s="55"/>
      <c r="AA8" s="55"/>
      <c r="AB8" s="55"/>
      <c r="AC8" s="55"/>
      <c r="AD8" s="55"/>
      <c r="AE8" s="54"/>
      <c r="AF8" s="54"/>
      <c r="AG8" s="54"/>
      <c r="AH8" s="54"/>
      <c r="AI8" s="98"/>
      <c r="AJ8" s="98"/>
      <c r="AK8" s="54"/>
      <c r="AL8" s="54"/>
      <c r="AM8" s="54"/>
      <c r="AN8" s="54"/>
      <c r="AO8" s="54"/>
      <c r="AP8" s="54"/>
      <c r="AQ8" s="54"/>
      <c r="AR8" s="55"/>
      <c r="AS8" s="55"/>
      <c r="AT8" s="55"/>
      <c r="AU8" s="55"/>
      <c r="AV8" s="97"/>
      <c r="AW8" s="97"/>
      <c r="AX8" s="55"/>
      <c r="AY8" s="55"/>
      <c r="AZ8" s="55"/>
      <c r="BA8" s="55"/>
      <c r="BB8" s="55"/>
      <c r="BC8" s="55"/>
      <c r="BD8" s="55"/>
      <c r="BE8" s="74">
        <v>0</v>
      </c>
      <c r="BF8" s="99"/>
      <c r="BG8" s="99"/>
      <c r="BH8" s="57" t="s">
        <v>107</v>
      </c>
      <c r="BI8" s="57" t="s">
        <v>107</v>
      </c>
      <c r="BJ8" s="70"/>
      <c r="BK8" s="70"/>
      <c r="BL8" s="58"/>
      <c r="BM8" s="100"/>
      <c r="BN8" s="100"/>
      <c r="BO8" s="100"/>
      <c r="BP8" s="62"/>
      <c r="BQ8" s="62"/>
      <c r="BR8" s="62"/>
      <c r="BS8" s="101"/>
      <c r="BT8" s="101"/>
      <c r="BU8" s="101"/>
      <c r="BV8" s="93"/>
      <c r="BW8" s="91"/>
      <c r="BX8" s="102"/>
      <c r="BY8" s="91"/>
      <c r="BZ8" s="103"/>
      <c r="CA8" s="92"/>
      <c r="CB8" s="104"/>
      <c r="CC8" s="91"/>
      <c r="CD8" s="92"/>
      <c r="CE8" s="104"/>
      <c r="CF8" s="91"/>
    </row>
    <row r="9" spans="1:84" s="16" customFormat="1" ht="15" thickBot="1">
      <c r="A9" s="80" t="s">
        <v>3</v>
      </c>
      <c r="B9" s="79" t="s">
        <v>4</v>
      </c>
      <c r="C9" s="75" t="s">
        <v>8</v>
      </c>
      <c r="D9" s="54"/>
      <c r="E9" s="65"/>
      <c r="F9" s="54"/>
      <c r="G9" s="94"/>
      <c r="H9" s="94"/>
      <c r="I9" s="95"/>
      <c r="J9" s="54"/>
      <c r="K9" s="54"/>
      <c r="L9" s="54"/>
      <c r="M9" s="54"/>
      <c r="N9" s="54"/>
      <c r="O9" s="54"/>
      <c r="P9" s="54"/>
      <c r="Q9" s="54"/>
      <c r="R9" s="54"/>
      <c r="S9" s="55"/>
      <c r="T9" s="55"/>
      <c r="U9" s="55"/>
      <c r="V9" s="96"/>
      <c r="W9" s="97"/>
      <c r="X9" s="55"/>
      <c r="Y9" s="55"/>
      <c r="Z9" s="55"/>
      <c r="AA9" s="55"/>
      <c r="AB9" s="55"/>
      <c r="AC9" s="55"/>
      <c r="AD9" s="55"/>
      <c r="AE9" s="54"/>
      <c r="AF9" s="54"/>
      <c r="AG9" s="54"/>
      <c r="AH9" s="54"/>
      <c r="AI9" s="98"/>
      <c r="AJ9" s="98"/>
      <c r="AK9" s="54"/>
      <c r="AL9" s="54"/>
      <c r="AM9" s="54"/>
      <c r="AN9" s="54"/>
      <c r="AO9" s="54"/>
      <c r="AP9" s="54"/>
      <c r="AQ9" s="54"/>
      <c r="AR9" s="55"/>
      <c r="AS9" s="55"/>
      <c r="AT9" s="55"/>
      <c r="AU9" s="55"/>
      <c r="AV9" s="97"/>
      <c r="AW9" s="97"/>
      <c r="AX9" s="55"/>
      <c r="AY9" s="55"/>
      <c r="AZ9" s="55"/>
      <c r="BA9" s="55"/>
      <c r="BB9" s="55"/>
      <c r="BC9" s="55"/>
      <c r="BD9" s="55"/>
      <c r="BE9" s="74">
        <v>0</v>
      </c>
      <c r="BF9" s="99"/>
      <c r="BG9" s="99"/>
      <c r="BH9" s="57" t="s">
        <v>107</v>
      </c>
      <c r="BI9" s="57" t="s">
        <v>107</v>
      </c>
      <c r="BJ9" s="70"/>
      <c r="BK9" s="70"/>
      <c r="BL9" s="58"/>
      <c r="BM9" s="100"/>
      <c r="BN9" s="100"/>
      <c r="BO9" s="100"/>
      <c r="BP9" s="62"/>
      <c r="BQ9" s="62"/>
      <c r="BR9" s="62"/>
      <c r="BS9" s="101"/>
      <c r="BT9" s="101"/>
      <c r="BU9" s="101"/>
      <c r="BV9" s="93"/>
      <c r="BW9" s="91"/>
      <c r="BX9" s="102"/>
      <c r="BY9" s="91"/>
      <c r="BZ9" s="103"/>
      <c r="CA9" s="92"/>
      <c r="CB9" s="104"/>
      <c r="CC9" s="91"/>
      <c r="CD9" s="92"/>
      <c r="CE9" s="104"/>
      <c r="CF9" s="91"/>
    </row>
    <row r="10" spans="1:84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</row>
    <row r="11" spans="1:84" s="105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</row>
    <row r="12" spans="1:84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</row>
    <row r="13" spans="1:84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</row>
    <row r="14" spans="1:84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</row>
    <row r="15" spans="1:84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</row>
    <row r="16" spans="1:84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1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1</v>
      </c>
      <c r="H18" s="49" t="b">
        <f t="shared" si="0"/>
        <v>1</v>
      </c>
      <c r="I18" s="49" t="b">
        <f t="shared" si="0"/>
        <v>1</v>
      </c>
      <c r="J18" s="49" t="b">
        <f t="shared" si="0"/>
        <v>1</v>
      </c>
      <c r="K18" s="49" t="b">
        <f t="shared" si="0"/>
        <v>1</v>
      </c>
      <c r="L18" s="49" t="b">
        <f t="shared" si="0"/>
        <v>1</v>
      </c>
      <c r="M18" s="49" t="b">
        <f t="shared" si="0"/>
        <v>1</v>
      </c>
      <c r="N18" s="49" t="b">
        <f t="shared" si="0"/>
        <v>1</v>
      </c>
      <c r="O18" s="49" t="b">
        <f t="shared" si="0"/>
        <v>1</v>
      </c>
      <c r="P18" s="49" t="b">
        <f t="shared" si="0"/>
        <v>1</v>
      </c>
      <c r="Q18" s="49" t="b">
        <f t="shared" si="0"/>
        <v>1</v>
      </c>
      <c r="R18" s="49" t="b">
        <f t="shared" si="0"/>
        <v>1</v>
      </c>
      <c r="S18" s="49" t="b">
        <f t="shared" si="0"/>
        <v>1</v>
      </c>
      <c r="T18" s="49" t="b">
        <f t="shared" si="0"/>
        <v>1</v>
      </c>
      <c r="U18" s="49" t="b">
        <f t="shared" si="0"/>
        <v>1</v>
      </c>
      <c r="V18" s="49" t="b">
        <f t="shared" si="0"/>
        <v>1</v>
      </c>
      <c r="W18" s="49" t="b">
        <f t="shared" si="0"/>
        <v>1</v>
      </c>
      <c r="X18" s="49" t="b">
        <f t="shared" si="0"/>
        <v>1</v>
      </c>
      <c r="Y18" s="49" t="b">
        <f t="shared" si="0"/>
        <v>1</v>
      </c>
      <c r="Z18" s="49" t="b">
        <f t="shared" si="0"/>
        <v>1</v>
      </c>
      <c r="AA18" s="49" t="b">
        <f t="shared" si="0"/>
        <v>1</v>
      </c>
      <c r="AB18" s="49" t="b">
        <f t="shared" si="0"/>
        <v>1</v>
      </c>
      <c r="AC18" s="49" t="b">
        <f t="shared" si="0"/>
        <v>1</v>
      </c>
      <c r="AD18" s="49" t="b">
        <f t="shared" si="0"/>
        <v>1</v>
      </c>
      <c r="AE18" s="49" t="b">
        <f t="shared" si="0"/>
        <v>1</v>
      </c>
      <c r="AF18" s="49" t="b">
        <f t="shared" si="0"/>
        <v>1</v>
      </c>
      <c r="AG18" s="49" t="b">
        <f t="shared" si="0"/>
        <v>1</v>
      </c>
      <c r="AH18" s="49" t="b">
        <f t="shared" si="0"/>
        <v>1</v>
      </c>
      <c r="AI18" s="49" t="b">
        <f t="shared" si="0"/>
        <v>1</v>
      </c>
      <c r="AJ18" s="49" t="b">
        <f t="shared" si="0"/>
        <v>1</v>
      </c>
      <c r="AK18" s="49" t="b">
        <f t="shared" si="0"/>
        <v>1</v>
      </c>
      <c r="AL18" s="49" t="b">
        <f t="shared" si="0"/>
        <v>1</v>
      </c>
      <c r="AM18" s="49" t="b">
        <f t="shared" si="0"/>
        <v>1</v>
      </c>
      <c r="AN18" s="49" t="b">
        <f t="shared" si="0"/>
        <v>1</v>
      </c>
      <c r="AO18" s="49" t="b">
        <f t="shared" si="0"/>
        <v>1</v>
      </c>
      <c r="AP18" s="49" t="b">
        <f t="shared" si="0"/>
        <v>1</v>
      </c>
      <c r="AQ18" s="49" t="b">
        <f t="shared" si="0"/>
        <v>1</v>
      </c>
      <c r="AR18" s="49" t="b">
        <f t="shared" si="0"/>
        <v>1</v>
      </c>
      <c r="AS18" s="49" t="b">
        <f t="shared" si="0"/>
        <v>1</v>
      </c>
      <c r="AT18" s="49" t="b">
        <f t="shared" si="0"/>
        <v>1</v>
      </c>
      <c r="AU18" s="49" t="b">
        <f t="shared" si="0"/>
        <v>1</v>
      </c>
      <c r="AV18" s="49" t="b">
        <f t="shared" si="0"/>
        <v>1</v>
      </c>
      <c r="AW18" s="49" t="b">
        <f t="shared" si="0"/>
        <v>1</v>
      </c>
      <c r="AX18" s="49" t="b">
        <f t="shared" si="0"/>
        <v>1</v>
      </c>
      <c r="AY18" s="49" t="b">
        <f t="shared" si="0"/>
        <v>1</v>
      </c>
      <c r="AZ18" s="49" t="b">
        <f t="shared" si="0"/>
        <v>1</v>
      </c>
      <c r="BA18" s="49" t="b">
        <f t="shared" si="0"/>
        <v>1</v>
      </c>
      <c r="BB18" s="49" t="b">
        <f t="shared" si="0"/>
        <v>1</v>
      </c>
      <c r="BC18" s="49" t="b">
        <f t="shared" si="0"/>
        <v>1</v>
      </c>
      <c r="BD18" s="49" t="b">
        <f t="shared" si="0"/>
        <v>1</v>
      </c>
      <c r="BE18" s="49" t="b">
        <f t="shared" si="0"/>
        <v>1</v>
      </c>
      <c r="BF18" s="49" t="b">
        <f t="shared" si="0"/>
        <v>1</v>
      </c>
      <c r="BG18" s="49" t="b">
        <f t="shared" si="0"/>
        <v>1</v>
      </c>
      <c r="BH18" s="49" t="b">
        <f t="shared" si="0"/>
        <v>1</v>
      </c>
      <c r="BI18" s="49" t="b">
        <f t="shared" si="0"/>
        <v>1</v>
      </c>
      <c r="BJ18" s="49" t="b">
        <f t="shared" si="0"/>
        <v>1</v>
      </c>
      <c r="BK18" s="49" t="b">
        <f t="shared" si="0"/>
        <v>1</v>
      </c>
      <c r="BL18" s="49" t="b">
        <f t="shared" si="0"/>
        <v>1</v>
      </c>
      <c r="BM18" s="49" t="b">
        <f t="shared" si="0"/>
        <v>1</v>
      </c>
      <c r="BN18" s="49" t="b">
        <f t="shared" si="0"/>
        <v>1</v>
      </c>
      <c r="BO18" s="49" t="b">
        <f t="shared" si="0"/>
        <v>1</v>
      </c>
      <c r="BP18" s="49" t="b">
        <f t="shared" si="0"/>
        <v>1</v>
      </c>
      <c r="BQ18" s="49" t="b">
        <f t="shared" ref="BQ18:CF21" si="1">BQ6=BQ12</f>
        <v>1</v>
      </c>
      <c r="BR18" s="49" t="b">
        <f t="shared" si="1"/>
        <v>1</v>
      </c>
      <c r="BS18" s="49" t="b">
        <f t="shared" si="1"/>
        <v>1</v>
      </c>
      <c r="BT18" s="49" t="b">
        <f t="shared" si="1"/>
        <v>1</v>
      </c>
      <c r="BU18" s="49" t="b">
        <f t="shared" si="1"/>
        <v>1</v>
      </c>
      <c r="BV18" s="49" t="b">
        <f t="shared" si="1"/>
        <v>1</v>
      </c>
      <c r="BW18" s="49" t="b">
        <f t="shared" si="1"/>
        <v>1</v>
      </c>
      <c r="BX18" s="49" t="b">
        <v>1</v>
      </c>
      <c r="BY18" s="49" t="b">
        <f t="shared" si="1"/>
        <v>1</v>
      </c>
      <c r="BZ18" s="49" t="b">
        <f t="shared" si="1"/>
        <v>1</v>
      </c>
      <c r="CA18" s="49" t="b">
        <f t="shared" si="1"/>
        <v>1</v>
      </c>
      <c r="CB18" s="49" t="b">
        <f t="shared" si="1"/>
        <v>1</v>
      </c>
      <c r="CC18" s="49" t="b">
        <f t="shared" si="1"/>
        <v>1</v>
      </c>
      <c r="CD18" s="49" t="b">
        <f t="shared" si="1"/>
        <v>1</v>
      </c>
      <c r="CE18" s="49" t="b">
        <f t="shared" si="1"/>
        <v>1</v>
      </c>
      <c r="CF18" s="49" t="b">
        <f t="shared" si="1"/>
        <v>1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2">D7=D13</f>
        <v>1</v>
      </c>
      <c r="E19" s="49" t="b">
        <f t="shared" si="2"/>
        <v>1</v>
      </c>
      <c r="F19" s="49" t="b">
        <f t="shared" si="2"/>
        <v>1</v>
      </c>
      <c r="G19" s="49" t="b">
        <f t="shared" si="2"/>
        <v>1</v>
      </c>
      <c r="H19" s="49" t="b">
        <f t="shared" si="2"/>
        <v>1</v>
      </c>
      <c r="I19" s="49" t="b">
        <f t="shared" si="2"/>
        <v>1</v>
      </c>
      <c r="J19" s="49" t="b">
        <f t="shared" si="2"/>
        <v>1</v>
      </c>
      <c r="K19" s="49" t="b">
        <f t="shared" si="2"/>
        <v>1</v>
      </c>
      <c r="L19" s="49" t="b">
        <f t="shared" si="2"/>
        <v>1</v>
      </c>
      <c r="M19" s="49" t="b">
        <f t="shared" si="2"/>
        <v>1</v>
      </c>
      <c r="N19" s="49" t="b">
        <f t="shared" si="2"/>
        <v>1</v>
      </c>
      <c r="O19" s="49" t="b">
        <f t="shared" si="2"/>
        <v>1</v>
      </c>
      <c r="P19" s="49" t="b">
        <f t="shared" si="2"/>
        <v>1</v>
      </c>
      <c r="Q19" s="49" t="b">
        <f t="shared" si="2"/>
        <v>1</v>
      </c>
      <c r="R19" s="49" t="b">
        <f t="shared" si="2"/>
        <v>1</v>
      </c>
      <c r="S19" s="49" t="b">
        <f t="shared" si="2"/>
        <v>1</v>
      </c>
      <c r="T19" s="49" t="b">
        <f t="shared" si="0"/>
        <v>1</v>
      </c>
      <c r="U19" s="49" t="b">
        <f t="shared" si="0"/>
        <v>1</v>
      </c>
      <c r="V19" s="49" t="b">
        <f t="shared" si="0"/>
        <v>1</v>
      </c>
      <c r="W19" s="49" t="b">
        <f t="shared" si="0"/>
        <v>1</v>
      </c>
      <c r="X19" s="49" t="b">
        <f t="shared" si="0"/>
        <v>1</v>
      </c>
      <c r="Y19" s="49" t="b">
        <f t="shared" si="0"/>
        <v>1</v>
      </c>
      <c r="Z19" s="49" t="b">
        <f t="shared" si="0"/>
        <v>1</v>
      </c>
      <c r="AA19" s="49" t="b">
        <f t="shared" si="0"/>
        <v>1</v>
      </c>
      <c r="AB19" s="49" t="b">
        <f t="shared" si="0"/>
        <v>1</v>
      </c>
      <c r="AC19" s="49" t="b">
        <f t="shared" si="0"/>
        <v>1</v>
      </c>
      <c r="AD19" s="49" t="b">
        <f t="shared" si="0"/>
        <v>1</v>
      </c>
      <c r="AE19" s="49" t="b">
        <f t="shared" si="0"/>
        <v>1</v>
      </c>
      <c r="AF19" s="49" t="b">
        <f t="shared" si="0"/>
        <v>1</v>
      </c>
      <c r="AG19" s="49" t="b">
        <f t="shared" si="0"/>
        <v>1</v>
      </c>
      <c r="AH19" s="49" t="b">
        <f t="shared" si="0"/>
        <v>1</v>
      </c>
      <c r="AI19" s="49" t="b">
        <f t="shared" si="0"/>
        <v>1</v>
      </c>
      <c r="AJ19" s="49" t="b">
        <f t="shared" si="0"/>
        <v>1</v>
      </c>
      <c r="AK19" s="49" t="b">
        <f t="shared" si="0"/>
        <v>1</v>
      </c>
      <c r="AL19" s="49" t="b">
        <f t="shared" si="0"/>
        <v>1</v>
      </c>
      <c r="AM19" s="49" t="b">
        <f t="shared" si="0"/>
        <v>1</v>
      </c>
      <c r="AN19" s="49" t="b">
        <f t="shared" si="0"/>
        <v>1</v>
      </c>
      <c r="AO19" s="49" t="b">
        <f t="shared" si="0"/>
        <v>1</v>
      </c>
      <c r="AP19" s="49" t="b">
        <f t="shared" si="0"/>
        <v>1</v>
      </c>
      <c r="AQ19" s="49" t="b">
        <f t="shared" si="0"/>
        <v>1</v>
      </c>
      <c r="AR19" s="49" t="b">
        <f t="shared" si="0"/>
        <v>1</v>
      </c>
      <c r="AS19" s="49" t="b">
        <f t="shared" si="0"/>
        <v>1</v>
      </c>
      <c r="AT19" s="49" t="b">
        <f t="shared" si="0"/>
        <v>1</v>
      </c>
      <c r="AU19" s="49" t="b">
        <f t="shared" si="0"/>
        <v>1</v>
      </c>
      <c r="AV19" s="49" t="b">
        <f t="shared" si="0"/>
        <v>1</v>
      </c>
      <c r="AW19" s="49" t="b">
        <f t="shared" si="0"/>
        <v>1</v>
      </c>
      <c r="AX19" s="49" t="b">
        <f t="shared" si="0"/>
        <v>1</v>
      </c>
      <c r="AY19" s="49" t="b">
        <f t="shared" si="0"/>
        <v>1</v>
      </c>
      <c r="AZ19" s="49" t="b">
        <f t="shared" si="0"/>
        <v>1</v>
      </c>
      <c r="BA19" s="49" t="b">
        <f t="shared" si="0"/>
        <v>1</v>
      </c>
      <c r="BB19" s="49" t="b">
        <f t="shared" si="0"/>
        <v>1</v>
      </c>
      <c r="BC19" s="49" t="b">
        <f t="shared" si="0"/>
        <v>1</v>
      </c>
      <c r="BD19" s="49" t="b">
        <f t="shared" si="0"/>
        <v>1</v>
      </c>
      <c r="BE19" s="49" t="b">
        <f t="shared" si="0"/>
        <v>1</v>
      </c>
      <c r="BF19" s="49" t="b">
        <f t="shared" si="0"/>
        <v>1</v>
      </c>
      <c r="BG19" s="49" t="b">
        <f t="shared" si="0"/>
        <v>1</v>
      </c>
      <c r="BH19" s="49" t="b">
        <f t="shared" si="0"/>
        <v>1</v>
      </c>
      <c r="BI19" s="49" t="b">
        <f t="shared" si="0"/>
        <v>1</v>
      </c>
      <c r="BJ19" s="49" t="b">
        <f t="shared" si="0"/>
        <v>1</v>
      </c>
      <c r="BK19" s="49" t="b">
        <f t="shared" si="0"/>
        <v>1</v>
      </c>
      <c r="BL19" s="49" t="b">
        <f t="shared" si="0"/>
        <v>1</v>
      </c>
      <c r="BM19" s="49" t="b">
        <f t="shared" si="0"/>
        <v>1</v>
      </c>
      <c r="BN19" s="49" t="b">
        <f t="shared" si="0"/>
        <v>1</v>
      </c>
      <c r="BO19" s="49" t="b">
        <f t="shared" si="0"/>
        <v>1</v>
      </c>
      <c r="BP19" s="49" t="b">
        <f t="shared" si="0"/>
        <v>1</v>
      </c>
      <c r="BQ19" s="49" t="b">
        <f t="shared" si="1"/>
        <v>1</v>
      </c>
      <c r="BR19" s="49" t="b">
        <f t="shared" si="1"/>
        <v>1</v>
      </c>
      <c r="BS19" s="49" t="b">
        <f t="shared" si="1"/>
        <v>1</v>
      </c>
      <c r="BT19" s="49" t="b">
        <f t="shared" si="1"/>
        <v>1</v>
      </c>
      <c r="BU19" s="49" t="b">
        <f t="shared" si="1"/>
        <v>1</v>
      </c>
      <c r="BV19" s="49" t="b">
        <f t="shared" si="1"/>
        <v>1</v>
      </c>
      <c r="BW19" s="49" t="b">
        <f t="shared" si="1"/>
        <v>1</v>
      </c>
      <c r="BX19" s="49" t="b">
        <v>1</v>
      </c>
      <c r="BY19" s="49" t="b">
        <f t="shared" si="1"/>
        <v>1</v>
      </c>
      <c r="BZ19" s="49" t="b">
        <f t="shared" si="1"/>
        <v>1</v>
      </c>
      <c r="CA19" s="49" t="b">
        <f t="shared" si="1"/>
        <v>1</v>
      </c>
      <c r="CB19" s="49" t="b">
        <f t="shared" si="1"/>
        <v>1</v>
      </c>
      <c r="CC19" s="49" t="b">
        <f t="shared" si="1"/>
        <v>1</v>
      </c>
      <c r="CD19" s="49" t="b">
        <f t="shared" si="1"/>
        <v>1</v>
      </c>
      <c r="CE19" s="49" t="b">
        <f t="shared" si="1"/>
        <v>1</v>
      </c>
      <c r="CF19" s="49" t="b">
        <f t="shared" si="1"/>
        <v>1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2"/>
        <v>1</v>
      </c>
      <c r="E20" s="49" t="b">
        <f t="shared" si="2"/>
        <v>1</v>
      </c>
      <c r="F20" s="49" t="b">
        <f t="shared" si="2"/>
        <v>1</v>
      </c>
      <c r="G20" s="49" t="b">
        <f t="shared" si="2"/>
        <v>1</v>
      </c>
      <c r="H20" s="49" t="b">
        <f t="shared" si="2"/>
        <v>1</v>
      </c>
      <c r="I20" s="49" t="b">
        <f t="shared" si="2"/>
        <v>1</v>
      </c>
      <c r="J20" s="49" t="b">
        <f t="shared" si="2"/>
        <v>1</v>
      </c>
      <c r="K20" s="49" t="b">
        <f t="shared" si="2"/>
        <v>1</v>
      </c>
      <c r="L20" s="49" t="b">
        <f t="shared" si="2"/>
        <v>1</v>
      </c>
      <c r="M20" s="49" t="b">
        <f t="shared" si="2"/>
        <v>1</v>
      </c>
      <c r="N20" s="49" t="b">
        <f t="shared" si="2"/>
        <v>1</v>
      </c>
      <c r="O20" s="49" t="b">
        <f t="shared" si="2"/>
        <v>1</v>
      </c>
      <c r="P20" s="49" t="b">
        <f t="shared" si="2"/>
        <v>1</v>
      </c>
      <c r="Q20" s="49" t="b">
        <f t="shared" si="2"/>
        <v>1</v>
      </c>
      <c r="R20" s="49" t="b">
        <f t="shared" si="2"/>
        <v>1</v>
      </c>
      <c r="S20" s="49" t="b">
        <f t="shared" si="2"/>
        <v>1</v>
      </c>
      <c r="T20" s="49" t="b">
        <f t="shared" si="0"/>
        <v>1</v>
      </c>
      <c r="U20" s="49" t="b">
        <f t="shared" si="0"/>
        <v>1</v>
      </c>
      <c r="V20" s="49" t="b">
        <f t="shared" si="0"/>
        <v>1</v>
      </c>
      <c r="W20" s="49" t="b">
        <f t="shared" si="0"/>
        <v>1</v>
      </c>
      <c r="X20" s="49" t="b">
        <f t="shared" si="0"/>
        <v>1</v>
      </c>
      <c r="Y20" s="49" t="b">
        <f t="shared" si="0"/>
        <v>1</v>
      </c>
      <c r="Z20" s="49" t="b">
        <f t="shared" si="0"/>
        <v>1</v>
      </c>
      <c r="AA20" s="49" t="b">
        <f t="shared" si="0"/>
        <v>1</v>
      </c>
      <c r="AB20" s="49" t="b">
        <f t="shared" si="0"/>
        <v>1</v>
      </c>
      <c r="AC20" s="49" t="b">
        <f t="shared" si="0"/>
        <v>1</v>
      </c>
      <c r="AD20" s="49" t="b">
        <f t="shared" si="0"/>
        <v>1</v>
      </c>
      <c r="AE20" s="49" t="b">
        <f t="shared" si="0"/>
        <v>1</v>
      </c>
      <c r="AF20" s="49" t="b">
        <f t="shared" si="0"/>
        <v>1</v>
      </c>
      <c r="AG20" s="49" t="b">
        <f t="shared" si="0"/>
        <v>1</v>
      </c>
      <c r="AH20" s="49" t="b">
        <f t="shared" si="0"/>
        <v>1</v>
      </c>
      <c r="AI20" s="49" t="b">
        <f t="shared" si="0"/>
        <v>1</v>
      </c>
      <c r="AJ20" s="49" t="b">
        <f t="shared" si="0"/>
        <v>1</v>
      </c>
      <c r="AK20" s="49" t="b">
        <f t="shared" si="0"/>
        <v>1</v>
      </c>
      <c r="AL20" s="49" t="b">
        <f t="shared" si="0"/>
        <v>1</v>
      </c>
      <c r="AM20" s="49" t="b">
        <f t="shared" si="0"/>
        <v>1</v>
      </c>
      <c r="AN20" s="49" t="b">
        <f t="shared" si="0"/>
        <v>1</v>
      </c>
      <c r="AO20" s="49" t="b">
        <f t="shared" si="0"/>
        <v>1</v>
      </c>
      <c r="AP20" s="49" t="b">
        <f t="shared" si="0"/>
        <v>1</v>
      </c>
      <c r="AQ20" s="49" t="b">
        <f t="shared" si="0"/>
        <v>1</v>
      </c>
      <c r="AR20" s="49" t="b">
        <f t="shared" si="0"/>
        <v>1</v>
      </c>
      <c r="AS20" s="49" t="b">
        <f t="shared" si="0"/>
        <v>1</v>
      </c>
      <c r="AT20" s="49" t="b">
        <f t="shared" si="0"/>
        <v>1</v>
      </c>
      <c r="AU20" s="49" t="b">
        <f t="shared" si="0"/>
        <v>1</v>
      </c>
      <c r="AV20" s="49" t="b">
        <f t="shared" si="0"/>
        <v>1</v>
      </c>
      <c r="AW20" s="49" t="b">
        <f t="shared" si="0"/>
        <v>1</v>
      </c>
      <c r="AX20" s="49" t="b">
        <f t="shared" si="0"/>
        <v>1</v>
      </c>
      <c r="AY20" s="49" t="b">
        <f t="shared" si="0"/>
        <v>1</v>
      </c>
      <c r="AZ20" s="49" t="b">
        <f t="shared" si="0"/>
        <v>1</v>
      </c>
      <c r="BA20" s="49" t="b">
        <f t="shared" si="0"/>
        <v>1</v>
      </c>
      <c r="BB20" s="49" t="b">
        <f t="shared" si="0"/>
        <v>1</v>
      </c>
      <c r="BC20" s="49" t="b">
        <f t="shared" si="0"/>
        <v>1</v>
      </c>
      <c r="BD20" s="49" t="b">
        <f t="shared" si="0"/>
        <v>1</v>
      </c>
      <c r="BE20" s="49" t="b">
        <f t="shared" si="0"/>
        <v>1</v>
      </c>
      <c r="BF20" s="49" t="b">
        <f t="shared" si="0"/>
        <v>1</v>
      </c>
      <c r="BG20" s="49" t="b">
        <f t="shared" si="0"/>
        <v>1</v>
      </c>
      <c r="BH20" s="49" t="b">
        <f t="shared" si="0"/>
        <v>1</v>
      </c>
      <c r="BI20" s="49" t="b">
        <f t="shared" si="0"/>
        <v>1</v>
      </c>
      <c r="BJ20" s="49" t="b">
        <f t="shared" si="0"/>
        <v>1</v>
      </c>
      <c r="BK20" s="49" t="b">
        <f t="shared" si="0"/>
        <v>1</v>
      </c>
      <c r="BL20" s="49" t="b">
        <f t="shared" si="0"/>
        <v>1</v>
      </c>
      <c r="BM20" s="49" t="b">
        <f t="shared" si="0"/>
        <v>1</v>
      </c>
      <c r="BN20" s="49" t="b">
        <f t="shared" si="0"/>
        <v>1</v>
      </c>
      <c r="BO20" s="49" t="b">
        <f t="shared" si="0"/>
        <v>1</v>
      </c>
      <c r="BP20" s="49" t="b">
        <f t="shared" si="0"/>
        <v>1</v>
      </c>
      <c r="BQ20" s="49" t="b">
        <f t="shared" si="1"/>
        <v>1</v>
      </c>
      <c r="BR20" s="49" t="b">
        <f t="shared" si="1"/>
        <v>1</v>
      </c>
      <c r="BS20" s="49" t="b">
        <f t="shared" si="1"/>
        <v>1</v>
      </c>
      <c r="BT20" s="49" t="b">
        <f t="shared" si="1"/>
        <v>1</v>
      </c>
      <c r="BU20" s="49" t="b">
        <f t="shared" si="1"/>
        <v>1</v>
      </c>
      <c r="BV20" s="49" t="b">
        <f t="shared" si="1"/>
        <v>1</v>
      </c>
      <c r="BW20" s="49" t="b">
        <f t="shared" si="1"/>
        <v>1</v>
      </c>
      <c r="BX20" s="49" t="b">
        <v>1</v>
      </c>
      <c r="BY20" s="49" t="b">
        <f t="shared" si="1"/>
        <v>1</v>
      </c>
      <c r="BZ20" s="49" t="b">
        <f t="shared" si="1"/>
        <v>1</v>
      </c>
      <c r="CA20" s="49" t="b">
        <f t="shared" si="1"/>
        <v>1</v>
      </c>
      <c r="CB20" s="49" t="b">
        <f t="shared" si="1"/>
        <v>1</v>
      </c>
      <c r="CC20" s="49" t="b">
        <f t="shared" si="1"/>
        <v>1</v>
      </c>
      <c r="CD20" s="49" t="b">
        <f t="shared" si="1"/>
        <v>1</v>
      </c>
      <c r="CE20" s="49" t="b">
        <f t="shared" si="1"/>
        <v>1</v>
      </c>
      <c r="CF20" s="49" t="b">
        <f t="shared" si="1"/>
        <v>1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2"/>
        <v>1</v>
      </c>
      <c r="E21" s="49" t="b">
        <f t="shared" si="0"/>
        <v>1</v>
      </c>
      <c r="F21" s="49" t="b">
        <f t="shared" si="0"/>
        <v>1</v>
      </c>
      <c r="G21" s="49" t="b">
        <f t="shared" si="0"/>
        <v>1</v>
      </c>
      <c r="H21" s="49" t="b">
        <f t="shared" si="0"/>
        <v>1</v>
      </c>
      <c r="I21" s="49" t="b">
        <f t="shared" si="0"/>
        <v>1</v>
      </c>
      <c r="J21" s="49" t="b">
        <f t="shared" si="0"/>
        <v>1</v>
      </c>
      <c r="K21" s="49" t="b">
        <f t="shared" si="0"/>
        <v>1</v>
      </c>
      <c r="L21" s="49" t="b">
        <f t="shared" si="0"/>
        <v>1</v>
      </c>
      <c r="M21" s="49" t="b">
        <f t="shared" si="0"/>
        <v>1</v>
      </c>
      <c r="N21" s="49" t="b">
        <f t="shared" si="0"/>
        <v>1</v>
      </c>
      <c r="O21" s="49" t="b">
        <f t="shared" si="0"/>
        <v>1</v>
      </c>
      <c r="P21" s="49" t="b">
        <f t="shared" si="0"/>
        <v>1</v>
      </c>
      <c r="Q21" s="49" t="b">
        <f t="shared" si="0"/>
        <v>1</v>
      </c>
      <c r="R21" s="49" t="b">
        <f t="shared" si="0"/>
        <v>1</v>
      </c>
      <c r="S21" s="49" t="b">
        <f t="shared" si="0"/>
        <v>1</v>
      </c>
      <c r="T21" s="49" t="b">
        <f t="shared" si="0"/>
        <v>1</v>
      </c>
      <c r="U21" s="49" t="b">
        <f t="shared" si="0"/>
        <v>1</v>
      </c>
      <c r="V21" s="49" t="b">
        <f t="shared" si="0"/>
        <v>1</v>
      </c>
      <c r="W21" s="49" t="b">
        <f t="shared" si="0"/>
        <v>1</v>
      </c>
      <c r="X21" s="49" t="b">
        <f t="shared" si="0"/>
        <v>1</v>
      </c>
      <c r="Y21" s="49" t="b">
        <f t="shared" si="0"/>
        <v>1</v>
      </c>
      <c r="Z21" s="49" t="b">
        <f t="shared" si="0"/>
        <v>1</v>
      </c>
      <c r="AA21" s="49" t="b">
        <f t="shared" si="0"/>
        <v>1</v>
      </c>
      <c r="AB21" s="49" t="b">
        <f t="shared" si="0"/>
        <v>1</v>
      </c>
      <c r="AC21" s="49" t="b">
        <f t="shared" si="0"/>
        <v>1</v>
      </c>
      <c r="AD21" s="49" t="b">
        <f t="shared" si="0"/>
        <v>1</v>
      </c>
      <c r="AE21" s="49" t="b">
        <f t="shared" si="0"/>
        <v>1</v>
      </c>
      <c r="AF21" s="49" t="b">
        <f t="shared" si="0"/>
        <v>1</v>
      </c>
      <c r="AG21" s="49" t="b">
        <f t="shared" si="0"/>
        <v>1</v>
      </c>
      <c r="AH21" s="49" t="b">
        <f t="shared" si="0"/>
        <v>1</v>
      </c>
      <c r="AI21" s="49" t="b">
        <f t="shared" si="0"/>
        <v>1</v>
      </c>
      <c r="AJ21" s="49" t="b">
        <f t="shared" si="0"/>
        <v>1</v>
      </c>
      <c r="AK21" s="49" t="b">
        <f t="shared" si="0"/>
        <v>1</v>
      </c>
      <c r="AL21" s="49" t="b">
        <f t="shared" si="0"/>
        <v>1</v>
      </c>
      <c r="AM21" s="49" t="b">
        <f t="shared" si="0"/>
        <v>1</v>
      </c>
      <c r="AN21" s="49" t="b">
        <f t="shared" si="0"/>
        <v>1</v>
      </c>
      <c r="AO21" s="49" t="b">
        <f t="shared" si="0"/>
        <v>1</v>
      </c>
      <c r="AP21" s="49" t="b">
        <f t="shared" si="0"/>
        <v>1</v>
      </c>
      <c r="AQ21" s="49" t="b">
        <f t="shared" si="0"/>
        <v>1</v>
      </c>
      <c r="AR21" s="49" t="b">
        <f t="shared" si="0"/>
        <v>1</v>
      </c>
      <c r="AS21" s="49" t="b">
        <f t="shared" si="0"/>
        <v>1</v>
      </c>
      <c r="AT21" s="49" t="b">
        <f t="shared" si="0"/>
        <v>1</v>
      </c>
      <c r="AU21" s="49" t="b">
        <f t="shared" si="0"/>
        <v>1</v>
      </c>
      <c r="AV21" s="49" t="b">
        <f t="shared" si="0"/>
        <v>1</v>
      </c>
      <c r="AW21" s="49" t="b">
        <f t="shared" si="0"/>
        <v>1</v>
      </c>
      <c r="AX21" s="49" t="b">
        <f t="shared" si="0"/>
        <v>1</v>
      </c>
      <c r="AY21" s="49" t="b">
        <f t="shared" si="0"/>
        <v>1</v>
      </c>
      <c r="AZ21" s="49" t="b">
        <f t="shared" si="0"/>
        <v>1</v>
      </c>
      <c r="BA21" s="49" t="b">
        <f t="shared" si="0"/>
        <v>1</v>
      </c>
      <c r="BB21" s="49" t="b">
        <f t="shared" si="0"/>
        <v>1</v>
      </c>
      <c r="BC21" s="49" t="b">
        <f t="shared" si="0"/>
        <v>1</v>
      </c>
      <c r="BD21" s="49" t="b">
        <f t="shared" si="0"/>
        <v>1</v>
      </c>
      <c r="BE21" s="49" t="b">
        <f t="shared" si="0"/>
        <v>1</v>
      </c>
      <c r="BF21" s="49" t="b">
        <f t="shared" si="0"/>
        <v>1</v>
      </c>
      <c r="BG21" s="49" t="b">
        <f t="shared" si="0"/>
        <v>1</v>
      </c>
      <c r="BH21" s="49" t="b">
        <f t="shared" si="0"/>
        <v>1</v>
      </c>
      <c r="BI21" s="49" t="b">
        <f t="shared" si="0"/>
        <v>1</v>
      </c>
      <c r="BJ21" s="49" t="b">
        <f t="shared" si="0"/>
        <v>1</v>
      </c>
      <c r="BK21" s="49" t="b">
        <f t="shared" si="0"/>
        <v>1</v>
      </c>
      <c r="BL21" s="49" t="b">
        <f t="shared" si="0"/>
        <v>1</v>
      </c>
      <c r="BM21" s="49" t="b">
        <f t="shared" si="0"/>
        <v>1</v>
      </c>
      <c r="BN21" s="49" t="b">
        <f t="shared" si="0"/>
        <v>1</v>
      </c>
      <c r="BO21" s="49" t="b">
        <f t="shared" si="0"/>
        <v>1</v>
      </c>
      <c r="BP21" s="49" t="b">
        <f t="shared" si="0"/>
        <v>1</v>
      </c>
      <c r="BQ21" s="49" t="b">
        <f t="shared" si="1"/>
        <v>1</v>
      </c>
      <c r="BR21" s="49" t="b">
        <f t="shared" si="1"/>
        <v>1</v>
      </c>
      <c r="BS21" s="49" t="b">
        <f t="shared" si="1"/>
        <v>1</v>
      </c>
      <c r="BT21" s="49" t="b">
        <f t="shared" si="1"/>
        <v>1</v>
      </c>
      <c r="BU21" s="49" t="b">
        <f t="shared" si="1"/>
        <v>1</v>
      </c>
      <c r="BV21" s="49" t="b">
        <f t="shared" si="1"/>
        <v>1</v>
      </c>
      <c r="BW21" s="49" t="b">
        <f t="shared" si="1"/>
        <v>1</v>
      </c>
      <c r="BX21" s="49" t="b">
        <v>1</v>
      </c>
      <c r="BY21" s="49" t="b">
        <f t="shared" si="1"/>
        <v>1</v>
      </c>
      <c r="BZ21" s="49" t="b">
        <f t="shared" si="1"/>
        <v>1</v>
      </c>
      <c r="CA21" s="49" t="b">
        <f t="shared" si="1"/>
        <v>1</v>
      </c>
      <c r="CB21" s="49" t="b">
        <f t="shared" si="1"/>
        <v>1</v>
      </c>
      <c r="CC21" s="49" t="b">
        <f t="shared" si="1"/>
        <v>1</v>
      </c>
      <c r="CD21" s="49" t="b">
        <f t="shared" si="1"/>
        <v>1</v>
      </c>
      <c r="CE21" s="49" t="b">
        <f t="shared" si="1"/>
        <v>1</v>
      </c>
      <c r="CF21" s="49" t="b">
        <f t="shared" si="1"/>
        <v>1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19"/>
      <c r="B22" s="20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9"/>
      <c r="Z22" s="19"/>
      <c r="AA22" s="18"/>
      <c r="AB22" s="18"/>
      <c r="AC22" s="18"/>
      <c r="AD22" s="34"/>
      <c r="AE22" s="18"/>
      <c r="AF22" s="34"/>
      <c r="AG22" s="18"/>
      <c r="AH22" s="34"/>
      <c r="AI22" s="34"/>
      <c r="AJ22" s="18"/>
      <c r="AK22" s="34"/>
      <c r="AL22" s="34"/>
      <c r="AM22" s="18"/>
      <c r="AN22" s="18"/>
      <c r="AO22" s="18"/>
      <c r="AP22" s="18"/>
      <c r="AQ22" s="18"/>
      <c r="AR22" s="37"/>
      <c r="AS22" s="37"/>
      <c r="AT22" s="19"/>
      <c r="AU22" s="19"/>
      <c r="AV22" s="19"/>
    </row>
    <row r="23" spans="1:16376" customFormat="1" ht="15">
      <c r="A23" s="19"/>
      <c r="B23" s="20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9"/>
      <c r="Z23" s="19"/>
      <c r="AA23" s="18"/>
      <c r="AB23" s="18"/>
      <c r="AC23" s="18"/>
      <c r="AD23" s="18"/>
      <c r="AE23" s="18"/>
      <c r="AF23" s="34"/>
      <c r="AG23" s="18"/>
      <c r="AH23" s="18"/>
      <c r="AI23" s="18"/>
      <c r="AJ23" s="18"/>
      <c r="AK23" s="34"/>
      <c r="AL23" s="34"/>
      <c r="AM23" s="18"/>
      <c r="AN23" s="18"/>
      <c r="AO23" s="18"/>
      <c r="AP23" s="18"/>
      <c r="AQ23" s="18"/>
      <c r="AR23" s="38"/>
      <c r="AS23" s="38"/>
      <c r="AT23" s="19"/>
      <c r="AU23" s="19"/>
      <c r="AV23" s="19"/>
    </row>
    <row r="24" spans="1:16376">
      <c r="A24" s="6"/>
      <c r="B24" s="7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6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33"/>
      <c r="E27" s="33"/>
      <c r="F27" s="33"/>
      <c r="G27" s="33"/>
      <c r="H27" s="33"/>
      <c r="I27" s="33"/>
      <c r="J27" s="3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33"/>
      <c r="E28" s="33"/>
      <c r="F28" s="33"/>
      <c r="G28" s="33"/>
      <c r="H28" s="33"/>
      <c r="I28" s="33"/>
      <c r="J28" s="33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</sheetData>
  <mergeCells count="10">
    <mergeCell ref="F17:I17"/>
    <mergeCell ref="F11:I11"/>
    <mergeCell ref="D2:R2"/>
    <mergeCell ref="S2:AD2"/>
    <mergeCell ref="AE2:AQ2"/>
    <mergeCell ref="AR2:BD2"/>
    <mergeCell ref="BE2:BI2"/>
    <mergeCell ref="BJ2:BO2"/>
    <mergeCell ref="BP2:BU2"/>
    <mergeCell ref="BV2:CF2"/>
  </mergeCells>
  <conditionalFormatting sqref="AT6:AV9">
    <cfRule type="cellIs" dxfId="27" priority="14" operator="lessThan">
      <formula>0</formula>
    </cfRule>
  </conditionalFormatting>
  <conditionalFormatting sqref="AP6:AQ9">
    <cfRule type="cellIs" dxfId="26" priority="13" operator="greaterThan">
      <formula>0</formula>
    </cfRule>
  </conditionalFormatting>
  <conditionalFormatting sqref="AV11">
    <cfRule type="cellIs" dxfId="25" priority="12" operator="lessThan">
      <formula>0</formula>
    </cfRule>
  </conditionalFormatting>
  <conditionalFormatting sqref="AQ11">
    <cfRule type="cellIs" dxfId="24" priority="11" operator="lessThan">
      <formula>0</formula>
    </cfRule>
  </conditionalFormatting>
  <conditionalFormatting sqref="AR6:AR9">
    <cfRule type="cellIs" dxfId="23" priority="10" operator="greaterThan">
      <formula>0</formula>
    </cfRule>
  </conditionalFormatting>
  <conditionalFormatting sqref="AD6:AD9">
    <cfRule type="cellIs" dxfId="22" priority="9" operator="lessThan">
      <formula>3.25</formula>
    </cfRule>
  </conditionalFormatting>
  <conditionalFormatting sqref="AV17">
    <cfRule type="cellIs" dxfId="21" priority="8" operator="lessThan">
      <formula>0</formula>
    </cfRule>
  </conditionalFormatting>
  <conditionalFormatting sqref="AQ17">
    <cfRule type="cellIs" dxfId="20" priority="7" operator="lessThan">
      <formula>0</formula>
    </cfRule>
  </conditionalFormatting>
  <conditionalFormatting sqref="AT12:AV15">
    <cfRule type="cellIs" dxfId="19" priority="6" operator="lessThan">
      <formula>0</formula>
    </cfRule>
  </conditionalFormatting>
  <conditionalFormatting sqref="AP12:AQ15">
    <cfRule type="cellIs" dxfId="18" priority="5" operator="greaterThan">
      <formula>0</formula>
    </cfRule>
  </conditionalFormatting>
  <conditionalFormatting sqref="AR12:AR15">
    <cfRule type="cellIs" dxfId="17" priority="4" operator="greaterThan">
      <formula>0</formula>
    </cfRule>
  </conditionalFormatting>
  <conditionalFormatting sqref="AD12:AD15">
    <cfRule type="cellIs" dxfId="16" priority="3" operator="lessThan">
      <formula>3.25</formula>
    </cfRule>
  </conditionalFormatting>
  <conditionalFormatting sqref="D18:CF21">
    <cfRule type="cellIs" dxfId="15" priority="1" operator="equal">
      <formula>TRUE</formula>
    </cfRule>
    <cfRule type="cellIs" dxfId="14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XEV100"/>
  <sheetViews>
    <sheetView showGridLines="0" topLeftCell="Q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1" width="9.7109375" style="3" bestFit="1" customWidth="1"/>
    <col min="62" max="64" width="16.28515625" style="3" bestFit="1" customWidth="1"/>
    <col min="65" max="65" width="9.7109375" style="3" bestFit="1" customWidth="1"/>
    <col min="66" max="70" width="16.28515625" style="3" bestFit="1" customWidth="1"/>
    <col min="71" max="71" width="9.7109375" style="3" bestFit="1" customWidth="1"/>
    <col min="72" max="72" width="16.28515625" style="3" bestFit="1" customWidth="1"/>
    <col min="73" max="73" width="9.7109375" style="3" bestFit="1" customWidth="1"/>
    <col min="74" max="79" width="16.28515625" style="3" bestFit="1" customWidth="1"/>
    <col min="80" max="84" width="9.7109375" style="3" bestFit="1" customWidth="1"/>
    <col min="85" max="16384" width="11.42578125" style="3"/>
  </cols>
  <sheetData>
    <row r="1" spans="1:84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84" ht="15" thickBot="1"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</row>
    <row r="3" spans="1:84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</row>
    <row r="4" spans="1:84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</row>
    <row r="5" spans="1:84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</row>
    <row r="6" spans="1:84" s="16" customFormat="1" ht="15" thickBot="1">
      <c r="A6" s="80" t="s">
        <v>3</v>
      </c>
      <c r="B6" s="79" t="s">
        <v>4</v>
      </c>
      <c r="C6" s="81" t="s">
        <v>5</v>
      </c>
      <c r="D6" s="54">
        <v>78</v>
      </c>
      <c r="E6" s="65">
        <v>0</v>
      </c>
      <c r="F6" s="65">
        <v>0</v>
      </c>
      <c r="G6" s="94">
        <v>7998.8146096783221</v>
      </c>
      <c r="H6" s="94">
        <v>4008.4513615213441</v>
      </c>
      <c r="I6" s="95">
        <v>0.91025641025600001</v>
      </c>
      <c r="J6" s="54">
        <v>71</v>
      </c>
      <c r="K6" s="54">
        <v>78</v>
      </c>
      <c r="L6" s="54">
        <v>19149.549807010801</v>
      </c>
      <c r="M6" s="54">
        <v>3100</v>
      </c>
      <c r="N6" s="54"/>
      <c r="O6" s="54"/>
      <c r="P6" s="54">
        <v>13050</v>
      </c>
      <c r="Q6" s="54"/>
      <c r="R6" s="54"/>
      <c r="S6" s="55">
        <v>79</v>
      </c>
      <c r="T6" s="55">
        <v>0</v>
      </c>
      <c r="U6" s="55">
        <v>4</v>
      </c>
      <c r="V6" s="96">
        <v>1618.5722991420976</v>
      </c>
      <c r="W6" s="97">
        <v>1039.7288281258898</v>
      </c>
      <c r="X6" s="55">
        <v>4020.62407206936</v>
      </c>
      <c r="Y6" s="55">
        <v>637.5</v>
      </c>
      <c r="Z6" s="55"/>
      <c r="AA6" s="55"/>
      <c r="AB6" s="55">
        <v>3375</v>
      </c>
      <c r="AC6" s="55"/>
      <c r="AD6" s="55"/>
      <c r="AE6" s="54">
        <v>81</v>
      </c>
      <c r="AF6" s="54">
        <v>0</v>
      </c>
      <c r="AG6" s="54">
        <v>0</v>
      </c>
      <c r="AH6" s="54">
        <v>80</v>
      </c>
      <c r="AI6" s="98">
        <v>8364.4903492583489</v>
      </c>
      <c r="AJ6" s="98">
        <v>3915.4031649939247</v>
      </c>
      <c r="AK6" s="54">
        <v>21612.136276113681</v>
      </c>
      <c r="AL6" s="54">
        <v>3412.5</v>
      </c>
      <c r="AM6" s="54"/>
      <c r="AN6" s="54"/>
      <c r="AO6" s="54">
        <v>12675.000000000004</v>
      </c>
      <c r="AP6" s="54"/>
      <c r="AQ6" s="54"/>
      <c r="AR6" s="55">
        <v>76</v>
      </c>
      <c r="AS6" s="55">
        <v>3</v>
      </c>
      <c r="AT6" s="55">
        <v>2</v>
      </c>
      <c r="AU6" s="55">
        <v>61</v>
      </c>
      <c r="AV6" s="97">
        <v>1770.6796240327833</v>
      </c>
      <c r="AW6" s="97">
        <v>1199.2305547897149</v>
      </c>
      <c r="AX6" s="55">
        <v>4541.6142313800556</v>
      </c>
      <c r="AY6" s="55">
        <v>363.88888888888891</v>
      </c>
      <c r="AZ6" s="55"/>
      <c r="BA6" s="55"/>
      <c r="BB6" s="55">
        <v>3487.5</v>
      </c>
      <c r="BC6" s="55"/>
      <c r="BD6" s="55"/>
      <c r="BE6" s="74">
        <v>77</v>
      </c>
      <c r="BF6" s="99">
        <v>51</v>
      </c>
      <c r="BG6" s="99">
        <v>77</v>
      </c>
      <c r="BH6" s="57" t="s">
        <v>107</v>
      </c>
      <c r="BI6" s="57" t="s">
        <v>107</v>
      </c>
      <c r="BJ6" s="70">
        <v>151</v>
      </c>
      <c r="BK6" s="70">
        <v>0</v>
      </c>
      <c r="BL6" s="58">
        <v>1</v>
      </c>
      <c r="BM6" s="100">
        <v>2.4649066666666659</v>
      </c>
      <c r="BN6" s="100">
        <v>0.57035999999999987</v>
      </c>
      <c r="BO6" s="100">
        <v>1.4275600000000006</v>
      </c>
      <c r="BP6" s="62">
        <v>152</v>
      </c>
      <c r="BQ6" s="62">
        <v>0</v>
      </c>
      <c r="BR6" s="62">
        <v>8</v>
      </c>
      <c r="BS6" s="101">
        <v>4.687652777777779</v>
      </c>
      <c r="BT6" s="101">
        <v>0.97906944444444433</v>
      </c>
      <c r="BU6" s="101">
        <v>3.2953680555555551</v>
      </c>
      <c r="BV6" s="93" t="s">
        <v>172</v>
      </c>
      <c r="BW6" s="91">
        <v>18</v>
      </c>
      <c r="BX6" s="102">
        <v>3.8222222593095569</v>
      </c>
      <c r="BY6" s="91">
        <v>19</v>
      </c>
      <c r="BZ6" s="103">
        <v>6.4203157894736833</v>
      </c>
      <c r="CA6" s="92">
        <v>0</v>
      </c>
      <c r="CB6" s="104">
        <v>1</v>
      </c>
      <c r="CC6" s="91">
        <v>18</v>
      </c>
      <c r="CD6" s="92">
        <v>18</v>
      </c>
      <c r="CE6" s="104">
        <v>0.94736842105200003</v>
      </c>
      <c r="CF6" s="91">
        <v>18</v>
      </c>
    </row>
    <row r="7" spans="1:84" s="16" customFormat="1" ht="15" thickBot="1">
      <c r="A7" s="80" t="s">
        <v>3</v>
      </c>
      <c r="B7" s="79" t="s">
        <v>4</v>
      </c>
      <c r="C7" s="68" t="s">
        <v>6</v>
      </c>
      <c r="D7" s="54">
        <v>75</v>
      </c>
      <c r="E7" s="65">
        <v>0</v>
      </c>
      <c r="F7" s="54">
        <v>0</v>
      </c>
      <c r="G7" s="94">
        <v>11065.99483964486</v>
      </c>
      <c r="H7" s="94">
        <v>2697.2959432374869</v>
      </c>
      <c r="I7" s="95">
        <v>0.97333333333299998</v>
      </c>
      <c r="J7" s="54">
        <v>73</v>
      </c>
      <c r="K7" s="54">
        <v>75</v>
      </c>
      <c r="L7" s="54">
        <v>14595.130694732641</v>
      </c>
      <c r="M7" s="54">
        <v>7725</v>
      </c>
      <c r="N7" s="54"/>
      <c r="O7" s="54"/>
      <c r="P7" s="54">
        <v>13990.384615384615</v>
      </c>
      <c r="Q7" s="54"/>
      <c r="R7" s="54"/>
      <c r="S7" s="55">
        <v>77</v>
      </c>
      <c r="T7" s="55">
        <v>0</v>
      </c>
      <c r="U7" s="55">
        <v>2</v>
      </c>
      <c r="V7" s="96">
        <v>2701.7745683168405</v>
      </c>
      <c r="W7" s="97">
        <v>925.02739185154712</v>
      </c>
      <c r="X7" s="55">
        <v>3744.987459427552</v>
      </c>
      <c r="Y7" s="55">
        <v>1175</v>
      </c>
      <c r="Z7" s="55"/>
      <c r="AA7" s="55"/>
      <c r="AB7" s="55">
        <v>3562.5</v>
      </c>
      <c r="AC7" s="55"/>
      <c r="AD7" s="55"/>
      <c r="AE7" s="54">
        <v>77</v>
      </c>
      <c r="AF7" s="54">
        <v>0</v>
      </c>
      <c r="AG7" s="54">
        <v>0</v>
      </c>
      <c r="AH7" s="54">
        <v>77</v>
      </c>
      <c r="AI7" s="98">
        <v>13558.245456352777</v>
      </c>
      <c r="AJ7" s="98">
        <v>4679.9708842882101</v>
      </c>
      <c r="AK7" s="54">
        <v>25128.144360821603</v>
      </c>
      <c r="AL7" s="54">
        <v>7631.25</v>
      </c>
      <c r="AM7" s="54"/>
      <c r="AN7" s="54"/>
      <c r="AO7" s="54">
        <v>19612.5</v>
      </c>
      <c r="AP7" s="54"/>
      <c r="AQ7" s="54"/>
      <c r="AR7" s="55">
        <v>78</v>
      </c>
      <c r="AS7" s="55">
        <v>1</v>
      </c>
      <c r="AT7" s="55">
        <v>0</v>
      </c>
      <c r="AU7" s="55">
        <v>75</v>
      </c>
      <c r="AV7" s="97">
        <v>2548.190770077777</v>
      </c>
      <c r="AW7" s="97">
        <v>1058.6746605593514</v>
      </c>
      <c r="AX7" s="55">
        <v>4086.3838463252559</v>
      </c>
      <c r="AY7" s="55">
        <v>985</v>
      </c>
      <c r="AZ7" s="55"/>
      <c r="BA7" s="55"/>
      <c r="BB7" s="55">
        <v>3845.833333333333</v>
      </c>
      <c r="BC7" s="55"/>
      <c r="BD7" s="55"/>
      <c r="BE7" s="74">
        <v>32</v>
      </c>
      <c r="BF7" s="99">
        <v>201</v>
      </c>
      <c r="BG7" s="99">
        <v>490</v>
      </c>
      <c r="BH7" s="57" t="s">
        <v>107</v>
      </c>
      <c r="BI7" s="57" t="s">
        <v>107</v>
      </c>
      <c r="BJ7" s="70">
        <v>150</v>
      </c>
      <c r="BK7" s="70">
        <v>0</v>
      </c>
      <c r="BL7" s="58">
        <v>2</v>
      </c>
      <c r="BM7" s="100">
        <v>3.1188851351351339</v>
      </c>
      <c r="BN7" s="100">
        <v>0.93650675675675676</v>
      </c>
      <c r="BO7" s="100">
        <v>1.403317567567568</v>
      </c>
      <c r="BP7" s="62">
        <v>153</v>
      </c>
      <c r="BQ7" s="62">
        <v>1</v>
      </c>
      <c r="BR7" s="62">
        <v>4</v>
      </c>
      <c r="BS7" s="101">
        <v>4.8340472972972997</v>
      </c>
      <c r="BT7" s="101">
        <v>1.1979932432432434</v>
      </c>
      <c r="BU7" s="101">
        <v>2.8966486486486489</v>
      </c>
      <c r="BV7" s="93" t="s">
        <v>173</v>
      </c>
      <c r="BW7" s="91">
        <v>17</v>
      </c>
      <c r="BX7" s="102">
        <v>3.722222235467699</v>
      </c>
      <c r="BY7" s="91">
        <v>19</v>
      </c>
      <c r="BZ7" s="103">
        <v>6.6158888888888914</v>
      </c>
      <c r="CA7" s="92">
        <v>1</v>
      </c>
      <c r="CB7" s="104">
        <v>0.94736842105300001</v>
      </c>
      <c r="CC7" s="91">
        <v>17</v>
      </c>
      <c r="CD7" s="92">
        <v>17</v>
      </c>
      <c r="CE7" s="104">
        <v>0.89473684210500004</v>
      </c>
      <c r="CF7" s="91">
        <v>18</v>
      </c>
    </row>
    <row r="8" spans="1:84" s="16" customFormat="1" ht="15" thickBot="1">
      <c r="A8" s="80" t="s">
        <v>3</v>
      </c>
      <c r="B8" s="79" t="s">
        <v>4</v>
      </c>
      <c r="C8" s="77" t="s">
        <v>7</v>
      </c>
      <c r="D8" s="54">
        <v>81</v>
      </c>
      <c r="E8" s="65">
        <v>2</v>
      </c>
      <c r="F8" s="54">
        <v>0</v>
      </c>
      <c r="G8" s="94">
        <v>7890.0177420761311</v>
      </c>
      <c r="H8" s="94">
        <v>3109.7559054733051</v>
      </c>
      <c r="I8" s="95">
        <v>0.93670886075899995</v>
      </c>
      <c r="J8" s="54">
        <v>74</v>
      </c>
      <c r="K8" s="54">
        <v>78</v>
      </c>
      <c r="L8" s="54">
        <v>13460.01509182832</v>
      </c>
      <c r="M8" s="54">
        <v>3725</v>
      </c>
      <c r="N8" s="54"/>
      <c r="O8" s="54"/>
      <c r="P8" s="54">
        <v>11796.428571428571</v>
      </c>
      <c r="Q8" s="54"/>
      <c r="R8" s="54"/>
      <c r="S8" s="55">
        <v>82</v>
      </c>
      <c r="T8" s="55">
        <v>0</v>
      </c>
      <c r="U8" s="55">
        <v>7</v>
      </c>
      <c r="V8" s="96">
        <v>2262.1235193280636</v>
      </c>
      <c r="W8" s="97">
        <v>1014.4008127998562</v>
      </c>
      <c r="X8" s="55">
        <v>3793.5368568537042</v>
      </c>
      <c r="Y8" s="55">
        <v>775</v>
      </c>
      <c r="Z8" s="55"/>
      <c r="AA8" s="55"/>
      <c r="AB8" s="55">
        <v>3597.2222222222222</v>
      </c>
      <c r="AC8" s="55"/>
      <c r="AD8" s="55"/>
      <c r="AE8" s="54">
        <v>79</v>
      </c>
      <c r="AF8" s="54">
        <v>0</v>
      </c>
      <c r="AG8" s="54">
        <v>3</v>
      </c>
      <c r="AH8" s="54">
        <v>76</v>
      </c>
      <c r="AI8" s="98">
        <v>8512.1779645008937</v>
      </c>
      <c r="AJ8" s="98">
        <v>5135.4322577251678</v>
      </c>
      <c r="AK8" s="54">
        <v>23956.06597494824</v>
      </c>
      <c r="AL8" s="54">
        <v>2175</v>
      </c>
      <c r="AM8" s="54"/>
      <c r="AN8" s="54"/>
      <c r="AO8" s="54">
        <v>14775.000000000002</v>
      </c>
      <c r="AP8" s="54"/>
      <c r="AQ8" s="54"/>
      <c r="AR8" s="55">
        <v>84</v>
      </c>
      <c r="AS8" s="55">
        <v>1</v>
      </c>
      <c r="AT8" s="55">
        <v>7</v>
      </c>
      <c r="AU8" s="55">
        <v>69</v>
      </c>
      <c r="AV8" s="97">
        <v>2535.5614857847286</v>
      </c>
      <c r="AW8" s="97">
        <v>1295.555831402376</v>
      </c>
      <c r="AX8" s="55">
        <v>4470.1577006189518</v>
      </c>
      <c r="AY8" s="55">
        <v>449.99999999999994</v>
      </c>
      <c r="AZ8" s="55"/>
      <c r="BA8" s="55"/>
      <c r="BB8" s="55">
        <v>4200</v>
      </c>
      <c r="BC8" s="55"/>
      <c r="BD8" s="55"/>
      <c r="BE8" s="74">
        <v>74</v>
      </c>
      <c r="BF8" s="99">
        <v>202</v>
      </c>
      <c r="BG8" s="99">
        <v>494</v>
      </c>
      <c r="BH8" s="57" t="s">
        <v>107</v>
      </c>
      <c r="BI8" s="57" t="s">
        <v>107</v>
      </c>
      <c r="BJ8" s="70">
        <v>162</v>
      </c>
      <c r="BK8" s="70">
        <v>6</v>
      </c>
      <c r="BL8" s="58">
        <v>12</v>
      </c>
      <c r="BM8" s="100">
        <v>4.4425277777777765</v>
      </c>
      <c r="BN8" s="100">
        <v>0.67186805555555518</v>
      </c>
      <c r="BO8" s="100">
        <v>3.1004722222222219</v>
      </c>
      <c r="BP8" s="62">
        <v>163</v>
      </c>
      <c r="BQ8" s="62">
        <v>3</v>
      </c>
      <c r="BR8" s="62">
        <v>14</v>
      </c>
      <c r="BS8" s="101">
        <v>4.8606575342465757</v>
      </c>
      <c r="BT8" s="101">
        <v>0.86449999999999971</v>
      </c>
      <c r="BU8" s="101">
        <v>3.2517054794520548</v>
      </c>
      <c r="BV8" s="93" t="s">
        <v>174</v>
      </c>
      <c r="BW8" s="91">
        <v>17</v>
      </c>
      <c r="BX8" s="102">
        <v>3.7833333677715726</v>
      </c>
      <c r="BY8" s="91">
        <v>19</v>
      </c>
      <c r="BZ8" s="103">
        <v>7.3165555555555546</v>
      </c>
      <c r="CA8" s="92">
        <v>1</v>
      </c>
      <c r="CB8" s="104">
        <v>0.94736842105300001</v>
      </c>
      <c r="CC8" s="91">
        <v>18</v>
      </c>
      <c r="CD8" s="92">
        <v>17</v>
      </c>
      <c r="CE8" s="104">
        <v>0.94736842105200003</v>
      </c>
      <c r="CF8" s="91">
        <v>18</v>
      </c>
    </row>
    <row r="9" spans="1:84" s="16" customFormat="1" ht="15" thickBot="1">
      <c r="A9" s="80" t="s">
        <v>3</v>
      </c>
      <c r="B9" s="79" t="s">
        <v>4</v>
      </c>
      <c r="C9" s="75" t="s">
        <v>8</v>
      </c>
      <c r="D9" s="54">
        <v>80</v>
      </c>
      <c r="E9" s="65">
        <v>0</v>
      </c>
      <c r="F9" s="54">
        <v>0</v>
      </c>
      <c r="G9" s="94">
        <v>6531.4097125466078</v>
      </c>
      <c r="H9" s="94">
        <v>2512.8152551130997</v>
      </c>
      <c r="I9" s="95">
        <v>0.9375</v>
      </c>
      <c r="J9" s="54">
        <v>75</v>
      </c>
      <c r="K9" s="54">
        <v>80</v>
      </c>
      <c r="L9" s="54">
        <v>12600.81209060432</v>
      </c>
      <c r="M9" s="54">
        <v>3450</v>
      </c>
      <c r="N9" s="54"/>
      <c r="O9" s="54"/>
      <c r="P9" s="54">
        <v>10000</v>
      </c>
      <c r="Q9" s="54"/>
      <c r="R9" s="54"/>
      <c r="S9" s="55">
        <v>82</v>
      </c>
      <c r="T9" s="55">
        <v>1</v>
      </c>
      <c r="U9" s="55">
        <v>12</v>
      </c>
      <c r="V9" s="96">
        <v>1999.8568415789509</v>
      </c>
      <c r="W9" s="97">
        <v>907.01537850562079</v>
      </c>
      <c r="X9" s="55">
        <v>3539.6877737896803</v>
      </c>
      <c r="Y9" s="55">
        <v>681.25</v>
      </c>
      <c r="Z9" s="55"/>
      <c r="AA9" s="55"/>
      <c r="AB9" s="55">
        <v>2956.818181818182</v>
      </c>
      <c r="AC9" s="55"/>
      <c r="AD9" s="55"/>
      <c r="AE9" s="54">
        <v>77</v>
      </c>
      <c r="AF9" s="54">
        <v>1</v>
      </c>
      <c r="AG9" s="54">
        <v>1</v>
      </c>
      <c r="AH9" s="54">
        <v>75</v>
      </c>
      <c r="AI9" s="98">
        <v>8520.3423677104129</v>
      </c>
      <c r="AJ9" s="98">
        <v>4166.7846830133412</v>
      </c>
      <c r="AK9" s="54">
        <v>20940.26637551856</v>
      </c>
      <c r="AL9" s="54">
        <v>3975</v>
      </c>
      <c r="AM9" s="54"/>
      <c r="AN9" s="54"/>
      <c r="AO9" s="54">
        <v>14625</v>
      </c>
      <c r="AP9" s="54"/>
      <c r="AQ9" s="54"/>
      <c r="AR9" s="55">
        <v>83</v>
      </c>
      <c r="AS9" s="55">
        <v>0</v>
      </c>
      <c r="AT9" s="55">
        <v>3</v>
      </c>
      <c r="AU9" s="55">
        <v>67</v>
      </c>
      <c r="AV9" s="97">
        <v>1728.8350990589745</v>
      </c>
      <c r="AW9" s="97">
        <v>1128.3836246730896</v>
      </c>
      <c r="AX9" s="55">
        <v>3954.4932583497121</v>
      </c>
      <c r="AY9" s="55">
        <v>300</v>
      </c>
      <c r="AZ9" s="55"/>
      <c r="BA9" s="55"/>
      <c r="BB9" s="55">
        <v>3312.5</v>
      </c>
      <c r="BC9" s="55"/>
      <c r="BD9" s="55"/>
      <c r="BE9" s="74">
        <v>78</v>
      </c>
      <c r="BF9" s="99">
        <v>56</v>
      </c>
      <c r="BG9" s="99">
        <v>69</v>
      </c>
      <c r="BH9" s="57" t="s">
        <v>107</v>
      </c>
      <c r="BI9" s="57" t="s">
        <v>107</v>
      </c>
      <c r="BJ9" s="70">
        <v>157</v>
      </c>
      <c r="BK9" s="70">
        <v>1</v>
      </c>
      <c r="BL9" s="58">
        <v>3</v>
      </c>
      <c r="BM9" s="100">
        <v>4.398954248366012</v>
      </c>
      <c r="BN9" s="100">
        <v>0.71573202614379106</v>
      </c>
      <c r="BO9" s="100">
        <v>3.1551307189542483</v>
      </c>
      <c r="BP9" s="62">
        <v>159</v>
      </c>
      <c r="BQ9" s="62">
        <v>0</v>
      </c>
      <c r="BR9" s="62">
        <v>2</v>
      </c>
      <c r="BS9" s="101">
        <v>4.5171082802547771</v>
      </c>
      <c r="BT9" s="101">
        <v>0.84565605095541441</v>
      </c>
      <c r="BU9" s="101">
        <v>3.1783057324840773</v>
      </c>
      <c r="BV9" s="93" t="s">
        <v>175</v>
      </c>
      <c r="BW9" s="91">
        <v>17</v>
      </c>
      <c r="BX9" s="102">
        <v>3.7894737218555652</v>
      </c>
      <c r="BY9" s="91">
        <v>19</v>
      </c>
      <c r="BZ9" s="103">
        <v>7.3672631578947376</v>
      </c>
      <c r="CA9" s="92">
        <v>0</v>
      </c>
      <c r="CB9" s="104">
        <v>1</v>
      </c>
      <c r="CC9" s="91">
        <v>18</v>
      </c>
      <c r="CD9" s="92">
        <v>17</v>
      </c>
      <c r="CE9" s="104">
        <v>0.94736842105200003</v>
      </c>
      <c r="CF9" s="91">
        <v>19</v>
      </c>
    </row>
    <row r="10" spans="1:84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</row>
    <row r="11" spans="1:84" s="105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</row>
    <row r="12" spans="1:84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</row>
    <row r="13" spans="1:84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</row>
    <row r="14" spans="1:84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</row>
    <row r="15" spans="1:84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</row>
    <row r="16" spans="1:84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1</v>
      </c>
      <c r="O18" s="49" t="b">
        <f t="shared" si="0"/>
        <v>1</v>
      </c>
      <c r="P18" s="49" t="b">
        <f t="shared" si="0"/>
        <v>0</v>
      </c>
      <c r="Q18" s="49" t="b">
        <f t="shared" si="0"/>
        <v>1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0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1</v>
      </c>
      <c r="AA18" s="49" t="b">
        <f t="shared" si="0"/>
        <v>1</v>
      </c>
      <c r="AB18" s="49" t="b">
        <f t="shared" si="0"/>
        <v>0</v>
      </c>
      <c r="AC18" s="49" t="b">
        <f t="shared" si="0"/>
        <v>1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1</v>
      </c>
      <c r="AN18" s="49" t="b">
        <f t="shared" si="0"/>
        <v>1</v>
      </c>
      <c r="AO18" s="49" t="b">
        <f t="shared" si="0"/>
        <v>0</v>
      </c>
      <c r="AP18" s="49" t="b">
        <f t="shared" si="0"/>
        <v>1</v>
      </c>
      <c r="AQ18" s="49" t="b">
        <f t="shared" si="0"/>
        <v>1</v>
      </c>
      <c r="AR18" s="49" t="b">
        <f t="shared" si="0"/>
        <v>0</v>
      </c>
      <c r="AS18" s="49" t="b">
        <f t="shared" si="0"/>
        <v>0</v>
      </c>
      <c r="AT18" s="49" t="b">
        <f t="shared" si="0"/>
        <v>0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1</v>
      </c>
      <c r="BA18" s="49" t="b">
        <f t="shared" si="0"/>
        <v>1</v>
      </c>
      <c r="BB18" s="49" t="b">
        <f t="shared" si="0"/>
        <v>0</v>
      </c>
      <c r="BC18" s="49" t="b">
        <f t="shared" si="0"/>
        <v>1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1</v>
      </c>
      <c r="BI18" s="49" t="b">
        <f t="shared" si="0"/>
        <v>1</v>
      </c>
      <c r="BJ18" s="49" t="b">
        <f t="shared" si="0"/>
        <v>0</v>
      </c>
      <c r="BK18" s="49" t="b">
        <f t="shared" si="0"/>
        <v>1</v>
      </c>
      <c r="BL18" s="49" t="b">
        <f t="shared" si="0"/>
        <v>0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CF21" si="1">BQ6=BQ12</f>
        <v>1</v>
      </c>
      <c r="BR18" s="49" t="b">
        <f t="shared" si="1"/>
        <v>0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b">
        <f t="shared" si="1"/>
        <v>0</v>
      </c>
      <c r="BW18" s="49" t="b">
        <f t="shared" si="1"/>
        <v>0</v>
      </c>
      <c r="BX18" s="49" t="b">
        <f t="shared" si="1"/>
        <v>0</v>
      </c>
      <c r="BY18" s="49" t="b">
        <f t="shared" si="1"/>
        <v>0</v>
      </c>
      <c r="BZ18" s="49" t="b">
        <f t="shared" si="1"/>
        <v>0</v>
      </c>
      <c r="CA18" s="49" t="b">
        <f t="shared" si="1"/>
        <v>1</v>
      </c>
      <c r="CB18" s="49" t="b">
        <f t="shared" si="1"/>
        <v>0</v>
      </c>
      <c r="CC18" s="49" t="b">
        <f t="shared" si="1"/>
        <v>0</v>
      </c>
      <c r="CD18" s="49" t="b">
        <f t="shared" si="1"/>
        <v>0</v>
      </c>
      <c r="CE18" s="49" t="b">
        <f t="shared" si="1"/>
        <v>0</v>
      </c>
      <c r="CF18" s="49" t="b">
        <f t="shared" si="1"/>
        <v>0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2">D7=D13</f>
        <v>0</v>
      </c>
      <c r="E19" s="49" t="b">
        <f t="shared" si="2"/>
        <v>1</v>
      </c>
      <c r="F19" s="49" t="b">
        <f t="shared" si="2"/>
        <v>1</v>
      </c>
      <c r="G19" s="49" t="b">
        <f t="shared" si="2"/>
        <v>0</v>
      </c>
      <c r="H19" s="49" t="b">
        <f t="shared" si="2"/>
        <v>0</v>
      </c>
      <c r="I19" s="49" t="b">
        <f t="shared" si="2"/>
        <v>0</v>
      </c>
      <c r="J19" s="49" t="b">
        <f t="shared" si="2"/>
        <v>0</v>
      </c>
      <c r="K19" s="49" t="b">
        <f t="shared" si="2"/>
        <v>0</v>
      </c>
      <c r="L19" s="49" t="b">
        <f t="shared" si="2"/>
        <v>0</v>
      </c>
      <c r="M19" s="49" t="b">
        <f t="shared" si="2"/>
        <v>0</v>
      </c>
      <c r="N19" s="49" t="b">
        <f t="shared" si="2"/>
        <v>1</v>
      </c>
      <c r="O19" s="49" t="b">
        <f t="shared" si="2"/>
        <v>1</v>
      </c>
      <c r="P19" s="49" t="b">
        <f t="shared" si="2"/>
        <v>0</v>
      </c>
      <c r="Q19" s="49" t="b">
        <f t="shared" si="2"/>
        <v>1</v>
      </c>
      <c r="R19" s="49" t="b">
        <f t="shared" si="2"/>
        <v>1</v>
      </c>
      <c r="S19" s="49" t="b">
        <f t="shared" si="2"/>
        <v>0</v>
      </c>
      <c r="T19" s="49" t="b">
        <f t="shared" si="0"/>
        <v>1</v>
      </c>
      <c r="U19" s="49" t="b">
        <f t="shared" si="0"/>
        <v>0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1</v>
      </c>
      <c r="AA19" s="49" t="b">
        <f t="shared" si="0"/>
        <v>1</v>
      </c>
      <c r="AB19" s="49" t="b">
        <f t="shared" si="0"/>
        <v>0</v>
      </c>
      <c r="AC19" s="49" t="b">
        <f t="shared" si="0"/>
        <v>1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1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1</v>
      </c>
      <c r="AN19" s="49" t="b">
        <f t="shared" si="0"/>
        <v>1</v>
      </c>
      <c r="AO19" s="49" t="b">
        <f t="shared" si="0"/>
        <v>0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0</v>
      </c>
      <c r="AT19" s="49" t="b">
        <f t="shared" si="0"/>
        <v>1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1</v>
      </c>
      <c r="BI19" s="49" t="b">
        <f t="shared" si="0"/>
        <v>1</v>
      </c>
      <c r="BJ19" s="49" t="b">
        <f t="shared" si="0"/>
        <v>0</v>
      </c>
      <c r="BK19" s="49" t="b">
        <f t="shared" si="0"/>
        <v>1</v>
      </c>
      <c r="BL19" s="49" t="b">
        <f t="shared" si="0"/>
        <v>0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0</v>
      </c>
      <c r="BR19" s="49" t="b">
        <f t="shared" si="1"/>
        <v>0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b">
        <f t="shared" si="1"/>
        <v>0</v>
      </c>
      <c r="BW19" s="49" t="b">
        <f t="shared" si="1"/>
        <v>0</v>
      </c>
      <c r="BX19" s="49" t="b">
        <f t="shared" si="1"/>
        <v>0</v>
      </c>
      <c r="BY19" s="49" t="b">
        <f t="shared" si="1"/>
        <v>0</v>
      </c>
      <c r="BZ19" s="49" t="b">
        <f t="shared" si="1"/>
        <v>0</v>
      </c>
      <c r="CA19" s="49" t="b">
        <f t="shared" si="1"/>
        <v>0</v>
      </c>
      <c r="CB19" s="49" t="b">
        <f t="shared" si="1"/>
        <v>0</v>
      </c>
      <c r="CC19" s="49" t="b">
        <f t="shared" si="1"/>
        <v>0</v>
      </c>
      <c r="CD19" s="49" t="b">
        <f t="shared" si="1"/>
        <v>0</v>
      </c>
      <c r="CE19" s="49" t="b">
        <f t="shared" si="1"/>
        <v>0</v>
      </c>
      <c r="CF19" s="49" t="b">
        <f t="shared" si="1"/>
        <v>0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2"/>
        <v>0</v>
      </c>
      <c r="E20" s="49" t="b">
        <f t="shared" si="2"/>
        <v>0</v>
      </c>
      <c r="F20" s="49" t="b">
        <f t="shared" si="2"/>
        <v>1</v>
      </c>
      <c r="G20" s="49" t="b">
        <f t="shared" si="2"/>
        <v>0</v>
      </c>
      <c r="H20" s="49" t="b">
        <f t="shared" si="2"/>
        <v>0</v>
      </c>
      <c r="I20" s="49" t="b">
        <f t="shared" si="2"/>
        <v>0</v>
      </c>
      <c r="J20" s="49" t="b">
        <f t="shared" si="2"/>
        <v>0</v>
      </c>
      <c r="K20" s="49" t="b">
        <f t="shared" si="2"/>
        <v>0</v>
      </c>
      <c r="L20" s="49" t="b">
        <f t="shared" si="2"/>
        <v>0</v>
      </c>
      <c r="M20" s="49" t="b">
        <f t="shared" si="2"/>
        <v>0</v>
      </c>
      <c r="N20" s="49" t="b">
        <f t="shared" si="2"/>
        <v>1</v>
      </c>
      <c r="O20" s="49" t="b">
        <f t="shared" si="2"/>
        <v>1</v>
      </c>
      <c r="P20" s="49" t="b">
        <f t="shared" si="2"/>
        <v>0</v>
      </c>
      <c r="Q20" s="49" t="b">
        <f t="shared" si="2"/>
        <v>1</v>
      </c>
      <c r="R20" s="49" t="b">
        <f t="shared" si="2"/>
        <v>1</v>
      </c>
      <c r="S20" s="49" t="b">
        <f t="shared" si="2"/>
        <v>0</v>
      </c>
      <c r="T20" s="49" t="b">
        <f t="shared" si="0"/>
        <v>1</v>
      </c>
      <c r="U20" s="49" t="b">
        <f t="shared" si="0"/>
        <v>0</v>
      </c>
      <c r="V20" s="49" t="b">
        <f t="shared" si="0"/>
        <v>0</v>
      </c>
      <c r="W20" s="49" t="b">
        <f t="shared" si="0"/>
        <v>0</v>
      </c>
      <c r="X20" s="49" t="b">
        <f t="shared" si="0"/>
        <v>0</v>
      </c>
      <c r="Y20" s="49" t="b">
        <f t="shared" si="0"/>
        <v>0</v>
      </c>
      <c r="Z20" s="49" t="b">
        <f t="shared" si="0"/>
        <v>1</v>
      </c>
      <c r="AA20" s="49" t="b">
        <f t="shared" si="0"/>
        <v>1</v>
      </c>
      <c r="AB20" s="49" t="b">
        <f t="shared" si="0"/>
        <v>0</v>
      </c>
      <c r="AC20" s="49" t="b">
        <f t="shared" si="0"/>
        <v>1</v>
      </c>
      <c r="AD20" s="49" t="b">
        <f t="shared" si="0"/>
        <v>1</v>
      </c>
      <c r="AE20" s="49" t="b">
        <f t="shared" si="0"/>
        <v>0</v>
      </c>
      <c r="AF20" s="49" t="b">
        <f t="shared" si="0"/>
        <v>1</v>
      </c>
      <c r="AG20" s="49" t="b">
        <f t="shared" si="0"/>
        <v>0</v>
      </c>
      <c r="AH20" s="49" t="b">
        <f t="shared" si="0"/>
        <v>0</v>
      </c>
      <c r="AI20" s="49" t="b">
        <f t="shared" si="0"/>
        <v>0</v>
      </c>
      <c r="AJ20" s="49" t="b">
        <f t="shared" si="0"/>
        <v>0</v>
      </c>
      <c r="AK20" s="49" t="b">
        <f t="shared" si="0"/>
        <v>0</v>
      </c>
      <c r="AL20" s="49" t="b">
        <f t="shared" si="0"/>
        <v>0</v>
      </c>
      <c r="AM20" s="49" t="b">
        <f t="shared" si="0"/>
        <v>1</v>
      </c>
      <c r="AN20" s="49" t="b">
        <f t="shared" si="0"/>
        <v>1</v>
      </c>
      <c r="AO20" s="49" t="b">
        <f t="shared" si="0"/>
        <v>0</v>
      </c>
      <c r="AP20" s="49" t="b">
        <f t="shared" si="0"/>
        <v>1</v>
      </c>
      <c r="AQ20" s="49" t="b">
        <f t="shared" si="0"/>
        <v>1</v>
      </c>
      <c r="AR20" s="49" t="b">
        <f t="shared" si="0"/>
        <v>0</v>
      </c>
      <c r="AS20" s="49" t="b">
        <f t="shared" si="0"/>
        <v>0</v>
      </c>
      <c r="AT20" s="49" t="b">
        <f t="shared" si="0"/>
        <v>0</v>
      </c>
      <c r="AU20" s="49" t="b">
        <f t="shared" si="0"/>
        <v>0</v>
      </c>
      <c r="AV20" s="49" t="b">
        <f t="shared" si="0"/>
        <v>0</v>
      </c>
      <c r="AW20" s="49" t="b">
        <f t="shared" si="0"/>
        <v>0</v>
      </c>
      <c r="AX20" s="49" t="b">
        <f t="shared" si="0"/>
        <v>0</v>
      </c>
      <c r="AY20" s="49" t="b">
        <f t="shared" si="0"/>
        <v>0</v>
      </c>
      <c r="AZ20" s="49" t="b">
        <f t="shared" si="0"/>
        <v>1</v>
      </c>
      <c r="BA20" s="49" t="b">
        <f t="shared" si="0"/>
        <v>1</v>
      </c>
      <c r="BB20" s="49" t="b">
        <f t="shared" si="0"/>
        <v>0</v>
      </c>
      <c r="BC20" s="49" t="b">
        <f t="shared" si="0"/>
        <v>1</v>
      </c>
      <c r="BD20" s="49" t="b">
        <f t="shared" si="0"/>
        <v>1</v>
      </c>
      <c r="BE20" s="49" t="b">
        <f t="shared" si="0"/>
        <v>0</v>
      </c>
      <c r="BF20" s="49" t="b">
        <f t="shared" si="0"/>
        <v>0</v>
      </c>
      <c r="BG20" s="49" t="b">
        <f t="shared" si="0"/>
        <v>0</v>
      </c>
      <c r="BH20" s="49" t="b">
        <f t="shared" si="0"/>
        <v>1</v>
      </c>
      <c r="BI20" s="49" t="b">
        <f t="shared" si="0"/>
        <v>1</v>
      </c>
      <c r="BJ20" s="49" t="b">
        <f t="shared" si="0"/>
        <v>0</v>
      </c>
      <c r="BK20" s="49" t="b">
        <f t="shared" si="0"/>
        <v>0</v>
      </c>
      <c r="BL20" s="49" t="b">
        <f t="shared" si="0"/>
        <v>0</v>
      </c>
      <c r="BM20" s="49" t="b">
        <f t="shared" si="0"/>
        <v>0</v>
      </c>
      <c r="BN20" s="49" t="b">
        <f t="shared" si="0"/>
        <v>0</v>
      </c>
      <c r="BO20" s="49" t="b">
        <f t="shared" si="0"/>
        <v>0</v>
      </c>
      <c r="BP20" s="49" t="b">
        <f t="shared" si="0"/>
        <v>0</v>
      </c>
      <c r="BQ20" s="49" t="b">
        <f t="shared" si="1"/>
        <v>0</v>
      </c>
      <c r="BR20" s="49" t="b">
        <f t="shared" si="1"/>
        <v>0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 t="shared" si="1"/>
        <v>0</v>
      </c>
      <c r="BW20" s="49" t="b">
        <f t="shared" si="1"/>
        <v>0</v>
      </c>
      <c r="BX20" s="49" t="b">
        <f t="shared" si="1"/>
        <v>0</v>
      </c>
      <c r="BY20" s="49" t="b">
        <f t="shared" si="1"/>
        <v>0</v>
      </c>
      <c r="BZ20" s="49" t="b">
        <f t="shared" si="1"/>
        <v>0</v>
      </c>
      <c r="CA20" s="49" t="b">
        <f t="shared" si="1"/>
        <v>0</v>
      </c>
      <c r="CB20" s="49" t="b">
        <f t="shared" si="1"/>
        <v>0</v>
      </c>
      <c r="CC20" s="49" t="b">
        <f t="shared" si="1"/>
        <v>0</v>
      </c>
      <c r="CD20" s="49" t="b">
        <f t="shared" si="1"/>
        <v>0</v>
      </c>
      <c r="CE20" s="49" t="b">
        <f t="shared" si="1"/>
        <v>0</v>
      </c>
      <c r="CF20" s="49" t="b">
        <f t="shared" si="1"/>
        <v>0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2"/>
        <v>0</v>
      </c>
      <c r="E21" s="49" t="b">
        <f t="shared" si="0"/>
        <v>1</v>
      </c>
      <c r="F21" s="49" t="b">
        <f t="shared" si="0"/>
        <v>1</v>
      </c>
      <c r="G21" s="49" t="b">
        <f t="shared" si="0"/>
        <v>0</v>
      </c>
      <c r="H21" s="49" t="b">
        <f t="shared" si="0"/>
        <v>0</v>
      </c>
      <c r="I21" s="49" t="b">
        <f t="shared" si="0"/>
        <v>0</v>
      </c>
      <c r="J21" s="49" t="b">
        <f t="shared" si="0"/>
        <v>0</v>
      </c>
      <c r="K21" s="49" t="b">
        <f t="shared" si="0"/>
        <v>0</v>
      </c>
      <c r="L21" s="49" t="b">
        <f t="shared" si="0"/>
        <v>0</v>
      </c>
      <c r="M21" s="49" t="b">
        <f t="shared" si="0"/>
        <v>0</v>
      </c>
      <c r="N21" s="49" t="b">
        <f t="shared" si="0"/>
        <v>1</v>
      </c>
      <c r="O21" s="49" t="b">
        <f t="shared" si="0"/>
        <v>1</v>
      </c>
      <c r="P21" s="49" t="b">
        <f t="shared" si="0"/>
        <v>0</v>
      </c>
      <c r="Q21" s="49" t="b">
        <f t="shared" si="0"/>
        <v>1</v>
      </c>
      <c r="R21" s="49" t="b">
        <f t="shared" si="0"/>
        <v>1</v>
      </c>
      <c r="S21" s="49" t="b">
        <f t="shared" si="0"/>
        <v>0</v>
      </c>
      <c r="T21" s="49" t="b">
        <f t="shared" si="0"/>
        <v>0</v>
      </c>
      <c r="U21" s="49" t="b">
        <f t="shared" si="0"/>
        <v>0</v>
      </c>
      <c r="V21" s="49" t="b">
        <f t="shared" si="0"/>
        <v>0</v>
      </c>
      <c r="W21" s="49" t="b">
        <f t="shared" si="0"/>
        <v>0</v>
      </c>
      <c r="X21" s="49" t="b">
        <f t="shared" si="0"/>
        <v>0</v>
      </c>
      <c r="Y21" s="49" t="b">
        <f t="shared" si="0"/>
        <v>0</v>
      </c>
      <c r="Z21" s="49" t="b">
        <f t="shared" si="0"/>
        <v>1</v>
      </c>
      <c r="AA21" s="49" t="b">
        <f t="shared" si="0"/>
        <v>1</v>
      </c>
      <c r="AB21" s="49" t="b">
        <f t="shared" si="0"/>
        <v>0</v>
      </c>
      <c r="AC21" s="49" t="b">
        <f t="shared" si="0"/>
        <v>1</v>
      </c>
      <c r="AD21" s="49" t="b">
        <f t="shared" si="0"/>
        <v>1</v>
      </c>
      <c r="AE21" s="49" t="b">
        <f t="shared" si="0"/>
        <v>0</v>
      </c>
      <c r="AF21" s="49" t="b">
        <f t="shared" si="0"/>
        <v>0</v>
      </c>
      <c r="AG21" s="49" t="b">
        <f t="shared" si="0"/>
        <v>0</v>
      </c>
      <c r="AH21" s="49" t="b">
        <f t="shared" si="0"/>
        <v>0</v>
      </c>
      <c r="AI21" s="49" t="b">
        <f t="shared" si="0"/>
        <v>0</v>
      </c>
      <c r="AJ21" s="49" t="b">
        <f t="shared" si="0"/>
        <v>0</v>
      </c>
      <c r="AK21" s="49" t="b">
        <f t="shared" si="0"/>
        <v>0</v>
      </c>
      <c r="AL21" s="49" t="b">
        <f t="shared" si="0"/>
        <v>0</v>
      </c>
      <c r="AM21" s="49" t="b">
        <f t="shared" si="0"/>
        <v>1</v>
      </c>
      <c r="AN21" s="49" t="b">
        <f t="shared" si="0"/>
        <v>1</v>
      </c>
      <c r="AO21" s="49" t="b">
        <f t="shared" si="0"/>
        <v>0</v>
      </c>
      <c r="AP21" s="49" t="b">
        <f t="shared" si="0"/>
        <v>1</v>
      </c>
      <c r="AQ21" s="49" t="b">
        <f t="shared" si="0"/>
        <v>1</v>
      </c>
      <c r="AR21" s="49" t="b">
        <f t="shared" si="0"/>
        <v>0</v>
      </c>
      <c r="AS21" s="49" t="b">
        <f t="shared" si="0"/>
        <v>1</v>
      </c>
      <c r="AT21" s="49" t="b">
        <f t="shared" si="0"/>
        <v>0</v>
      </c>
      <c r="AU21" s="49" t="b">
        <f t="shared" si="0"/>
        <v>0</v>
      </c>
      <c r="AV21" s="49" t="b">
        <f t="shared" si="0"/>
        <v>0</v>
      </c>
      <c r="AW21" s="49" t="b">
        <f t="shared" si="0"/>
        <v>0</v>
      </c>
      <c r="AX21" s="49" t="b">
        <f t="shared" si="0"/>
        <v>0</v>
      </c>
      <c r="AY21" s="49" t="b">
        <f t="shared" si="0"/>
        <v>0</v>
      </c>
      <c r="AZ21" s="49" t="b">
        <f t="shared" si="0"/>
        <v>1</v>
      </c>
      <c r="BA21" s="49" t="b">
        <f t="shared" si="0"/>
        <v>1</v>
      </c>
      <c r="BB21" s="49" t="b">
        <f t="shared" si="0"/>
        <v>0</v>
      </c>
      <c r="BC21" s="49" t="b">
        <f t="shared" si="0"/>
        <v>1</v>
      </c>
      <c r="BD21" s="49" t="b">
        <f t="shared" si="0"/>
        <v>1</v>
      </c>
      <c r="BE21" s="49" t="b">
        <f t="shared" si="0"/>
        <v>0</v>
      </c>
      <c r="BF21" s="49" t="b">
        <f t="shared" si="0"/>
        <v>0</v>
      </c>
      <c r="BG21" s="49" t="b">
        <f t="shared" si="0"/>
        <v>0</v>
      </c>
      <c r="BH21" s="49" t="b">
        <f t="shared" si="0"/>
        <v>1</v>
      </c>
      <c r="BI21" s="49" t="b">
        <f t="shared" si="0"/>
        <v>1</v>
      </c>
      <c r="BJ21" s="49" t="b">
        <f t="shared" si="0"/>
        <v>0</v>
      </c>
      <c r="BK21" s="49" t="b">
        <f t="shared" si="0"/>
        <v>0</v>
      </c>
      <c r="BL21" s="49" t="b">
        <f t="shared" si="0"/>
        <v>0</v>
      </c>
      <c r="BM21" s="49" t="b">
        <f t="shared" si="0"/>
        <v>0</v>
      </c>
      <c r="BN21" s="49" t="b">
        <f t="shared" si="0"/>
        <v>0</v>
      </c>
      <c r="BO21" s="49" t="b">
        <f t="shared" si="0"/>
        <v>0</v>
      </c>
      <c r="BP21" s="49" t="b">
        <f t="shared" si="0"/>
        <v>0</v>
      </c>
      <c r="BQ21" s="49" t="b">
        <f t="shared" si="1"/>
        <v>1</v>
      </c>
      <c r="BR21" s="49" t="b">
        <f t="shared" si="1"/>
        <v>0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b">
        <f t="shared" si="1"/>
        <v>0</v>
      </c>
      <c r="BW21" s="49" t="b">
        <f t="shared" si="1"/>
        <v>0</v>
      </c>
      <c r="BX21" s="49" t="b">
        <f t="shared" si="1"/>
        <v>0</v>
      </c>
      <c r="BY21" s="49" t="b">
        <f t="shared" si="1"/>
        <v>0</v>
      </c>
      <c r="BZ21" s="49" t="b">
        <f t="shared" si="1"/>
        <v>0</v>
      </c>
      <c r="CA21" s="49" t="b">
        <f t="shared" si="1"/>
        <v>1</v>
      </c>
      <c r="CB21" s="49" t="b">
        <f t="shared" si="1"/>
        <v>0</v>
      </c>
      <c r="CC21" s="49" t="b">
        <f t="shared" si="1"/>
        <v>0</v>
      </c>
      <c r="CD21" s="49" t="b">
        <f t="shared" si="1"/>
        <v>0</v>
      </c>
      <c r="CE21" s="49" t="b">
        <f t="shared" si="1"/>
        <v>0</v>
      </c>
      <c r="CF21" s="49" t="b">
        <f t="shared" si="1"/>
        <v>0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26"/>
      <c r="B22" s="27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1"/>
      <c r="AB22" s="21"/>
      <c r="AC22" s="21"/>
      <c r="AD22" s="34"/>
      <c r="AE22" s="21"/>
      <c r="AF22" s="21"/>
      <c r="AG22" s="21"/>
      <c r="AH22" s="34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6"/>
      <c r="AU22" s="26"/>
      <c r="AV22" s="26"/>
    </row>
    <row r="23" spans="1:16376" customFormat="1" ht="15">
      <c r="A23" s="26"/>
      <c r="B23" s="27"/>
      <c r="C23" s="26"/>
      <c r="D23" s="26"/>
      <c r="E23" s="33"/>
      <c r="F23" s="33"/>
      <c r="G23" s="33"/>
      <c r="H23" s="33"/>
      <c r="I23" s="33"/>
      <c r="J23" s="33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1"/>
      <c r="AB23" s="21"/>
      <c r="AC23" s="21"/>
      <c r="AD23" s="21"/>
      <c r="AE23" s="21"/>
      <c r="AF23" s="21"/>
      <c r="AG23" s="21"/>
      <c r="AH23" s="34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6"/>
      <c r="AU23" s="26"/>
      <c r="AV23" s="26"/>
    </row>
    <row r="24" spans="1:16376">
      <c r="A24" s="6"/>
      <c r="B24" s="7"/>
      <c r="C24" s="6"/>
      <c r="D24" s="33"/>
      <c r="E24" s="33"/>
      <c r="F24" s="33"/>
      <c r="G24" s="33"/>
      <c r="H24" s="33"/>
      <c r="I24" s="33"/>
      <c r="J24" s="33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33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7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7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7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7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7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7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7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7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7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7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7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7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7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7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7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</sheetData>
  <mergeCells count="10">
    <mergeCell ref="F17:I17"/>
    <mergeCell ref="F11:I11"/>
    <mergeCell ref="D2:R2"/>
    <mergeCell ref="S2:AD2"/>
    <mergeCell ref="AE2:AQ2"/>
    <mergeCell ref="AR2:BD2"/>
    <mergeCell ref="BE2:BI2"/>
    <mergeCell ref="BJ2:BO2"/>
    <mergeCell ref="BP2:BU2"/>
    <mergeCell ref="BV2:CF2"/>
  </mergeCells>
  <conditionalFormatting sqref="AT6:AV9">
    <cfRule type="cellIs" dxfId="13" priority="14" operator="lessThan">
      <formula>0</formula>
    </cfRule>
  </conditionalFormatting>
  <conditionalFormatting sqref="AP6:AQ9">
    <cfRule type="cellIs" dxfId="12" priority="13" operator="greaterThan">
      <formula>0</formula>
    </cfRule>
  </conditionalFormatting>
  <conditionalFormatting sqref="AV11">
    <cfRule type="cellIs" dxfId="11" priority="12" operator="lessThan">
      <formula>0</formula>
    </cfRule>
  </conditionalFormatting>
  <conditionalFormatting sqref="AQ11">
    <cfRule type="cellIs" dxfId="10" priority="11" operator="lessThan">
      <formula>0</formula>
    </cfRule>
  </conditionalFormatting>
  <conditionalFormatting sqref="AR6:AR9">
    <cfRule type="cellIs" dxfId="9" priority="10" operator="greaterThan">
      <formula>0</formula>
    </cfRule>
  </conditionalFormatting>
  <conditionalFormatting sqref="AD6:AD9">
    <cfRule type="cellIs" dxfId="8" priority="9" operator="lessThan">
      <formula>3.25</formula>
    </cfRule>
  </conditionalFormatting>
  <conditionalFormatting sqref="AV17">
    <cfRule type="cellIs" dxfId="7" priority="8" operator="lessThan">
      <formula>0</formula>
    </cfRule>
  </conditionalFormatting>
  <conditionalFormatting sqref="AQ17">
    <cfRule type="cellIs" dxfId="6" priority="7" operator="lessThan">
      <formula>0</formula>
    </cfRule>
  </conditionalFormatting>
  <conditionalFormatting sqref="AT12:AV15">
    <cfRule type="cellIs" dxfId="5" priority="6" operator="lessThan">
      <formula>0</formula>
    </cfRule>
  </conditionalFormatting>
  <conditionalFormatting sqref="AP12:AQ15">
    <cfRule type="cellIs" dxfId="4" priority="5" operator="greaterThan">
      <formula>0</formula>
    </cfRule>
  </conditionalFormatting>
  <conditionalFormatting sqref="AR12:AR15">
    <cfRule type="cellIs" dxfId="3" priority="4" operator="greaterThan">
      <formula>0</formula>
    </cfRule>
  </conditionalFormatting>
  <conditionalFormatting sqref="AD12:AD15">
    <cfRule type="cellIs" dxfId="2" priority="3" operator="lessThan">
      <formula>3.25</formula>
    </cfRule>
  </conditionalFormatting>
  <conditionalFormatting sqref="D18:CF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2"/>
  <sheetViews>
    <sheetView tabSelected="1" workbookViewId="0"/>
  </sheetViews>
  <sheetFormatPr baseColWidth="10" defaultRowHeight="15"/>
  <cols>
    <col min="1" max="1" width="23.5703125" bestFit="1" customWidth="1"/>
    <col min="2" max="2" width="25.85546875" bestFit="1" customWidth="1"/>
    <col min="3" max="3" width="17.42578125" bestFit="1" customWidth="1"/>
    <col min="4" max="4" width="20.28515625" bestFit="1" customWidth="1"/>
  </cols>
  <sheetData>
    <row r="1" spans="1:4">
      <c r="A1" s="51" t="s">
        <v>17</v>
      </c>
      <c r="B1" s="51" t="s">
        <v>18</v>
      </c>
      <c r="C1" s="51" t="s">
        <v>19</v>
      </c>
      <c r="D1" s="51" t="s">
        <v>108</v>
      </c>
    </row>
    <row r="2" spans="1:4">
      <c r="A2" s="108" t="s">
        <v>171</v>
      </c>
      <c r="B2" t="s">
        <v>176</v>
      </c>
      <c r="C2" t="s">
        <v>169</v>
      </c>
      <c r="D2" t="s">
        <v>115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4"/>
  <sheetViews>
    <sheetView workbookViewId="0">
      <selection activeCell="D14" sqref="D14"/>
    </sheetView>
  </sheetViews>
  <sheetFormatPr baseColWidth="10" defaultRowHeight="15"/>
  <cols>
    <col min="1" max="1" width="32.7109375" bestFit="1" customWidth="1"/>
    <col min="2" max="2" width="34.140625" bestFit="1" customWidth="1"/>
    <col min="3" max="3" width="7" bestFit="1" customWidth="1"/>
  </cols>
  <sheetData>
    <row r="1" spans="1:4">
      <c r="A1" s="105" t="s">
        <v>108</v>
      </c>
      <c r="B1" s="105" t="s">
        <v>121</v>
      </c>
      <c r="C1" s="105" t="s">
        <v>119</v>
      </c>
      <c r="D1" s="107" t="s">
        <v>141</v>
      </c>
    </row>
    <row r="2" spans="1:4">
      <c r="A2" s="105" t="s">
        <v>113</v>
      </c>
      <c r="B2" s="109" t="s">
        <v>144</v>
      </c>
      <c r="C2" s="105" t="s">
        <v>120</v>
      </c>
      <c r="D2" t="s">
        <v>4</v>
      </c>
    </row>
    <row r="3" spans="1:4">
      <c r="A3" s="105" t="s">
        <v>113</v>
      </c>
      <c r="B3" s="109" t="s">
        <v>145</v>
      </c>
      <c r="C3" s="105" t="s">
        <v>120</v>
      </c>
      <c r="D3" t="s">
        <v>143</v>
      </c>
    </row>
    <row r="4" spans="1:4">
      <c r="A4" s="105" t="s">
        <v>112</v>
      </c>
      <c r="B4" s="109" t="s">
        <v>146</v>
      </c>
      <c r="C4" s="105" t="s">
        <v>120</v>
      </c>
      <c r="D4" t="s">
        <v>4</v>
      </c>
    </row>
    <row r="5" spans="1:4">
      <c r="A5" s="105" t="s">
        <v>112</v>
      </c>
      <c r="B5" s="109" t="s">
        <v>147</v>
      </c>
      <c r="C5" s="105" t="s">
        <v>120</v>
      </c>
      <c r="D5" t="s">
        <v>143</v>
      </c>
    </row>
    <row r="6" spans="1:4">
      <c r="A6" s="105" t="s">
        <v>118</v>
      </c>
      <c r="B6" s="109" t="s">
        <v>148</v>
      </c>
      <c r="C6" s="105" t="s">
        <v>120</v>
      </c>
      <c r="D6" t="s">
        <v>142</v>
      </c>
    </row>
    <row r="7" spans="1:4">
      <c r="A7" s="105" t="s">
        <v>118</v>
      </c>
      <c r="B7" s="109" t="s">
        <v>149</v>
      </c>
      <c r="C7" s="105" t="s">
        <v>120</v>
      </c>
      <c r="D7" t="s">
        <v>4</v>
      </c>
    </row>
    <row r="8" spans="1:4">
      <c r="A8" s="105" t="s">
        <v>117</v>
      </c>
      <c r="B8" s="109" t="s">
        <v>150</v>
      </c>
      <c r="C8" s="105" t="s">
        <v>120</v>
      </c>
      <c r="D8" t="s">
        <v>142</v>
      </c>
    </row>
    <row r="9" spans="1:4">
      <c r="A9" s="105" t="s">
        <v>117</v>
      </c>
      <c r="B9" s="109" t="s">
        <v>151</v>
      </c>
      <c r="C9" s="105" t="s">
        <v>120</v>
      </c>
      <c r="D9" t="s">
        <v>4</v>
      </c>
    </row>
    <row r="10" spans="1:4">
      <c r="A10" s="105" t="s">
        <v>116</v>
      </c>
      <c r="B10" s="109" t="s">
        <v>152</v>
      </c>
      <c r="C10" s="105" t="s">
        <v>120</v>
      </c>
      <c r="D10" t="s">
        <v>142</v>
      </c>
    </row>
    <row r="11" spans="1:4">
      <c r="A11" s="105" t="s">
        <v>116</v>
      </c>
      <c r="B11" s="109" t="s">
        <v>153</v>
      </c>
      <c r="C11" s="105" t="s">
        <v>120</v>
      </c>
      <c r="D11" t="s">
        <v>4</v>
      </c>
    </row>
    <row r="12" spans="1:4">
      <c r="A12" s="105" t="s">
        <v>115</v>
      </c>
      <c r="B12" s="109" t="s">
        <v>154</v>
      </c>
      <c r="C12" s="105" t="s">
        <v>120</v>
      </c>
      <c r="D12" t="s">
        <v>142</v>
      </c>
    </row>
    <row r="13" spans="1:4">
      <c r="A13" s="105" t="s">
        <v>115</v>
      </c>
      <c r="B13" s="109" t="s">
        <v>155</v>
      </c>
      <c r="C13" s="105" t="s">
        <v>120</v>
      </c>
      <c r="D13" s="107" t="s">
        <v>4</v>
      </c>
    </row>
    <row r="14" spans="1:4">
      <c r="A14" s="105" t="s">
        <v>111</v>
      </c>
      <c r="B14" s="109" t="s">
        <v>156</v>
      </c>
      <c r="C14" s="105" t="s">
        <v>120</v>
      </c>
      <c r="D14" t="s">
        <v>142</v>
      </c>
    </row>
    <row r="15" spans="1:4">
      <c r="A15" s="105" t="s">
        <v>111</v>
      </c>
      <c r="B15" s="109" t="s">
        <v>157</v>
      </c>
      <c r="C15" s="105" t="s">
        <v>120</v>
      </c>
      <c r="D15" s="107" t="s">
        <v>4</v>
      </c>
    </row>
    <row r="16" spans="1:4">
      <c r="A16" s="105" t="s">
        <v>115</v>
      </c>
      <c r="B16" s="109" t="s">
        <v>158</v>
      </c>
      <c r="C16" s="105" t="s">
        <v>120</v>
      </c>
      <c r="D16" t="s">
        <v>143</v>
      </c>
    </row>
    <row r="17" spans="1:4">
      <c r="A17" s="105" t="s">
        <v>109</v>
      </c>
      <c r="B17" s="109" t="s">
        <v>159</v>
      </c>
      <c r="C17" s="105" t="s">
        <v>120</v>
      </c>
      <c r="D17" s="107" t="s">
        <v>4</v>
      </c>
    </row>
    <row r="18" spans="1:4">
      <c r="A18" s="105" t="s">
        <v>109</v>
      </c>
      <c r="B18" s="109" t="s">
        <v>160</v>
      </c>
      <c r="C18" s="105" t="s">
        <v>120</v>
      </c>
      <c r="D18" t="s">
        <v>143</v>
      </c>
    </row>
    <row r="19" spans="1:4">
      <c r="A19" s="105" t="s">
        <v>114</v>
      </c>
      <c r="B19" s="109" t="s">
        <v>161</v>
      </c>
      <c r="C19" s="105" t="s">
        <v>120</v>
      </c>
      <c r="D19" s="107" t="s">
        <v>4</v>
      </c>
    </row>
    <row r="20" spans="1:4">
      <c r="A20" s="105" t="s">
        <v>109</v>
      </c>
      <c r="B20" s="109" t="s">
        <v>162</v>
      </c>
      <c r="C20" s="105" t="s">
        <v>120</v>
      </c>
      <c r="D20" t="s">
        <v>142</v>
      </c>
    </row>
    <row r="21" spans="1:4">
      <c r="A21" s="105" t="s">
        <v>114</v>
      </c>
      <c r="B21" s="109" t="s">
        <v>163</v>
      </c>
      <c r="C21" s="105" t="s">
        <v>120</v>
      </c>
      <c r="D21" t="s">
        <v>142</v>
      </c>
    </row>
    <row r="22" spans="1:4">
      <c r="A22" s="105" t="s">
        <v>113</v>
      </c>
      <c r="B22" s="109" t="s">
        <v>164</v>
      </c>
      <c r="C22" s="105" t="s">
        <v>120</v>
      </c>
      <c r="D22" t="s">
        <v>142</v>
      </c>
    </row>
    <row r="23" spans="1:4">
      <c r="A23" s="105" t="s">
        <v>112</v>
      </c>
      <c r="B23" s="109" t="s">
        <v>165</v>
      </c>
      <c r="C23" s="105" t="s">
        <v>120</v>
      </c>
      <c r="D23" t="s">
        <v>142</v>
      </c>
    </row>
    <row r="24" spans="1:4">
      <c r="A24" s="105" t="s">
        <v>111</v>
      </c>
      <c r="B24" s="109" t="s">
        <v>166</v>
      </c>
      <c r="C24" s="105" t="s">
        <v>120</v>
      </c>
      <c r="D24" t="s">
        <v>143</v>
      </c>
    </row>
    <row r="25" spans="1:4">
      <c r="A25" s="105" t="s">
        <v>110</v>
      </c>
      <c r="B25" s="109" t="s">
        <v>167</v>
      </c>
      <c r="C25" s="105" t="s">
        <v>120</v>
      </c>
      <c r="D25" t="s">
        <v>142</v>
      </c>
    </row>
    <row r="26" spans="1:4">
      <c r="A26" s="105" t="s">
        <v>110</v>
      </c>
      <c r="B26" s="109" t="s">
        <v>168</v>
      </c>
      <c r="C26" s="105" t="s">
        <v>120</v>
      </c>
      <c r="D26" s="107" t="s">
        <v>4</v>
      </c>
    </row>
    <row r="27" spans="1:4">
      <c r="A27" t="s">
        <v>113</v>
      </c>
      <c r="B27" t="s">
        <v>122</v>
      </c>
      <c r="C27" t="s">
        <v>140</v>
      </c>
      <c r="D27" s="107" t="s">
        <v>4</v>
      </c>
    </row>
    <row r="28" spans="1:4">
      <c r="A28" t="s">
        <v>113</v>
      </c>
      <c r="B28" t="s">
        <v>123</v>
      </c>
      <c r="C28" s="105" t="s">
        <v>140</v>
      </c>
      <c r="D28" t="s">
        <v>143</v>
      </c>
    </row>
    <row r="29" spans="1:4">
      <c r="A29" t="s">
        <v>112</v>
      </c>
      <c r="B29" t="s">
        <v>124</v>
      </c>
      <c r="C29" s="105" t="s">
        <v>140</v>
      </c>
      <c r="D29" s="107" t="s">
        <v>4</v>
      </c>
    </row>
    <row r="30" spans="1:4">
      <c r="A30" t="s">
        <v>112</v>
      </c>
      <c r="B30" t="s">
        <v>125</v>
      </c>
      <c r="C30" s="105" t="s">
        <v>140</v>
      </c>
      <c r="D30" t="s">
        <v>143</v>
      </c>
    </row>
    <row r="31" spans="1:4">
      <c r="A31" t="s">
        <v>118</v>
      </c>
      <c r="B31" t="s">
        <v>126</v>
      </c>
      <c r="C31" s="105" t="s">
        <v>140</v>
      </c>
      <c r="D31" t="s">
        <v>142</v>
      </c>
    </row>
    <row r="32" spans="1:4">
      <c r="A32" t="s">
        <v>118</v>
      </c>
      <c r="B32" t="s">
        <v>127</v>
      </c>
      <c r="C32" s="105" t="s">
        <v>140</v>
      </c>
      <c r="D32" s="107" t="s">
        <v>4</v>
      </c>
    </row>
    <row r="33" spans="1:4">
      <c r="A33" t="s">
        <v>117</v>
      </c>
      <c r="B33" t="s">
        <v>128</v>
      </c>
      <c r="C33" s="105" t="s">
        <v>140</v>
      </c>
      <c r="D33" t="s">
        <v>142</v>
      </c>
    </row>
    <row r="34" spans="1:4">
      <c r="A34" t="s">
        <v>117</v>
      </c>
      <c r="B34" t="s">
        <v>129</v>
      </c>
      <c r="C34" s="105" t="s">
        <v>140</v>
      </c>
      <c r="D34" s="107" t="s">
        <v>4</v>
      </c>
    </row>
    <row r="35" spans="1:4">
      <c r="A35" t="s">
        <v>116</v>
      </c>
      <c r="B35" t="s">
        <v>130</v>
      </c>
      <c r="C35" s="105" t="s">
        <v>140</v>
      </c>
      <c r="D35" t="s">
        <v>142</v>
      </c>
    </row>
    <row r="36" spans="1:4">
      <c r="A36" t="s">
        <v>116</v>
      </c>
      <c r="B36" t="s">
        <v>131</v>
      </c>
      <c r="C36" s="105" t="s">
        <v>140</v>
      </c>
      <c r="D36" s="107" t="s">
        <v>4</v>
      </c>
    </row>
    <row r="37" spans="1:4">
      <c r="A37" t="s">
        <v>115</v>
      </c>
      <c r="B37" t="s">
        <v>132</v>
      </c>
      <c r="C37" s="105" t="s">
        <v>140</v>
      </c>
      <c r="D37" t="s">
        <v>142</v>
      </c>
    </row>
    <row r="38" spans="1:4">
      <c r="A38" t="s">
        <v>115</v>
      </c>
      <c r="B38" t="s">
        <v>133</v>
      </c>
      <c r="C38" s="105" t="s">
        <v>140</v>
      </c>
      <c r="D38" s="107" t="s">
        <v>4</v>
      </c>
    </row>
    <row r="39" spans="1:4">
      <c r="A39" t="s">
        <v>111</v>
      </c>
      <c r="B39" t="s">
        <v>134</v>
      </c>
      <c r="C39" s="105" t="s">
        <v>140</v>
      </c>
      <c r="D39" t="s">
        <v>142</v>
      </c>
    </row>
    <row r="40" spans="1:4">
      <c r="A40" t="s">
        <v>111</v>
      </c>
      <c r="B40" t="s">
        <v>135</v>
      </c>
      <c r="C40" s="105" t="s">
        <v>140</v>
      </c>
      <c r="D40" s="107" t="s">
        <v>4</v>
      </c>
    </row>
    <row r="41" spans="1:4">
      <c r="A41" t="s">
        <v>115</v>
      </c>
      <c r="B41" t="s">
        <v>136</v>
      </c>
      <c r="C41" s="105" t="s">
        <v>140</v>
      </c>
      <c r="D41" t="s">
        <v>143</v>
      </c>
    </row>
    <row r="42" spans="1:4">
      <c r="A42" t="s">
        <v>113</v>
      </c>
      <c r="B42" t="s">
        <v>137</v>
      </c>
      <c r="C42" s="105" t="s">
        <v>140</v>
      </c>
      <c r="D42" t="s">
        <v>142</v>
      </c>
    </row>
    <row r="43" spans="1:4">
      <c r="A43" t="s">
        <v>112</v>
      </c>
      <c r="B43" t="s">
        <v>138</v>
      </c>
      <c r="C43" s="105" t="s">
        <v>140</v>
      </c>
      <c r="D43" t="s">
        <v>142</v>
      </c>
    </row>
    <row r="44" spans="1:4">
      <c r="A44" t="s">
        <v>111</v>
      </c>
      <c r="B44" t="s">
        <v>139</v>
      </c>
      <c r="C44" s="105" t="s">
        <v>140</v>
      </c>
      <c r="D44" t="s">
        <v>143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472</vt:i4>
      </vt:variant>
    </vt:vector>
  </HeadingPairs>
  <TitlesOfParts>
    <vt:vector size="478" baseType="lpstr">
      <vt:lpstr>Principal</vt:lpstr>
      <vt:lpstr>RESUMEN_KPI_ALL</vt:lpstr>
      <vt:lpstr>RESUMEN_KPI_4G</vt:lpstr>
      <vt:lpstr>RESUMEN_KPI_3G</vt:lpstr>
      <vt:lpstr>check</vt:lpstr>
      <vt:lpstr>aux</vt:lpstr>
      <vt:lpstr>Principal!CallEnd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Principal!CallEnd_97</vt:lpstr>
      <vt:lpstr>Principal!CallEnd_98</vt:lpstr>
      <vt:lpstr>Principal!CallEnd_99</vt:lpstr>
      <vt:lpstr>rng_CE_DL_3G</vt:lpstr>
      <vt:lpstr>rng_CE_DL_4G</vt:lpstr>
      <vt:lpstr>rng_CE_DL_ALL</vt:lpstr>
      <vt:lpstr>rng_CE_UL_3G</vt:lpstr>
      <vt:lpstr>rng_CE_UL_4G</vt:lpstr>
      <vt:lpstr>rng_CE_UL_ALL</vt:lpstr>
      <vt:lpstr>rng_DL_1</vt:lpstr>
      <vt:lpstr>rng_DL_2</vt:lpstr>
      <vt:lpstr>rng_HTTP_3G</vt:lpstr>
      <vt:lpstr>rng_HTTP_4G</vt:lpstr>
      <vt:lpstr>rng_HTTP_ALL</vt:lpstr>
      <vt:lpstr>rng_HTTPS_3G</vt:lpstr>
      <vt:lpstr>rng_HTTPS_4G</vt:lpstr>
      <vt:lpstr>rng_HTTPS_ALL</vt:lpstr>
      <vt:lpstr>rng_LATENCIA_3G</vt:lpstr>
      <vt:lpstr>rng_LATENCIA_4G</vt:lpstr>
      <vt:lpstr>rng_LATENCIA_ALL</vt:lpstr>
      <vt:lpstr>rng_Lista_3G</vt:lpstr>
      <vt:lpstr>rng_NC_DL_3G</vt:lpstr>
      <vt:lpstr>rng_NC_DL_4G</vt:lpstr>
      <vt:lpstr>rng_NC_DL_ALL</vt:lpstr>
      <vt:lpstr>rng_NC_UL_3G</vt:lpstr>
      <vt:lpstr>rng_NC_UL_4G</vt:lpstr>
      <vt:lpstr>rng_NC_UL_ALL</vt:lpstr>
      <vt:lpstr>rng_UL_1</vt:lpstr>
      <vt:lpstr>rng_UL_2</vt:lpstr>
      <vt:lpstr>rng_Youtube_3G</vt:lpstr>
      <vt:lpstr>rng_Youtube_4G</vt:lpstr>
      <vt:lpstr>rng_Youtube_ALL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2017-07-19T06:54:12Z</dcterms:modified>
</cp:coreProperties>
</file>