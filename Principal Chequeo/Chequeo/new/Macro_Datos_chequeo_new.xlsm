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240" windowWidth="14175" windowHeight="4635" tabRatio="714"/>
  </bookViews>
  <sheets>
    <sheet name="Principal" sheetId="3" r:id="rId1"/>
    <sheet name="RESUMEN_KPI_ALL" sheetId="9" r:id="rId2"/>
    <sheet name="RESUMEN_KPI_4G" sheetId="16" r:id="rId3"/>
    <sheet name="RESUMEN_KPI_3G" sheetId="17" r:id="rId4"/>
    <sheet name="check" sheetId="18" r:id="rId5"/>
    <sheet name="aux" sheetId="19" r:id="rId6"/>
  </sheets>
  <functionGroups builtInGroupCount="17"/>
  <definedNames>
    <definedName name="_xlnm._FilterDatabase" localSheetId="5" hidden="1">aux!$A$1:$D$46</definedName>
    <definedName name="_xlnm._FilterDatabase" localSheetId="4" hidden="1">check!$A$1:$D$16</definedName>
    <definedName name="_xlnm._FilterDatabase" localSheetId="0" hidden="1">Principal!$B$2:$I$5</definedName>
    <definedName name="CallEnd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CE_DL_3G">RESUMEN_KPI_3G!$D$18:$F$21</definedName>
    <definedName name="rng_CE_DL_4G">RESUMEN_KPI_4G!$D$18:$F$21</definedName>
    <definedName name="rng_CE_DL_ALL">RESUMEN_KPI_ALL!$D$18:$F$21</definedName>
    <definedName name="rng_CE_UL_3G">RESUMEN_KPI_3G!$S$18:$U$21</definedName>
    <definedName name="rng_CE_UL_4G">RESUMEN_KPI_4G!$S$18:$U$21</definedName>
    <definedName name="rng_CE_UL_ALL">RESUMEN_KPI_ALL!$S$18:$U$21</definedName>
    <definedName name="rng_DL_1">RESUMEN_KPI_ALL!$L$6:$L$9</definedName>
    <definedName name="rng_DL_2">RESUMEN_KPI_ALL!$AK$6:$AK$9</definedName>
    <definedName name="rng_HTTP_3G">RESUMEN_KPI_3G!$BJ$18:$BL$21</definedName>
    <definedName name="rng_HTTP_4G">RESUMEN_KPI_4G!$BJ$18:$BL$21</definedName>
    <definedName name="rng_HTTP_ALL">RESUMEN_KPI_ALL!$BJ$18:$BL$21</definedName>
    <definedName name="rng_HTTPS_3G">RESUMEN_KPI_3G!$BP$18:$BR$21</definedName>
    <definedName name="rng_HTTPS_4G">RESUMEN_KPI_4G!$BP$18:$BR$21</definedName>
    <definedName name="rng_HTTPS_ALL">RESUMEN_KPI_ALL!$BP$18:$BR$21</definedName>
    <definedName name="rng_LATENCIA_3G">RESUMEN_KPI_3G!$BE$18:$BE$21</definedName>
    <definedName name="rng_LATENCIA_4G">RESUMEN_KPI_4G!$BE$18:$BE$21</definedName>
    <definedName name="rng_LATENCIA_ALL">RESUMEN_KPI_ALL!$BE$18:$BE$21</definedName>
    <definedName name="rng_Lista_3G">RESUMEN_KPI_4G!$D$6:$R$9</definedName>
    <definedName name="rng_NC_DL_3G">RESUMEN_KPI_3G!$AE$18:$AG$21</definedName>
    <definedName name="rng_NC_DL_4G">RESUMEN_KPI_4G!$AE$18:$AG$21</definedName>
    <definedName name="rng_NC_DL_ALL">RESUMEN_KPI_ALL!$AE$18:$AG$21</definedName>
    <definedName name="rng_NC_UL_3G">RESUMEN_KPI_3G!$AR$18:$AT$21</definedName>
    <definedName name="rng_NC_UL_4G">RESUMEN_KPI_4G!$AR$18:$AT$21</definedName>
    <definedName name="rng_NC_UL_ALL">RESUMEN_KPI_ALL!$AR$18:$AT$21</definedName>
    <definedName name="rng_UL_1">RESUMEN_KPI_ALL!$X$6:$X$9</definedName>
    <definedName name="rng_UL_2">RESUMEN_KPI_ALL!$AX$6:$AX$9</definedName>
    <definedName name="rng_Youtube_3G">RESUMEN_KPI_3G!$CD$18:$CD$21</definedName>
    <definedName name="rng_Youtube_4G">RESUMEN_KPI_4G!$CD$18:$CD$21</definedName>
    <definedName name="rng_Youtube_ALL">RESUMEN_KPI_ALL!$CD$18:$CD$21</definedName>
  </definedNames>
  <calcPr calcId="145621"/>
</workbook>
</file>

<file path=xl/calcChain.xml><?xml version="1.0" encoding="utf-8"?>
<calcChain xmlns="http://schemas.openxmlformats.org/spreadsheetml/2006/main">
  <c r="CF21" i="17" l="1"/>
  <c r="CE21" i="17"/>
  <c r="CD21" i="17"/>
  <c r="CC21" i="17"/>
  <c r="CB21" i="17"/>
  <c r="CA21" i="17"/>
  <c r="BZ21" i="17"/>
  <c r="BY21" i="17"/>
  <c r="BX21" i="17"/>
  <c r="BW21" i="17"/>
  <c r="BV21" i="17"/>
  <c r="CF20" i="17"/>
  <c r="CE20" i="17"/>
  <c r="CD20" i="17"/>
  <c r="CC20" i="17"/>
  <c r="CB20" i="17"/>
  <c r="CA20" i="17"/>
  <c r="BZ20" i="17"/>
  <c r="BY20" i="17"/>
  <c r="BX20" i="17"/>
  <c r="BW20" i="17"/>
  <c r="BV20" i="17"/>
  <c r="CF19" i="17"/>
  <c r="CE19" i="17"/>
  <c r="CD19" i="17"/>
  <c r="CC19" i="17"/>
  <c r="CB19" i="17"/>
  <c r="CA19" i="17"/>
  <c r="BZ19" i="17"/>
  <c r="BY19" i="17"/>
  <c r="BX19" i="17"/>
  <c r="BW19" i="17"/>
  <c r="BV19" i="17"/>
  <c r="CF18" i="17"/>
  <c r="CE18" i="17"/>
  <c r="CD18" i="17"/>
  <c r="CC18" i="17"/>
  <c r="CB18" i="17"/>
  <c r="CA18" i="17"/>
  <c r="BZ18" i="17"/>
  <c r="BY18" i="17"/>
  <c r="BX18" i="17"/>
  <c r="BW18" i="17"/>
  <c r="BV18" i="17"/>
  <c r="CF21" i="16"/>
  <c r="CE21" i="16"/>
  <c r="CD21" i="16"/>
  <c r="CC21" i="16"/>
  <c r="CB21" i="16"/>
  <c r="CA21" i="16"/>
  <c r="BZ21" i="16"/>
  <c r="BY21" i="16"/>
  <c r="BX21" i="16"/>
  <c r="BW21" i="16"/>
  <c r="BV21" i="16"/>
  <c r="CF20" i="16"/>
  <c r="CE20" i="16"/>
  <c r="CD20" i="16"/>
  <c r="CC20" i="16"/>
  <c r="CB20" i="16"/>
  <c r="CA20" i="16"/>
  <c r="BZ20" i="16"/>
  <c r="BY20" i="16"/>
  <c r="BX20" i="16"/>
  <c r="BW20" i="16"/>
  <c r="BV20" i="16"/>
  <c r="CF19" i="16"/>
  <c r="CE19" i="16"/>
  <c r="CD19" i="16"/>
  <c r="CC19" i="16"/>
  <c r="CB19" i="16"/>
  <c r="CA19" i="16"/>
  <c r="BZ19" i="16"/>
  <c r="BY19" i="16"/>
  <c r="BX19" i="16"/>
  <c r="BW19" i="16"/>
  <c r="BV19" i="16"/>
  <c r="CF18" i="16"/>
  <c r="CE18" i="16"/>
  <c r="CD18" i="16"/>
  <c r="CC18" i="16"/>
  <c r="CB18" i="16"/>
  <c r="CA18" i="16"/>
  <c r="BZ18" i="16"/>
  <c r="BY18" i="16"/>
  <c r="BX18" i="16"/>
  <c r="BW18" i="16"/>
  <c r="BV18" i="16"/>
  <c r="BX21" i="9"/>
  <c r="BX20" i="9"/>
  <c r="BX19" i="9"/>
  <c r="BX18" i="9"/>
  <c r="BZ21" i="9"/>
  <c r="BZ20" i="9"/>
  <c r="BZ19" i="9"/>
  <c r="BZ18" i="9"/>
  <c r="CB21" i="9"/>
  <c r="CB20" i="9"/>
  <c r="CB19" i="9"/>
  <c r="CB18" i="9"/>
  <c r="CE21" i="9"/>
  <c r="CE20" i="9"/>
  <c r="CE19" i="9"/>
  <c r="CE18" i="9"/>
  <c r="CF21" i="9"/>
  <c r="CD21" i="9"/>
  <c r="CC21" i="9"/>
  <c r="CA21" i="9"/>
  <c r="BY21" i="9"/>
  <c r="BW21" i="9"/>
  <c r="CF20" i="9"/>
  <c r="CD20" i="9"/>
  <c r="CC20" i="9"/>
  <c r="CA20" i="9"/>
  <c r="BY20" i="9"/>
  <c r="BW20" i="9"/>
  <c r="CF19" i="9"/>
  <c r="CD19" i="9"/>
  <c r="CC19" i="9"/>
  <c r="CA19" i="9"/>
  <c r="BY19" i="9"/>
  <c r="BW19" i="9"/>
  <c r="CF18" i="9"/>
  <c r="CD18" i="9"/>
  <c r="CC18" i="9"/>
  <c r="CA18" i="9"/>
  <c r="BY18" i="9"/>
  <c r="BW18" i="9"/>
  <c r="BV18" i="9"/>
  <c r="BU21" i="17" l="1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BV19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BV20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ILAFRANCADELPENEDES.xls'and report='VDF'"/>
  </connection>
  <connection id="18" name="Conexión113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" name="Conexión114" type="1" refreshedVersion="0" background="1">
    <dbPr connection="DRIVER=SQL Server;SERVER=10.1.12.32;UID=sa;APP=Microsoft® Query;WSID=LCC_PC;DATABASE=AGRIDS;Network=DBMS"/>
  </connection>
  <connection id="20" name="Conexión115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2.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VILAFRANCADELPENEDES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A2-BCN-R7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BRIL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0306_DATA_Dashboard_DT_ES.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9" name="Conexión5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0" name="Conexión5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1" name="Conexión5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4" name="Conexión5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5" name="Conexión5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6" name="Conexión5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7" name="Conexión5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8" name="Conexión5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39" name="Conexión5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40" name="Conexión5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41" name="Conexión5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42" name="Conexión5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LLANO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REAL'and report='MUN'"/>
  </connection>
  <connection id="545" name="Conexión5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TA'and report='MUN'"/>
  </connection>
  <connection id="546" name="Conexión5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'and report='MUN'"/>
  </connection>
  <connection id="547" name="Conexión5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LUCARDEBARRAMEDA'and report='MUN'"/>
  </connection>
  <connection id="548" name="Conexión5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MELLOSO'and report='MUN'"/>
  </connection>
  <connection id="549" name="Conexión5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PENAS'and report='MUN'"/>
  </connection>
  <connection id="550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1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2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53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54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5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56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57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8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9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0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1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62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63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64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5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6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7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8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69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70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71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72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73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74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75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76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77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8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79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0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1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2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3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84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85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6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7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8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9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90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91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92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93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94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MUN'"/>
  </connection>
  <connection id="595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MUN'"/>
  </connection>
  <connection id="596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MUN'"/>
  </connection>
  <connection id="597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MUN'"/>
  </connection>
  <connection id="598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MUN'"/>
  </connection>
  <connection id="599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0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MUN'"/>
  </connection>
  <connection id="601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MUN'"/>
  </connection>
  <connection id="602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MUN'"/>
  </connection>
  <connection id="603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MUN'"/>
  </connection>
  <connection id="604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MUN'"/>
  </connection>
  <connection id="605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MUN'"/>
  </connection>
  <connection id="606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MUN'"/>
  </connection>
  <connection id="607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MUN'"/>
  </connection>
  <connection id="608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609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610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612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613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614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615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6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7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8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9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20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21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622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23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24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25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26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27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28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29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30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31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32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633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34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35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36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37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38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39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40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41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42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43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44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45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46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47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48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49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50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51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52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53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54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55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56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57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58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59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60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61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62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63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64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65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66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67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68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69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70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71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72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73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74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75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76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7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8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79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80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81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82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83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84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85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86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87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88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9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90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91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92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93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94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95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96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97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98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99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0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01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02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03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04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05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06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07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08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09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10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1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2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3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4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5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6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7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18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19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20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21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22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23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24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5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6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27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28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29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30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31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32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3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34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35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36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37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38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39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40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41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42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43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4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45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46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47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48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49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50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51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52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53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54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5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56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57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58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9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60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61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62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63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64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65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66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67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68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69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70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71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72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73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74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75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76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7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78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79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0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1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82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83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84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85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86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87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8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9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90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91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92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93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94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95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96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97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98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99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00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801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802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803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804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05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06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07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08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09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10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811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12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13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14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15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16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817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18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19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0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21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22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23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<sst xmlns="http://schemas.openxmlformats.org/spreadsheetml/2006/main" count="776" uniqueCount="187">
  <si>
    <t>SCOPE</t>
  </si>
  <si>
    <t>TECHNOLOGY</t>
  </si>
  <si>
    <t>Operator</t>
  </si>
  <si>
    <t>ROUTE n</t>
  </si>
  <si>
    <t>ALL</t>
  </si>
  <si>
    <t>VODAFONE</t>
  </si>
  <si>
    <t>MOVISTAR</t>
  </si>
  <si>
    <t>ORANGE</t>
  </si>
  <si>
    <t>YOIGO</t>
  </si>
  <si>
    <t>Medida</t>
  </si>
  <si>
    <t>VOLTE</t>
  </si>
  <si>
    <t>PROCESADO</t>
  </si>
  <si>
    <t>DASHBOARD</t>
  </si>
  <si>
    <t>CHEQUEO</t>
  </si>
  <si>
    <t>RUTA DASHBOARD:</t>
  </si>
  <si>
    <t>VERDADERO</t>
  </si>
  <si>
    <t>ENTIDAD y SCOPE DASHBOARD:</t>
  </si>
  <si>
    <t>Entidades</t>
  </si>
  <si>
    <t>Encontrada en el Dashboard</t>
  </si>
  <si>
    <t>Tiene muestras 4G</t>
  </si>
  <si>
    <t>DOWNLINK - NUMBER OF ATTEMPTS [N]</t>
  </si>
  <si>
    <t>DOWNLINK - NUMBER OF ERRORS IN ACCESSIBILITY [N]</t>
  </si>
  <si>
    <t>DOWNLINK - NUMBER OF ERRORS IN RETAINABILITY [N]</t>
  </si>
  <si>
    <t>DOWNLINK - D1.DOWNLOAD SPEED [KBIT/S] AVG</t>
  </si>
  <si>
    <t>DOWNLINK - THROUGHPUT STANDARD DEVIATION</t>
  </si>
  <si>
    <t>DOWNLINK - D2. PERCENTAGE OF DL CONNECTIONS WITH THROUGHPUT &gt; 3 MBPS</t>
  </si>
  <si>
    <t>DOWNLINK - NUMBER OF DL WITH TROUGHPUT &gt; 3 MBPS</t>
  </si>
  <si>
    <t>DOWNLINK - NUMBER OF DL WITH THROUGHPUT &gt; 1 MBPS</t>
  </si>
  <si>
    <t>DOWNLINK - PEAK DATA USER RATE [KBIT/S]</t>
  </si>
  <si>
    <t xml:space="preserve">DOWNLINK - 10TH PERCENTILE THR.  </t>
  </si>
  <si>
    <t xml:space="preserve">DOWNLINK - 10TH THR. (CALCULATED ON ALL MAIN CITIES AGGREGATION ) </t>
  </si>
  <si>
    <t>DOWNLINK - 10TH THR. (CALCULATED ON ALL MAIN AND SMALLER CITIES AGGREGATION)</t>
  </si>
  <si>
    <t xml:space="preserve">DOWNLINK - 90TH PERCENTILE THR.  </t>
  </si>
  <si>
    <t xml:space="preserve">DOWNLINK - 90TH THR. (CALCULATED ON ALL MAIN CITIES AGGREGATION ) </t>
  </si>
  <si>
    <t>DOWNLINK - 90TH THR. (CALCULATED ON ALL MAIN AND SMALLER CITIES AGGREGATION)</t>
  </si>
  <si>
    <t>UPLINK - NUMBER OF ATTEMPTS [N]</t>
  </si>
  <si>
    <t>UPLINK - NUMBER OF ERRORS IN ACCESSIBILITY [N]</t>
  </si>
  <si>
    <t>UPLINK - NUMBER OF ERRORS IN RETAINABILITY [N]</t>
  </si>
  <si>
    <t>UPLINK - D3.UPLOAD SPEED [KBIT/S] AVG</t>
  </si>
  <si>
    <t>UPLINK - THROUGHPUT STANDARD DEVIATION</t>
  </si>
  <si>
    <t>UPLINK - PEAK DATA USER RATE [KBIT/S]</t>
  </si>
  <si>
    <t xml:space="preserve">UPLINK - 10TH PERCENTILE THR.  </t>
  </si>
  <si>
    <t>UPLINK - 10TH THR. (CALCULATED ON ALL MAIN CITIES AGGREGATION )</t>
  </si>
  <si>
    <t>UPLINK - 10TH THR. (CALCULATED ON ALL MAIN AND SMALLER CITIES AGGREGATION)</t>
  </si>
  <si>
    <t xml:space="preserve">UPLINK - 90TH PERCENTILE THR.  </t>
  </si>
  <si>
    <t xml:space="preserve">UPLINK - 90TH THR. (CALCULATED ON ALL MAIN CITIES AGGREGATION ) </t>
  </si>
  <si>
    <t>UPLINK - 90TH THR. (CALCULATED ON ALL MAIN AND SMALLER CITIES AGGREGATION)</t>
  </si>
  <si>
    <t>DOWNLINK NETWORK CAPABILITY MULTISOCKET- NUMBER OF ATTEMPTS [N]</t>
  </si>
  <si>
    <t>DOWNLINK NETWORK CAPABILITY MULTISOCKET - NUMBER OF ERRORS IN ACCESSIBILITY  [N]</t>
  </si>
  <si>
    <t>DOWNLINK NETWORK CAPABILITY MULTISOCKET- NUMBER OF ERRORS IN RETAINABILITY  [N]</t>
  </si>
  <si>
    <t>DOWNLINK NETWORK CAPABILITY MULTISOCKET - NUMBERS OF SESSIONS WHOSE THROUGHPUT EXCEEDS 128 Kbps</t>
  </si>
  <si>
    <t>DOWNLINK NETWORK CAPABILITY MULTISOCKET - MEAN DATA USER RATE [KBIT/S]</t>
  </si>
  <si>
    <t>DOWNLINK NETWORK CAPABILITY MULTISOCKET - THROUGHPUT STANDARD DEVIATION</t>
  </si>
  <si>
    <t>DOWNLINK NETWORK CAPABILITY MULTISOCKET - PEAK DATA USER RATE [KBIT/S]</t>
  </si>
  <si>
    <t xml:space="preserve">DOWNLINK NETWORK CAPABILITY MULTISOCKET - 10TH PERCENTILE THR.  </t>
  </si>
  <si>
    <t xml:space="preserve">DOWNLINK NETWORK CAPABILITY MULTISOCKET - 10TH THR. (CALCULATED ON ALL MAIN CITIES AGGREGATION ) </t>
  </si>
  <si>
    <t>DOWNLINK NETWORK CAPABILITY MULTISOCKET - 10TH THR. (CALCULATED ON ALL MAIN AND SMALLER CITIES AGGREGATION)</t>
  </si>
  <si>
    <t xml:space="preserve">DOWNLINK NETWORK CAPABILITY MULTISOCKET - 90TH PERCENTILE THR.  </t>
  </si>
  <si>
    <t xml:space="preserve">DOWNLINK NETWORK CAPABILITY MULTISOCKET - 90TH THR. (CALCULATED ON ALL MAIN CITIES AGGREGATION ) </t>
  </si>
  <si>
    <t>DOWNLINK NETWORK CAPABILITY MULTISOCKET - 90TH THR. (CALCULATED ON ALL MAIN AND SMALLER CITIES AGGREGATION)</t>
  </si>
  <si>
    <t>UPLINK NETWORK CAPABILITY MULTISOCKET - NUMBER OF ATTEMPTS [N]</t>
  </si>
  <si>
    <t>UPLINK NETWORK CAPABILITY MULTISOCKET - NUMBER OF ERRORS IN ACCESSIBILITY  [N]</t>
  </si>
  <si>
    <t>UPLINK NETWORK CAPABILITY MULTISOCKET - NUMBER OF ERRORS IN RETAINABILITY  [N]</t>
  </si>
  <si>
    <t>UPLINK NETWORK CAPABILITY MULTISOCKET - NUMBERS OF SESSIONS WHOSE THROUGHPUT EXCEEDS 64 Kbps</t>
  </si>
  <si>
    <t>UPLINK NETWORK CAPABILITY MULTISOCKET - MEAN DATA USER RATE [KBIT/S]</t>
  </si>
  <si>
    <t>UPLINK NETWORK CAPABILITY MULTISOCKET - THROUGHPUT STANDARD DEVIATION</t>
  </si>
  <si>
    <t>UPLINK NETWORK CAPABILITY MULTISOCKET - PEAK DATA USER RATE [KBIT/S]</t>
  </si>
  <si>
    <t xml:space="preserve">UPLINK NETWORK CAPABILITY MULTISOCKET - 10TH PERCENTILE THR.  </t>
  </si>
  <si>
    <t xml:space="preserve">UPLINK NETWORK CAPABILITY MULTISOCKET - 10TH THR. (CALCULATED ON ALL MAIN CITIES AGGREGATION ) </t>
  </si>
  <si>
    <t>UPLINK NETWORK CAPABILITY MULTISOCKET - 10TH THR. (CALCULATED ON ALL MAIN AND SMALLER CITIES AGGREGATION)</t>
  </si>
  <si>
    <t xml:space="preserve">UPLINK NETWORK CAPABILITY MULTISOCKET - 90TH PERCENTILE THR.  </t>
  </si>
  <si>
    <t xml:space="preserve">UPLINK NETWORK CAPABILITY MULTISOCKET - 90TH THR. (CALCULATED ON ALL MAIN CITIES AGGREGATION) </t>
  </si>
  <si>
    <t>UPLINK NETWORK CAPABILITY MULTISOCKET - 90TH THR. (CALCULATED ON ALL MAIN AND SMALLER CITIES AGGREGATION)</t>
  </si>
  <si>
    <t>LATENCY - NUMBER OF PINGS [N]</t>
  </si>
  <si>
    <t>LATENCY - [MSEC] MEDIAN</t>
  </si>
  <si>
    <t>LATENCY - [MSEC] AVG</t>
  </si>
  <si>
    <t xml:space="preserve">LATENCY - [MSEC] MEDIAN (CALCULATED ON AGGREGATION/ROUTES ) </t>
  </si>
  <si>
    <t>LATENCY - D4.LATENCY [MSEC] MEDIAN (CALCULATED ON ALL MAIN AND SMALLER CITIES AGGREGATION)</t>
  </si>
  <si>
    <t>BROWSING HTTP - NUMBER OF ATTEMPTS [N]</t>
  </si>
  <si>
    <t>BROWSING - NUMBER OF ERRORS IN ACCESSIBILITY  [N]</t>
  </si>
  <si>
    <t>BROWSING - NUMBER OF ERRORS IN RETAINABILITY [N]</t>
  </si>
  <si>
    <t>BROWSING - D5.SESSION TIME AVG [S]</t>
  </si>
  <si>
    <t>BROWSING - IP SERVICE ACCESS TIME [S]</t>
  </si>
  <si>
    <t>BROWSING - HTTP TRANSFER TIME [S]</t>
  </si>
  <si>
    <t>HTTPS BROWSING - NUMBER OF ATTEMPTS [N]</t>
  </si>
  <si>
    <t>HTTPS BROWSING - NUMBER OF ERRORS IN ACCESSIBILITY  [N]</t>
  </si>
  <si>
    <t>HTTPS BROWSING - NUMBER OF ERRORS IN RETAINABILITY [N]</t>
  </si>
  <si>
    <t>HTTPS BROWSING - D5.SESSION TIME AVG [S]</t>
  </si>
  <si>
    <t>HTTPS BROWSING - IP SERVICE ACCESS TIME [S]</t>
  </si>
  <si>
    <t>HTTPS BROWSING - HTTP TRANSFER TIME [S]</t>
  </si>
  <si>
    <t>YOU TUBE HD - B5 AVG  VIDEO RESOLUTION FOR QUALIFIED VIDEOS</t>
  </si>
  <si>
    <t>YOU TUBE - B4 HD SHARE - NUMBERS OF QUALIFIED VIDEO STARTED AND TERMINATED IN HD</t>
  </si>
  <si>
    <t xml:space="preserve">YOU TUBE HD - B6 AVG  VIDEO MOS </t>
  </si>
  <si>
    <t>YOU TUBE HD - NUMBER OF VIDEO ACCESS ATTEMPTS</t>
  </si>
  <si>
    <t>YOU TUBE HD - AVERAGE VIDEO START TIME [s] on Qualified session</t>
  </si>
  <si>
    <t>YOU TUBE HD - NUMBER OF VIDEO FAILURES</t>
  </si>
  <si>
    <t>YOU TUBE HD - B1 YOUTUBE SERVICE ACCESS SUCCESS RATIO</t>
  </si>
  <si>
    <t xml:space="preserve">YOU TUBE HD -  B2 NUMBERS OF DL REPRODUCTION WITHOUT INTERRUPTIONS </t>
  </si>
  <si>
    <t>YOU TUBE HD - NUMBERS OF VIDEOS STARTED AND TERMINATED IN HD WITHOUT VIDEO COMPRESSION</t>
  </si>
  <si>
    <t>YOU TUBE HD -B2 - YOUTUBE REPRODUCTION WITHOUT INTERRUPTIONS RATIO [%]</t>
  </si>
  <si>
    <t>YOU TUBE HD - B3 SUCCESSFUL VIDEO DOWNLOAD [N] (Qualified session)</t>
  </si>
  <si>
    <t>DOWNLINK</t>
  </si>
  <si>
    <t>UPLINK</t>
  </si>
  <si>
    <t>LATENCY</t>
  </si>
  <si>
    <t>BROWSING HTTP</t>
  </si>
  <si>
    <t>BROWSING HTTPS</t>
  </si>
  <si>
    <t>YOU TUBE HD</t>
  </si>
  <si>
    <t/>
  </si>
  <si>
    <t>Scope</t>
  </si>
  <si>
    <t>ADD-ON CITIES EXTRA</t>
  </si>
  <si>
    <t>PLACES OF CONCENTRATION EXTRA</t>
  </si>
  <si>
    <t>TOURISTIC AREA</t>
  </si>
  <si>
    <t>SMALLER CITIES</t>
  </si>
  <si>
    <t>MAIN CITIES</t>
  </si>
  <si>
    <t>RAILWAYS EXTRA</t>
  </si>
  <si>
    <t>ADD-ON CITIES</t>
  </si>
  <si>
    <t>PLACES OF CONCENTRATION</t>
  </si>
  <si>
    <t>RAILWAYS</t>
  </si>
  <si>
    <t>MAIN HIGHWAYS</t>
  </si>
  <si>
    <t>Report</t>
  </si>
  <si>
    <t>VDF</t>
  </si>
  <si>
    <t>SHEET</t>
  </si>
  <si>
    <t>C&amp;T_4G_CA_MAIN_CITIES</t>
  </si>
  <si>
    <t>C&amp;T_2G3G_MAIN_CITIES</t>
  </si>
  <si>
    <t>C&amp;T_4G_CA_SMALLER_CITIES</t>
  </si>
  <si>
    <t>C&amp;T_2G3G_SMALLER_CITIES</t>
  </si>
  <si>
    <t>TRANSP_4G_ONLY_ROADS</t>
  </si>
  <si>
    <t>TRANSP_4G_ROADS</t>
  </si>
  <si>
    <t>TRANSP_4G_ONLY_RAILWAYS</t>
  </si>
  <si>
    <t>TRANSP_4G_RAILWAYS</t>
  </si>
  <si>
    <t>OTH_4G_ONLY_PLACES</t>
  </si>
  <si>
    <t>OTH_4G_PLACES</t>
  </si>
  <si>
    <t>OTH_4GONLY_ADD_ON_ALL</t>
  </si>
  <si>
    <t>OTH_4G_ADD_ON_ALL</t>
  </si>
  <si>
    <t>4G_ONLY_TOURISTIC_AREA</t>
  </si>
  <si>
    <t>4G_TOURISTIC_AREA</t>
  </si>
  <si>
    <t>OTH_2G3G_ADD_ON_ALL</t>
  </si>
  <si>
    <t>C&amp;T_4G_CAONLY_MAIN_CITIES</t>
  </si>
  <si>
    <t>C&amp;T_4G_CAONLY_SMALLER_CITIES</t>
  </si>
  <si>
    <t>2G3G_TOURISTIC_AREA</t>
  </si>
  <si>
    <t>MUN</t>
  </si>
  <si>
    <t>Tech</t>
  </si>
  <si>
    <t>4G</t>
  </si>
  <si>
    <t>3G</t>
  </si>
  <si>
    <t>4G CA - MAIN CITIES</t>
  </si>
  <si>
    <t>3G - MAIN CITIES</t>
  </si>
  <si>
    <t>4G CA - SMALLER CITIES</t>
  </si>
  <si>
    <t>3G - SMALLER CITIES</t>
  </si>
  <si>
    <t>4G_ONLY - HIGHWAYS</t>
  </si>
  <si>
    <t>4G CA - HIGHWAYS</t>
  </si>
  <si>
    <t>4G_ONLY - RAILWAYS</t>
  </si>
  <si>
    <t>4G CA - RAILWAYS</t>
  </si>
  <si>
    <t>4G_ONLY - PoC</t>
  </si>
  <si>
    <t>4G CA - PoC</t>
  </si>
  <si>
    <t>4G_ONLY - ADD-ON_ALL</t>
  </si>
  <si>
    <t>4G CA - ADD-ON CITIES_ALL</t>
  </si>
  <si>
    <t>4G_ONLY - TOURISTIC AREAS</t>
  </si>
  <si>
    <t>4G CA - TOURISTIC AREAS</t>
  </si>
  <si>
    <t>3G - ADD-ON CITIES_ALL</t>
  </si>
  <si>
    <t>4G - ADD-ON_Extra</t>
  </si>
  <si>
    <t>3G - ADD-ON_Extra</t>
  </si>
  <si>
    <t>4G CA - RAILWAYS_Extra</t>
  </si>
  <si>
    <t>4G_ONLY- ADD-ON_Extra</t>
  </si>
  <si>
    <t>4G_ONLY - RAILWAYS Extra</t>
  </si>
  <si>
    <t>4G CA ONLY - MAIN CITIES</t>
  </si>
  <si>
    <t>4G CA ONLY - SMALLER CITIES</t>
  </si>
  <si>
    <t>3G - TOURISTIC AREAS</t>
  </si>
  <si>
    <t>4G_ONLY - PoC Extra</t>
  </si>
  <si>
    <t>4G CA - PoC Extra</t>
  </si>
  <si>
    <t>Y</t>
  </si>
  <si>
    <t>C:\SETA_SQ_agregado_dashboard_FY1718\DASHBOARD\20170915_DATA_Dashboard_DT_ES.xlsx</t>
  </si>
  <si>
    <t>721p</t>
  </si>
  <si>
    <t>1080p</t>
  </si>
  <si>
    <t>1034p</t>
  </si>
  <si>
    <t>1065p</t>
  </si>
  <si>
    <t>1067p</t>
  </si>
  <si>
    <t>1056p</t>
  </si>
  <si>
    <t>1060p</t>
  </si>
  <si>
    <t>1037p</t>
  </si>
  <si>
    <t>1030p</t>
  </si>
  <si>
    <t>1058p</t>
  </si>
  <si>
    <t>1053p</t>
  </si>
  <si>
    <t>C32-ELMASNOU</t>
  </si>
  <si>
    <t>SECONDARY ROADS</t>
  </si>
  <si>
    <t>N332-VALENCIA</t>
  </si>
  <si>
    <t>TRANSP_4G_SEC_ROADS</t>
  </si>
  <si>
    <t>TRANSP_4G_ONLY_SEC_ROADS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</si>
</sst>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_-* #,##0\ _€_-;\-* #,##0\ _€_-;_-* &quot;-&quot;??\ _€_-;_-@_-"/>
    <numFmt numFmtId="165" formatCode="###0.0;\-###0.0"/>
    <numFmt numFmtId="166" formatCode="#,##0.0"/>
    <numFmt numFmtId="167" formatCode="###0;\-###0"/>
    <numFmt numFmtId="168" formatCode="0.0%"/>
  </numFmts>
  <fonts count="63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rgb="FFEAF1DD"/>
        <bgColor rgb="FF000000"/>
      </patternFill>
    </fill>
    <fill>
      <patternFill patternType="solid">
        <fgColor rgb="FFDBE5F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indexed="1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6130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1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60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9" fillId="51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64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5" fillId="65" borderId="25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43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37" fillId="0" borderId="31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8" fillId="55" borderId="24" applyNumberFormat="0" applyAlignment="0" applyProtection="0"/>
    <xf numFmtId="0" fontId="36" fillId="0" borderId="26" applyNumberFormat="0" applyFill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41" fillId="64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4" fillId="22" borderId="18" applyNumberFormat="0" applyAlignment="0" applyProtection="0"/>
    <xf numFmtId="0" fontId="25" fillId="23" borderId="19" applyNumberFormat="0" applyAlignment="0" applyProtection="0"/>
    <xf numFmtId="0" fontId="26" fillId="23" borderId="18" applyNumberFormat="0" applyAlignment="0" applyProtection="0"/>
    <xf numFmtId="0" fontId="27" fillId="0" borderId="20" applyNumberFormat="0" applyFill="0" applyAlignment="0" applyProtection="0"/>
    <xf numFmtId="0" fontId="28" fillId="24" borderId="21" applyNumberFormat="0" applyAlignment="0" applyProtection="0"/>
    <xf numFmtId="0" fontId="29" fillId="0" borderId="0" applyNumberFormat="0" applyFill="0" applyBorder="0" applyAlignment="0" applyProtection="0"/>
    <xf numFmtId="0" fontId="11" fillId="25" borderId="22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13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3" fillId="49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</cellStyleXfs>
  <cellXfs count="133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9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43" fontId="0" fillId="0" borderId="0" xfId="2" applyFont="1"/>
    <xf numFmtId="43" fontId="5" fillId="3" borderId="4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4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4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6" fillId="12" borderId="4" xfId="0" applyFont="1" applyFill="1" applyBorder="1" applyAlignment="1" applyProtection="1">
      <alignment horizontal="center"/>
    </xf>
    <xf numFmtId="0" fontId="6" fillId="13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6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6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6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49" fontId="14" fillId="17" borderId="4" xfId="0" applyNumberFormat="1" applyFont="1" applyFill="1" applyBorder="1" applyAlignment="1" applyProtection="1">
      <alignment horizontal="center" vertical="center"/>
    </xf>
    <xf numFmtId="43" fontId="14" fillId="17" borderId="4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0" fillId="2" borderId="0" xfId="0" applyFill="1" applyBorder="1"/>
    <xf numFmtId="0" fontId="15" fillId="18" borderId="35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14" fillId="15" borderId="4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3" fontId="61" fillId="4" borderId="4" xfId="27" applyNumberFormat="1" applyFont="1" applyFill="1" applyBorder="1" applyAlignment="1" applyProtection="1">
      <alignment textRotation="90"/>
    </xf>
    <xf numFmtId="3" fontId="61" fillId="74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/>
    </xf>
    <xf numFmtId="3" fontId="7" fillId="74" borderId="4" xfId="27" applyNumberFormat="1" applyFont="1" applyFill="1" applyBorder="1" applyAlignment="1" applyProtection="1">
      <alignment vertical="center"/>
    </xf>
    <xf numFmtId="3" fontId="61" fillId="5" borderId="4" xfId="27" applyNumberFormat="1" applyFont="1" applyFill="1" applyBorder="1" applyAlignment="1" applyProtection="1">
      <alignment textRotation="90"/>
    </xf>
    <xf numFmtId="165" fontId="7" fillId="75" borderId="2" xfId="27" applyNumberFormat="1" applyFont="1" applyFill="1" applyBorder="1" applyAlignment="1" applyProtection="1">
      <alignment vertical="center"/>
    </xf>
    <xf numFmtId="3" fontId="7" fillId="5" borderId="4" xfId="27" applyNumberFormat="1" applyFont="1" applyFill="1" applyBorder="1" applyAlignment="1" applyProtection="1">
      <alignment vertical="center"/>
    </xf>
    <xf numFmtId="3" fontId="61" fillId="75" borderId="4" xfId="27" applyNumberFormat="1" applyFont="1" applyFill="1" applyBorder="1" applyAlignment="1" applyProtection="1">
      <alignment textRotation="90"/>
    </xf>
    <xf numFmtId="3" fontId="9" fillId="0" borderId="0" xfId="27" applyNumberFormat="1" applyFont="1" applyFill="1" applyBorder="1" applyAlignment="1" applyProtection="1">
      <alignment textRotation="90"/>
    </xf>
    <xf numFmtId="3" fontId="61" fillId="7" borderId="4" xfId="27" applyNumberFormat="1" applyFont="1" applyFill="1" applyBorder="1" applyAlignment="1" applyProtection="1">
      <alignment textRotation="90"/>
    </xf>
    <xf numFmtId="3" fontId="7" fillId="7" borderId="4" xfId="27" applyNumberFormat="1" applyFont="1" applyFill="1" applyBorder="1" applyAlignment="1" applyProtection="1">
      <alignment vertical="center"/>
    </xf>
    <xf numFmtId="0" fontId="4" fillId="6" borderId="4" xfId="27" applyFont="1" applyFill="1" applyBorder="1" applyAlignment="1" applyProtection="1">
      <alignment horizontal="center" textRotation="90"/>
    </xf>
    <xf numFmtId="2" fontId="61" fillId="75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 wrapText="1"/>
    </xf>
    <xf numFmtId="3" fontId="9" fillId="0" borderId="36" xfId="27" applyNumberFormat="1" applyFont="1" applyFill="1" applyBorder="1" applyAlignment="1" applyProtection="1">
      <alignment textRotation="90"/>
    </xf>
    <xf numFmtId="3" fontId="3" fillId="0" borderId="0" xfId="27" applyNumberFormat="1" applyFont="1" applyFill="1" applyBorder="1" applyAlignment="1" applyProtection="1"/>
    <xf numFmtId="0" fontId="6" fillId="11" borderId="4" xfId="27" applyFont="1" applyFill="1" applyBorder="1" applyAlignment="1" applyProtection="1">
      <alignment horizontal="center"/>
    </xf>
    <xf numFmtId="165" fontId="3" fillId="0" borderId="0" xfId="27" applyNumberFormat="1" applyFont="1" applyFill="1" applyBorder="1" applyAlignment="1" applyProtection="1"/>
    <xf numFmtId="3" fontId="7" fillId="5" borderId="2" xfId="27" applyNumberFormat="1" applyFont="1" applyFill="1" applyBorder="1" applyAlignment="1" applyProtection="1">
      <alignment vertical="center"/>
    </xf>
    <xf numFmtId="165" fontId="61" fillId="4" borderId="4" xfId="27" applyNumberFormat="1" applyFont="1" applyFill="1" applyBorder="1" applyAlignment="1" applyProtection="1">
      <alignment textRotation="90"/>
    </xf>
    <xf numFmtId="3" fontId="61" fillId="0" borderId="0" xfId="27" applyNumberFormat="1" applyFont="1" applyFill="1" applyBorder="1" applyAlignment="1" applyProtection="1">
      <alignment textRotation="90"/>
    </xf>
    <xf numFmtId="0" fontId="4" fillId="0" borderId="8" xfId="27" applyFont="1" applyFill="1" applyBorder="1" applyAlignment="1" applyProtection="1">
      <alignment horizontal="center" textRotation="90"/>
    </xf>
    <xf numFmtId="3" fontId="7" fillId="75" borderId="4" xfId="27" applyNumberFormat="1" applyFont="1" applyFill="1" applyBorder="1" applyAlignment="1" applyProtection="1">
      <alignment vertical="center"/>
    </xf>
    <xf numFmtId="0" fontId="6" fillId="13" borderId="4" xfId="27" applyFont="1" applyFill="1" applyBorder="1" applyAlignment="1" applyProtection="1">
      <alignment horizontal="center"/>
    </xf>
    <xf numFmtId="0" fontId="4" fillId="3" borderId="8" xfId="27" applyFont="1" applyFill="1" applyBorder="1" applyAlignment="1" applyProtection="1">
      <alignment horizontal="center" textRotation="90"/>
    </xf>
    <xf numFmtId="0" fontId="6" fillId="12" borderId="4" xfId="27" applyFont="1" applyFill="1" applyBorder="1" applyAlignment="1" applyProtection="1">
      <alignment horizontal="center"/>
    </xf>
    <xf numFmtId="2" fontId="3" fillId="0" borderId="0" xfId="27" applyNumberFormat="1" applyFont="1" applyFill="1" applyBorder="1" applyAlignment="1" applyProtection="1"/>
    <xf numFmtId="0" fontId="5" fillId="9" borderId="4" xfId="27" applyFont="1" applyFill="1" applyBorder="1" applyAlignment="1" applyProtection="1">
      <alignment horizontal="center"/>
    </xf>
    <xf numFmtId="0" fontId="5" fillId="8" borderId="4" xfId="27" applyFont="1" applyFill="1" applyBorder="1" applyAlignment="1" applyProtection="1"/>
    <xf numFmtId="0" fontId="6" fillId="10" borderId="4" xfId="27" applyFont="1" applyFill="1" applyBorder="1" applyAlignment="1" applyProtection="1">
      <alignment horizontal="center"/>
    </xf>
    <xf numFmtId="0" fontId="4" fillId="0" borderId="7" xfId="27" applyFont="1" applyFill="1" applyBorder="1" applyAlignment="1" applyProtection="1">
      <alignment horizontal="center" textRotation="90"/>
    </xf>
    <xf numFmtId="3" fontId="9" fillId="0" borderId="7" xfId="27" applyNumberFormat="1" applyFont="1" applyFill="1" applyBorder="1" applyAlignment="1" applyProtection="1">
      <alignment textRotation="90"/>
    </xf>
    <xf numFmtId="3" fontId="61" fillId="0" borderId="7" xfId="27" applyNumberFormat="1" applyFont="1" applyFill="1" applyBorder="1" applyAlignment="1" applyProtection="1">
      <alignment textRotation="90"/>
    </xf>
    <xf numFmtId="2" fontId="3" fillId="0" borderId="37" xfId="27" applyNumberFormat="1" applyFont="1" applyFill="1" applyBorder="1" applyAlignment="1" applyProtection="1"/>
    <xf numFmtId="3" fontId="62" fillId="0" borderId="7" xfId="27" applyNumberFormat="1" applyFont="1" applyFill="1" applyBorder="1" applyAlignment="1" applyProtection="1">
      <alignment textRotation="90"/>
    </xf>
    <xf numFmtId="3" fontId="9" fillId="0" borderId="8" xfId="27" applyNumberFormat="1" applyFont="1" applyFill="1" applyBorder="1" applyAlignment="1" applyProtection="1">
      <alignment textRotation="90"/>
    </xf>
    <xf numFmtId="165" fontId="9" fillId="0" borderId="0" xfId="27" applyNumberFormat="1" applyFont="1" applyFill="1" applyBorder="1" applyAlignment="1" applyProtection="1">
      <alignment textRotation="90"/>
    </xf>
    <xf numFmtId="165" fontId="61" fillId="76" borderId="4" xfId="27" applyNumberFormat="1" applyFont="1" applyFill="1" applyBorder="1" applyAlignment="1" applyProtection="1">
      <alignment textRotation="90"/>
    </xf>
    <xf numFmtId="3" fontId="62" fillId="0" borderId="0" xfId="27" applyNumberFormat="1" applyFont="1" applyFill="1" applyBorder="1" applyAlignment="1" applyProtection="1">
      <alignment textRotation="90"/>
    </xf>
    <xf numFmtId="3" fontId="7" fillId="76" borderId="4" xfId="27" applyNumberFormat="1" applyFont="1" applyFill="1" applyBorder="1" applyAlignment="1" applyProtection="1">
      <alignment vertical="center"/>
    </xf>
    <xf numFmtId="167" fontId="7" fillId="76" borderId="4" xfId="27" applyNumberFormat="1" applyFont="1" applyFill="1" applyBorder="1" applyAlignment="1" applyProtection="1">
      <alignment vertical="center"/>
    </xf>
    <xf numFmtId="166" fontId="7" fillId="76" borderId="4" xfId="27" applyNumberFormat="1" applyFont="1" applyFill="1" applyBorder="1" applyAlignment="1" applyProtection="1">
      <alignment vertical="center"/>
    </xf>
    <xf numFmtId="164" fontId="7" fillId="4" borderId="4" xfId="6041" applyNumberFormat="1" applyFont="1" applyFill="1" applyBorder="1" applyAlignment="1" applyProtection="1">
      <alignment vertical="center"/>
    </xf>
    <xf numFmtId="168" fontId="7" fillId="4" borderId="4" xfId="6042" applyNumberFormat="1" applyFont="1" applyFill="1" applyBorder="1" applyAlignment="1" applyProtection="1">
      <alignment vertical="center"/>
    </xf>
    <xf numFmtId="167" fontId="8" fillId="74" borderId="4" xfId="27" applyNumberFormat="1" applyFont="1" applyFill="1" applyBorder="1" applyAlignment="1" applyProtection="1">
      <alignment horizontal="center" vertical="center"/>
    </xf>
    <xf numFmtId="167" fontId="7" fillId="74" borderId="4" xfId="27" applyNumberFormat="1" applyFont="1" applyFill="1" applyBorder="1" applyAlignment="1" applyProtection="1">
      <alignment vertical="center"/>
    </xf>
    <xf numFmtId="167" fontId="7" fillId="4" borderId="4" xfId="27" applyNumberFormat="1" applyFont="1" applyFill="1" applyBorder="1" applyAlignment="1" applyProtection="1">
      <alignment vertical="center"/>
    </xf>
    <xf numFmtId="167" fontId="7" fillId="75" borderId="2" xfId="27" applyNumberFormat="1" applyFont="1" applyFill="1" applyBorder="1" applyAlignment="1" applyProtection="1">
      <alignment vertical="center"/>
    </xf>
    <xf numFmtId="43" fontId="7" fillId="5" borderId="4" xfId="6041" applyFont="1" applyFill="1" applyBorder="1" applyAlignment="1" applyProtection="1">
      <alignment vertical="center"/>
    </xf>
    <xf numFmtId="43" fontId="7" fillId="7" borderId="4" xfId="6041" applyFont="1" applyFill="1" applyBorder="1" applyAlignment="1" applyProtection="1">
      <alignment vertical="center"/>
    </xf>
    <xf numFmtId="4" fontId="7" fillId="76" borderId="4" xfId="27" applyNumberFormat="1" applyFont="1" applyFill="1" applyBorder="1" applyAlignment="1" applyProtection="1">
      <alignment vertical="center"/>
    </xf>
    <xf numFmtId="43" fontId="7" fillId="76" borderId="4" xfId="6041" applyFont="1" applyFill="1" applyBorder="1" applyAlignment="1" applyProtection="1">
      <alignment vertical="center"/>
    </xf>
    <xf numFmtId="168" fontId="7" fillId="76" borderId="4" xfId="6042" applyNumberFormat="1" applyFont="1" applyFill="1" applyBorder="1" applyAlignment="1" applyProtection="1">
      <alignment vertic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0" fillId="0" borderId="0" xfId="0"/>
    <xf numFmtId="0" fontId="0" fillId="77" borderId="0" xfId="0" applyFill="1"/>
    <xf numFmtId="0" fontId="0" fillId="16" borderId="5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center" vertical="center"/>
    </xf>
    <xf numFmtId="0" fontId="16" fillId="2" borderId="9" xfId="0" applyFont="1" applyFill="1" applyBorder="1" applyAlignment="1" applyProtection="1">
      <alignment horizontal="center" vertical="center"/>
    </xf>
    <xf numFmtId="0" fontId="16" fillId="2" borderId="10" xfId="0" applyFont="1" applyFill="1" applyBorder="1" applyAlignment="1" applyProtection="1">
      <alignment horizontal="center" vertical="center"/>
    </xf>
    <xf numFmtId="0" fontId="16" fillId="2" borderId="11" xfId="0" applyFont="1" applyFill="1" applyBorder="1" applyAlignment="1" applyProtection="1">
      <alignment horizontal="center" vertical="center"/>
    </xf>
    <xf numFmtId="0" fontId="16" fillId="2" borderId="12" xfId="0" applyFont="1" applyFill="1" applyBorder="1" applyAlignment="1" applyProtection="1">
      <alignment horizontal="center" vertical="center"/>
    </xf>
    <xf numFmtId="0" fontId="16" fillId="2" borderId="13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3" fontId="3" fillId="76" borderId="5" xfId="27" applyNumberFormat="1" applyFont="1" applyFill="1" applyBorder="1" applyAlignment="1" applyProtection="1">
      <alignment horizontal="center" vertical="center"/>
    </xf>
    <xf numFmtId="3" fontId="3" fillId="76" borderId="6" xfId="27" applyNumberFormat="1" applyFont="1" applyFill="1" applyBorder="1" applyAlignment="1" applyProtection="1">
      <alignment horizontal="center" vertical="center"/>
    </xf>
    <xf numFmtId="3" fontId="3" fillId="5" borderId="5" xfId="27" applyNumberFormat="1" applyFont="1" applyFill="1" applyBorder="1" applyAlignment="1" applyProtection="1">
      <alignment horizontal="center" vertical="center"/>
    </xf>
    <xf numFmtId="3" fontId="3" fillId="5" borderId="6" xfId="27" applyNumberFormat="1" applyFont="1" applyFill="1" applyBorder="1" applyAlignment="1" applyProtection="1">
      <alignment horizontal="center" vertical="center"/>
    </xf>
    <xf numFmtId="3" fontId="3" fillId="7" borderId="5" xfId="27" applyNumberFormat="1" applyFont="1" applyFill="1" applyBorder="1" applyAlignment="1" applyProtection="1">
      <alignment horizontal="center" vertical="center"/>
    </xf>
    <xf numFmtId="3" fontId="3" fillId="7" borderId="6" xfId="27" applyNumberFormat="1" applyFont="1" applyFill="1" applyBorder="1" applyAlignment="1" applyProtection="1">
      <alignment horizontal="center" vertical="center"/>
    </xf>
    <xf numFmtId="3" fontId="3" fillId="7" borderId="38" xfId="27" applyNumberFormat="1" applyFont="1" applyFill="1" applyBorder="1" applyAlignment="1" applyProtection="1">
      <alignment horizontal="center" vertical="center"/>
    </xf>
    <xf numFmtId="3" fontId="3" fillId="75" borderId="5" xfId="27" applyNumberFormat="1" applyFont="1" applyFill="1" applyBorder="1" applyAlignment="1" applyProtection="1">
      <alignment horizontal="center" vertical="center"/>
    </xf>
    <xf numFmtId="3" fontId="3" fillId="75" borderId="6" xfId="27" applyNumberFormat="1" applyFont="1" applyFill="1" applyBorder="1" applyAlignment="1" applyProtection="1">
      <alignment horizontal="center" vertical="center"/>
    </xf>
    <xf numFmtId="3" fontId="3" fillId="4" borderId="5" xfId="27" applyNumberFormat="1" applyFont="1" applyFill="1" applyBorder="1" applyAlignment="1" applyProtection="1">
      <alignment horizontal="center" vertical="center"/>
    </xf>
    <xf numFmtId="3" fontId="3" fillId="4" borderId="6" xfId="27" applyNumberFormat="1" applyFont="1" applyFill="1" applyBorder="1" applyAlignment="1" applyProtection="1">
      <alignment horizontal="center" vertical="center"/>
    </xf>
    <xf numFmtId="3" fontId="3" fillId="4" borderId="38" xfId="27" applyNumberFormat="1" applyFont="1" applyFill="1" applyBorder="1" applyAlignment="1" applyProtection="1">
      <alignment horizontal="center" vertical="center"/>
    </xf>
    <xf numFmtId="3" fontId="3" fillId="74" borderId="5" xfId="27" applyNumberFormat="1" applyFont="1" applyFill="1" applyBorder="1" applyAlignment="1" applyProtection="1">
      <alignment horizontal="center" vertical="center"/>
    </xf>
    <xf numFmtId="3" fontId="3" fillId="74" borderId="6" xfId="27" applyNumberFormat="1" applyFont="1" applyFill="1" applyBorder="1" applyAlignment="1" applyProtection="1">
      <alignment horizontal="center" vertical="center"/>
    </xf>
    <xf numFmtId="3" fontId="3" fillId="74" borderId="38" xfId="27" applyNumberFormat="1" applyFont="1" applyFill="1" applyBorder="1" applyAlignment="1" applyProtection="1">
      <alignment horizontal="center" vertical="center"/>
    </xf>
  </cellXfs>
  <cellStyles count="6130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2"/>
    <cellStyle name="Millares 2 2 2 2 3" xfId="5213"/>
    <cellStyle name="Millares 2 2 2 2 3 2" xfId="6102"/>
    <cellStyle name="Millares 2 2 2 2 4" xfId="6062"/>
    <cellStyle name="Millares 2 2 2 3" xfId="4866"/>
    <cellStyle name="Millares 2 2 2 3 2" xfId="6072"/>
    <cellStyle name="Millares 2 2 2 4" xfId="5098"/>
    <cellStyle name="Millares 2 2 2 4 2" xfId="6092"/>
    <cellStyle name="Millares 2 2 2 5" xfId="6052"/>
    <cellStyle name="Millares 2 2 3" xfId="4672"/>
    <cellStyle name="Millares 2 2 3 2" xfId="6034"/>
    <cellStyle name="Millares 2 2 3 2 2" xfId="6115"/>
    <cellStyle name="Millares 2 2 3 2 3" xfId="6128"/>
    <cellStyle name="Millares 2 2 3 2 4" xfId="6109"/>
    <cellStyle name="Millares 2 2 3 3" xfId="6114"/>
    <cellStyle name="Millares 2 2 3 4" xfId="6124"/>
    <cellStyle name="Millares 2 2 3 5" xfId="6111"/>
    <cellStyle name="Millares 2 2 4" xfId="4695"/>
    <cellStyle name="Millares 2 2 4 2" xfId="4926"/>
    <cellStyle name="Millares 2 2 4 2 2" xfId="6077"/>
    <cellStyle name="Millares 2 2 4 3" xfId="5158"/>
    <cellStyle name="Millares 2 2 4 3 2" xfId="6097"/>
    <cellStyle name="Millares 2 2 4 4" xfId="6057"/>
    <cellStyle name="Millares 2 2 5" xfId="4811"/>
    <cellStyle name="Millares 2 2 5 2" xfId="6067"/>
    <cellStyle name="Millares 2 2 6" xfId="5043"/>
    <cellStyle name="Millares 2 2 6 2" xfId="6087"/>
    <cellStyle name="Millares 2 2 7" xfId="6047"/>
    <cellStyle name="Millares 2 3" xfId="4616"/>
    <cellStyle name="Millares 2 3 2" xfId="4611"/>
    <cellStyle name="Millares 2 3 2 2" xfId="6032"/>
    <cellStyle name="Millares 2 3 2 2 2" xfId="6117"/>
    <cellStyle name="Millares 2 3 2 2 3" xfId="6126"/>
    <cellStyle name="Millares 2 3 2 2 4" xfId="6107"/>
    <cellStyle name="Millares 2 3 2 3" xfId="6116"/>
    <cellStyle name="Millares 2 3 2 4" xfId="6122"/>
    <cellStyle name="Millares 2 3 2 5" xfId="6112"/>
    <cellStyle name="Millares 2 3 3" xfId="4736"/>
    <cellStyle name="Millares 2 3 3 2" xfId="4967"/>
    <cellStyle name="Millares 2 3 3 2 2" xfId="6079"/>
    <cellStyle name="Millares 2 3 3 3" xfId="5199"/>
    <cellStyle name="Millares 2 3 3 3 2" xfId="6099"/>
    <cellStyle name="Millares 2 3 3 4" xfId="6059"/>
    <cellStyle name="Millares 2 3 4" xfId="4852"/>
    <cellStyle name="Millares 2 3 4 2" xfId="6069"/>
    <cellStyle name="Millares 2 3 5" xfId="5084"/>
    <cellStyle name="Millares 2 3 5 2" xfId="6089"/>
    <cellStyle name="Millares 2 3 6" xfId="6049"/>
    <cellStyle name="Millares 2 4" xfId="4681"/>
    <cellStyle name="Millares 2 4 2" xfId="4912"/>
    <cellStyle name="Millares 2 4 2 2" xfId="6074"/>
    <cellStyle name="Millares 2 4 3" xfId="5144"/>
    <cellStyle name="Millares 2 4 3 2" xfId="6094"/>
    <cellStyle name="Millares 2 4 4" xfId="6054"/>
    <cellStyle name="Millares 2 5" xfId="4797"/>
    <cellStyle name="Millares 2 5 2" xfId="6064"/>
    <cellStyle name="Millares 2 6" xfId="5029"/>
    <cellStyle name="Millares 2 6 2" xfId="6084"/>
    <cellStyle name="Millares 2 7" xfId="6044"/>
    <cellStyle name="Millares 3" xfId="4149"/>
    <cellStyle name="Millares 3 2" xfId="4620"/>
    <cellStyle name="Millares 3 2 2" xfId="4740"/>
    <cellStyle name="Millares 3 2 2 2" xfId="4971"/>
    <cellStyle name="Millares 3 2 2 2 2" xfId="6080"/>
    <cellStyle name="Millares 3 2 2 3" xfId="5203"/>
    <cellStyle name="Millares 3 2 2 3 2" xfId="6100"/>
    <cellStyle name="Millares 3 2 2 4" xfId="6060"/>
    <cellStyle name="Millares 3 2 3" xfId="4856"/>
    <cellStyle name="Millares 3 2 3 2" xfId="6070"/>
    <cellStyle name="Millares 3 2 4" xfId="5088"/>
    <cellStyle name="Millares 3 2 4 2" xfId="6090"/>
    <cellStyle name="Millares 3 2 5" xfId="6050"/>
    <cellStyle name="Millares 3 3" xfId="4685"/>
    <cellStyle name="Millares 3 3 2" xfId="4916"/>
    <cellStyle name="Millares 3 3 2 2" xfId="6075"/>
    <cellStyle name="Millares 3 3 3" xfId="5148"/>
    <cellStyle name="Millares 3 3 3 2" xfId="6095"/>
    <cellStyle name="Millares 3 3 4" xfId="6055"/>
    <cellStyle name="Millares 3 4" xfId="4801"/>
    <cellStyle name="Millares 3 4 2" xfId="6065"/>
    <cellStyle name="Millares 3 5" xfId="5033"/>
    <cellStyle name="Millares 3 5 2" xfId="6085"/>
    <cellStyle name="Millares 3 6" xfId="6045"/>
    <cellStyle name="Millares 4" xfId="4152"/>
    <cellStyle name="Millares 4 2" xfId="4623"/>
    <cellStyle name="Millares 4 2 2" xfId="4743"/>
    <cellStyle name="Millares 4 2 2 2" xfId="4974"/>
    <cellStyle name="Millares 4 2 2 2 2" xfId="6081"/>
    <cellStyle name="Millares 4 2 2 3" xfId="5206"/>
    <cellStyle name="Millares 4 2 2 3 2" xfId="6101"/>
    <cellStyle name="Millares 4 2 2 4" xfId="6061"/>
    <cellStyle name="Millares 4 2 3" xfId="4859"/>
    <cellStyle name="Millares 4 2 3 2" xfId="6071"/>
    <cellStyle name="Millares 4 2 4" xfId="5091"/>
    <cellStyle name="Millares 4 2 4 2" xfId="6091"/>
    <cellStyle name="Millares 4 2 5" xfId="6051"/>
    <cellStyle name="Millares 4 3" xfId="4688"/>
    <cellStyle name="Millares 4 3 2" xfId="4919"/>
    <cellStyle name="Millares 4 3 2 2" xfId="6076"/>
    <cellStyle name="Millares 4 3 3" xfId="5151"/>
    <cellStyle name="Millares 4 3 3 2" xfId="6096"/>
    <cellStyle name="Millares 4 3 4" xfId="6056"/>
    <cellStyle name="Millares 4 4" xfId="4804"/>
    <cellStyle name="Millares 4 4 2" xfId="6066"/>
    <cellStyle name="Millares 4 5" xfId="5036"/>
    <cellStyle name="Millares 4 5 2" xfId="6086"/>
    <cellStyle name="Millares 4 6" xfId="6046"/>
    <cellStyle name="Millares 5" xfId="4548"/>
    <cellStyle name="Millares 5 2" xfId="4636"/>
    <cellStyle name="Millares 5 2 2" xfId="4756"/>
    <cellStyle name="Millares 5 2 2 2" xfId="4987"/>
    <cellStyle name="Millares 5 2 2 2 2" xfId="6083"/>
    <cellStyle name="Millares 5 2 2 3" xfId="5219"/>
    <cellStyle name="Millares 5 2 2 3 2" xfId="6103"/>
    <cellStyle name="Millares 5 2 2 4" xfId="6063"/>
    <cellStyle name="Millares 5 2 3" xfId="4872"/>
    <cellStyle name="Millares 5 2 3 2" xfId="6073"/>
    <cellStyle name="Millares 5 2 4" xfId="5104"/>
    <cellStyle name="Millares 5 2 4 2" xfId="6093"/>
    <cellStyle name="Millares 5 2 5" xfId="6053"/>
    <cellStyle name="Millares 5 3" xfId="4701"/>
    <cellStyle name="Millares 5 3 2" xfId="4932"/>
    <cellStyle name="Millares 5 3 2 2" xfId="6078"/>
    <cellStyle name="Millares 5 3 3" xfId="5164"/>
    <cellStyle name="Millares 5 3 3 2" xfId="6098"/>
    <cellStyle name="Millares 5 3 4" xfId="6058"/>
    <cellStyle name="Millares 5 4" xfId="4817"/>
    <cellStyle name="Millares 5 4 2" xfId="6068"/>
    <cellStyle name="Millares 5 5" xfId="5049"/>
    <cellStyle name="Millares 5 5 2" xfId="6088"/>
    <cellStyle name="Millares 5 6" xfId="6048"/>
    <cellStyle name="Millares 6" xfId="6040"/>
    <cellStyle name="Millares 6 2" xfId="6104"/>
    <cellStyle name="Millares 7" xfId="6041"/>
    <cellStyle name="Millares 7 2" xfId="6105"/>
    <cellStyle name="Millares 8" xfId="6043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14" xfId="6042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20"/>
    <cellStyle name="TableStyleLight1 2 2 3" xfId="6129"/>
    <cellStyle name="TableStyleLight1 2 2 4" xfId="6110"/>
    <cellStyle name="TableStyleLight1 2 3" xfId="6119"/>
    <cellStyle name="TableStyleLight1 2 4" xfId="6125"/>
    <cellStyle name="TableStyleLight1 2 5" xfId="6113"/>
    <cellStyle name="TableStyleLight1 3" xfId="6033"/>
    <cellStyle name="TableStyleLight1 3 2" xfId="6121"/>
    <cellStyle name="TableStyleLight1 3 3" xfId="6127"/>
    <cellStyle name="TableStyleLight1 3 4" xfId="6108"/>
    <cellStyle name="TableStyleLight1 4" xfId="6118"/>
    <cellStyle name="TableStyleLight1 5" xfId="6123"/>
    <cellStyle name="TableStyleLight1 6" xfId="6106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58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536121</xdr:colOff>
      <xdr:row>4</xdr:row>
      <xdr:rowOff>180975</xdr:rowOff>
    </xdr:from>
    <xdr:to>
      <xdr:col>7</xdr:col>
      <xdr:colOff>107496</xdr:colOff>
      <xdr:row>13</xdr:row>
      <xdr:rowOff>161925</xdr:rowOff>
    </xdr:to>
    <xdr:sp macro="[0]!loopyarray" textlink="">
      <xdr:nvSpPr>
        <xdr:cNvPr id="2" name="1 Rectángulo redondeado"/>
        <xdr:cNvSpPr/>
      </xdr:nvSpPr>
      <xdr:spPr>
        <a:xfrm>
          <a:off x="4879521" y="561975"/>
          <a:ext cx="3514725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1457325</xdr:colOff>
          <xdr:row>7</xdr:row>
          <xdr:rowOff>104775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66675</xdr:rowOff>
        </xdr:from>
        <xdr:to>
          <xdr:col>2</xdr:col>
          <xdr:colOff>1457325</xdr:colOff>
          <xdr:row>14</xdr:row>
          <xdr:rowOff>104775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114300</xdr:rowOff>
        </xdr:from>
        <xdr:to>
          <xdr:col>2</xdr:col>
          <xdr:colOff>1219200</xdr:colOff>
          <xdr:row>11</xdr:row>
          <xdr:rowOff>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28575</xdr:rowOff>
        </xdr:from>
        <xdr:to>
          <xdr:col>2</xdr:col>
          <xdr:colOff>1247775</xdr:colOff>
          <xdr:row>13</xdr:row>
          <xdr:rowOff>85725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104775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3</xdr:col>
          <xdr:colOff>990600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533400</xdr:colOff>
      <xdr:row>14</xdr:row>
      <xdr:rowOff>85725</xdr:rowOff>
    </xdr:from>
    <xdr:to>
      <xdr:col>6</xdr:col>
      <xdr:colOff>1009650</xdr:colOff>
      <xdr:row>18</xdr:row>
      <xdr:rowOff>171450</xdr:rowOff>
    </xdr:to>
    <xdr:sp macro="[0]!Ruta_dashboard" textlink="">
      <xdr:nvSpPr>
        <xdr:cNvPr id="11" name="10 Rectángulo redondeado"/>
        <xdr:cNvSpPr/>
      </xdr:nvSpPr>
      <xdr:spPr>
        <a:xfrm>
          <a:off x="4876800" y="2371725"/>
          <a:ext cx="2447925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allEnd_242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126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108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523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739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520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459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268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685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98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533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337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653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279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572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625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322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708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23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19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145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305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570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317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19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696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750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352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627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20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17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104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761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435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494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596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141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619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395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440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262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20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665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719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474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390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658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442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381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772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355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575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14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400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639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636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502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655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183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730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209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350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676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741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783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25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388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315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356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423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15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392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605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414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21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23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687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752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373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536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203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552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143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267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609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452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375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266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386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635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576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359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710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303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518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473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698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721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763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316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333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250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601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554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134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259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156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511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651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556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539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304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667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732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401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361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616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325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448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20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774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330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428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574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291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22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120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678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701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522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495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211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508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743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180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25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385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449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182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432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118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513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446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483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689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712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17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125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506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644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418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754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464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345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559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232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21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441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154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127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488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598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537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402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17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271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409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700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723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765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366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21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608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18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129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314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560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469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629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329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617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571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292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669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734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776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399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221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641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486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270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16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323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549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222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680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703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745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22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19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578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691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393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23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611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626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310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24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479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306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16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17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137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379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714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756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504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290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336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391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25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529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30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606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521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319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282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485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17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516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660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725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553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444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20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614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671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767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19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22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324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252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593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140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438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489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519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131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437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682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736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778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17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589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18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260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166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19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501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705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484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505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470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144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624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568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482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747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288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458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344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467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693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241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436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300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157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604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431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475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408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595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450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662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716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758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541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439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147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591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416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298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433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150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561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582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365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562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548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422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630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498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24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540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383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22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380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102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210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524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233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706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727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748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769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534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155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139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673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694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497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18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23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307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287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17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272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377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123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631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332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16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116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261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297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38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544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592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558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645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106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717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738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759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780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132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406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26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244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223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618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663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684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599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514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528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532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274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219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212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551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500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19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451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185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136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133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413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376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628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16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535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550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707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728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749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320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25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415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29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407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649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674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695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770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566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346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648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597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122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580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557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109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545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538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510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427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781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652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547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650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477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478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718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275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224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265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128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664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760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341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643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251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22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515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382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771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130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579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16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729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555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607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465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499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675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149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468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16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782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411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657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455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148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462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600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530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25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181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426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740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213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503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362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585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686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751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461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621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594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20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512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472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563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612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640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321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709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583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278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357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697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762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445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480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430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24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642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525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581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613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372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577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410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115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243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720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21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573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666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731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773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654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637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374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19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632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487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434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456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285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398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634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677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742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349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453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481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397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360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100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119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113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99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368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312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526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387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327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688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711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753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22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447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542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45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331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363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367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313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16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620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234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507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318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179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590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699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722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343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263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311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364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633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764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17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610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294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496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23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112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492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276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668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394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17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638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19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567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733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775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216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460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351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153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335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371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603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679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702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339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308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491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107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744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101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264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231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476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647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158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138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586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471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111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117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370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289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690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713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755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569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281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623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135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334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293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417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615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18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587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389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240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466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602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114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659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724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766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286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24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420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347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124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151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239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20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403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18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20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517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670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735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354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142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19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681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777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358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253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29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273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309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105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277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353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565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704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746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404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543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463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692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103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301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429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419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326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15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405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283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340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20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715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412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24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396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527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443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564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378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661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757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328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424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425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490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16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646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384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299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546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457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588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656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509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672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726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768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369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421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110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622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348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19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284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584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342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493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97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531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16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737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779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280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121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683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1.xml"/><Relationship Id="rId299" Type="http://schemas.openxmlformats.org/officeDocument/2006/relationships/queryTable" Target="../queryTables/queryTable283.xml"/><Relationship Id="rId671" Type="http://schemas.openxmlformats.org/officeDocument/2006/relationships/queryTable" Target="../queryTables/queryTable655.xml"/><Relationship Id="rId21" Type="http://schemas.openxmlformats.org/officeDocument/2006/relationships/queryTable" Target="../queryTables/queryTable5.xml"/><Relationship Id="rId63" Type="http://schemas.openxmlformats.org/officeDocument/2006/relationships/queryTable" Target="../queryTables/queryTable47.xml"/><Relationship Id="rId159" Type="http://schemas.openxmlformats.org/officeDocument/2006/relationships/queryTable" Target="../queryTables/queryTable143.xml"/><Relationship Id="rId324" Type="http://schemas.openxmlformats.org/officeDocument/2006/relationships/queryTable" Target="../queryTables/queryTable308.xml"/><Relationship Id="rId366" Type="http://schemas.openxmlformats.org/officeDocument/2006/relationships/queryTable" Target="../queryTables/queryTable350.xml"/><Relationship Id="rId531" Type="http://schemas.openxmlformats.org/officeDocument/2006/relationships/queryTable" Target="../queryTables/queryTable515.xml"/><Relationship Id="rId573" Type="http://schemas.openxmlformats.org/officeDocument/2006/relationships/queryTable" Target="../queryTables/queryTable557.xml"/><Relationship Id="rId629" Type="http://schemas.openxmlformats.org/officeDocument/2006/relationships/queryTable" Target="../queryTables/queryTable613.xml"/><Relationship Id="rId170" Type="http://schemas.openxmlformats.org/officeDocument/2006/relationships/queryTable" Target="../queryTables/queryTable154.xml"/><Relationship Id="rId226" Type="http://schemas.openxmlformats.org/officeDocument/2006/relationships/queryTable" Target="../queryTables/queryTable210.xml"/><Relationship Id="rId433" Type="http://schemas.openxmlformats.org/officeDocument/2006/relationships/queryTable" Target="../queryTables/queryTable417.xml"/><Relationship Id="rId268" Type="http://schemas.openxmlformats.org/officeDocument/2006/relationships/queryTable" Target="../queryTables/queryTable252.xml"/><Relationship Id="rId475" Type="http://schemas.openxmlformats.org/officeDocument/2006/relationships/queryTable" Target="../queryTables/queryTable459.xml"/><Relationship Id="rId640" Type="http://schemas.openxmlformats.org/officeDocument/2006/relationships/queryTable" Target="../queryTables/queryTable624.xml"/><Relationship Id="rId682" Type="http://schemas.openxmlformats.org/officeDocument/2006/relationships/queryTable" Target="../queryTables/queryTable666.xml"/><Relationship Id="rId32" Type="http://schemas.openxmlformats.org/officeDocument/2006/relationships/queryTable" Target="../queryTables/queryTable16.xml"/><Relationship Id="rId74" Type="http://schemas.openxmlformats.org/officeDocument/2006/relationships/queryTable" Target="../queryTables/queryTable58.xml"/><Relationship Id="rId128" Type="http://schemas.openxmlformats.org/officeDocument/2006/relationships/queryTable" Target="../queryTables/queryTable112.xml"/><Relationship Id="rId335" Type="http://schemas.openxmlformats.org/officeDocument/2006/relationships/queryTable" Target="../queryTables/queryTable319.xml"/><Relationship Id="rId377" Type="http://schemas.openxmlformats.org/officeDocument/2006/relationships/queryTable" Target="../queryTables/queryTable361.xml"/><Relationship Id="rId500" Type="http://schemas.openxmlformats.org/officeDocument/2006/relationships/queryTable" Target="../queryTables/queryTable484.xml"/><Relationship Id="rId542" Type="http://schemas.openxmlformats.org/officeDocument/2006/relationships/queryTable" Target="../queryTables/queryTable526.xml"/><Relationship Id="rId584" Type="http://schemas.openxmlformats.org/officeDocument/2006/relationships/queryTable" Target="../queryTables/queryTable568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5.xml"/><Relationship Id="rId237" Type="http://schemas.openxmlformats.org/officeDocument/2006/relationships/queryTable" Target="../queryTables/queryTable221.xml"/><Relationship Id="rId402" Type="http://schemas.openxmlformats.org/officeDocument/2006/relationships/queryTable" Target="../queryTables/queryTable386.xml"/><Relationship Id="rId279" Type="http://schemas.openxmlformats.org/officeDocument/2006/relationships/queryTable" Target="../queryTables/queryTable263.xml"/><Relationship Id="rId444" Type="http://schemas.openxmlformats.org/officeDocument/2006/relationships/queryTable" Target="../queryTables/queryTable428.xml"/><Relationship Id="rId486" Type="http://schemas.openxmlformats.org/officeDocument/2006/relationships/queryTable" Target="../queryTables/queryTable470.xml"/><Relationship Id="rId651" Type="http://schemas.openxmlformats.org/officeDocument/2006/relationships/queryTable" Target="../queryTables/queryTable635.xml"/><Relationship Id="rId693" Type="http://schemas.openxmlformats.org/officeDocument/2006/relationships/queryTable" Target="../queryTables/queryTable677.xml"/><Relationship Id="rId43" Type="http://schemas.openxmlformats.org/officeDocument/2006/relationships/queryTable" Target="../queryTables/queryTable27.xml"/><Relationship Id="rId139" Type="http://schemas.openxmlformats.org/officeDocument/2006/relationships/queryTable" Target="../queryTables/queryTable123.xml"/><Relationship Id="rId290" Type="http://schemas.openxmlformats.org/officeDocument/2006/relationships/queryTable" Target="../queryTables/queryTable274.xml"/><Relationship Id="rId304" Type="http://schemas.openxmlformats.org/officeDocument/2006/relationships/queryTable" Target="../queryTables/queryTable288.xml"/><Relationship Id="rId346" Type="http://schemas.openxmlformats.org/officeDocument/2006/relationships/queryTable" Target="../queryTables/queryTable330.xml"/><Relationship Id="rId388" Type="http://schemas.openxmlformats.org/officeDocument/2006/relationships/queryTable" Target="../queryTables/queryTable372.xml"/><Relationship Id="rId511" Type="http://schemas.openxmlformats.org/officeDocument/2006/relationships/queryTable" Target="../queryTables/queryTable495.xml"/><Relationship Id="rId553" Type="http://schemas.openxmlformats.org/officeDocument/2006/relationships/queryTable" Target="../queryTables/queryTable537.xml"/><Relationship Id="rId609" Type="http://schemas.openxmlformats.org/officeDocument/2006/relationships/queryTable" Target="../queryTables/queryTable593.xml"/><Relationship Id="rId85" Type="http://schemas.openxmlformats.org/officeDocument/2006/relationships/queryTable" Target="../queryTables/queryTable69.xml"/><Relationship Id="rId150" Type="http://schemas.openxmlformats.org/officeDocument/2006/relationships/queryTable" Target="../queryTables/queryTable134.xml"/><Relationship Id="rId192" Type="http://schemas.openxmlformats.org/officeDocument/2006/relationships/queryTable" Target="../queryTables/queryTable176.xml"/><Relationship Id="rId206" Type="http://schemas.openxmlformats.org/officeDocument/2006/relationships/queryTable" Target="../queryTables/queryTable190.xml"/><Relationship Id="rId413" Type="http://schemas.openxmlformats.org/officeDocument/2006/relationships/queryTable" Target="../queryTables/queryTable397.xml"/><Relationship Id="rId595" Type="http://schemas.openxmlformats.org/officeDocument/2006/relationships/queryTable" Target="../queryTables/queryTable579.xml"/><Relationship Id="rId248" Type="http://schemas.openxmlformats.org/officeDocument/2006/relationships/queryTable" Target="../queryTables/queryTable232.xml"/><Relationship Id="rId455" Type="http://schemas.openxmlformats.org/officeDocument/2006/relationships/queryTable" Target="../queryTables/queryTable439.xml"/><Relationship Id="rId497" Type="http://schemas.openxmlformats.org/officeDocument/2006/relationships/queryTable" Target="../queryTables/queryTable481.xml"/><Relationship Id="rId620" Type="http://schemas.openxmlformats.org/officeDocument/2006/relationships/queryTable" Target="../queryTables/queryTable604.xml"/><Relationship Id="rId662" Type="http://schemas.openxmlformats.org/officeDocument/2006/relationships/queryTable" Target="../queryTables/queryTable646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2.xml"/><Relationship Id="rId315" Type="http://schemas.openxmlformats.org/officeDocument/2006/relationships/queryTable" Target="../queryTables/queryTable299.xml"/><Relationship Id="rId357" Type="http://schemas.openxmlformats.org/officeDocument/2006/relationships/queryTable" Target="../queryTables/queryTable341.xml"/><Relationship Id="rId522" Type="http://schemas.openxmlformats.org/officeDocument/2006/relationships/queryTable" Target="../queryTables/queryTable506.xml"/><Relationship Id="rId54" Type="http://schemas.openxmlformats.org/officeDocument/2006/relationships/queryTable" Target="../queryTables/queryTable38.xml"/><Relationship Id="rId96" Type="http://schemas.openxmlformats.org/officeDocument/2006/relationships/queryTable" Target="../queryTables/queryTable80.xml"/><Relationship Id="rId161" Type="http://schemas.openxmlformats.org/officeDocument/2006/relationships/queryTable" Target="../queryTables/queryTable145.xml"/><Relationship Id="rId217" Type="http://schemas.openxmlformats.org/officeDocument/2006/relationships/queryTable" Target="../queryTables/queryTable201.xml"/><Relationship Id="rId399" Type="http://schemas.openxmlformats.org/officeDocument/2006/relationships/queryTable" Target="../queryTables/queryTable383.xml"/><Relationship Id="rId564" Type="http://schemas.openxmlformats.org/officeDocument/2006/relationships/queryTable" Target="../queryTables/queryTable548.xml"/><Relationship Id="rId259" Type="http://schemas.openxmlformats.org/officeDocument/2006/relationships/queryTable" Target="../queryTables/queryTable243.xml"/><Relationship Id="rId424" Type="http://schemas.openxmlformats.org/officeDocument/2006/relationships/queryTable" Target="../queryTables/queryTable408.xml"/><Relationship Id="rId466" Type="http://schemas.openxmlformats.org/officeDocument/2006/relationships/queryTable" Target="../queryTables/queryTable450.xml"/><Relationship Id="rId631" Type="http://schemas.openxmlformats.org/officeDocument/2006/relationships/queryTable" Target="../queryTables/queryTable615.xml"/><Relationship Id="rId673" Type="http://schemas.openxmlformats.org/officeDocument/2006/relationships/queryTable" Target="../queryTables/queryTable657.xml"/><Relationship Id="rId23" Type="http://schemas.openxmlformats.org/officeDocument/2006/relationships/queryTable" Target="../queryTables/queryTable7.xml"/><Relationship Id="rId119" Type="http://schemas.openxmlformats.org/officeDocument/2006/relationships/queryTable" Target="../queryTables/queryTable103.xml"/><Relationship Id="rId270" Type="http://schemas.openxmlformats.org/officeDocument/2006/relationships/queryTable" Target="../queryTables/queryTable254.xml"/><Relationship Id="rId326" Type="http://schemas.openxmlformats.org/officeDocument/2006/relationships/queryTable" Target="../queryTables/queryTable310.xml"/><Relationship Id="rId533" Type="http://schemas.openxmlformats.org/officeDocument/2006/relationships/queryTable" Target="../queryTables/queryTable517.xml"/><Relationship Id="rId65" Type="http://schemas.openxmlformats.org/officeDocument/2006/relationships/queryTable" Target="../queryTables/queryTable49.xml"/><Relationship Id="rId130" Type="http://schemas.openxmlformats.org/officeDocument/2006/relationships/queryTable" Target="../queryTables/queryTable114.xml"/><Relationship Id="rId368" Type="http://schemas.openxmlformats.org/officeDocument/2006/relationships/queryTable" Target="../queryTables/queryTable352.xml"/><Relationship Id="rId575" Type="http://schemas.openxmlformats.org/officeDocument/2006/relationships/queryTable" Target="../queryTables/queryTable559.xml"/><Relationship Id="rId172" Type="http://schemas.openxmlformats.org/officeDocument/2006/relationships/queryTable" Target="../queryTables/queryTable156.xml"/><Relationship Id="rId228" Type="http://schemas.openxmlformats.org/officeDocument/2006/relationships/queryTable" Target="../queryTables/queryTable212.xml"/><Relationship Id="rId435" Type="http://schemas.openxmlformats.org/officeDocument/2006/relationships/queryTable" Target="../queryTables/queryTable419.xml"/><Relationship Id="rId477" Type="http://schemas.openxmlformats.org/officeDocument/2006/relationships/queryTable" Target="../queryTables/queryTable461.xml"/><Relationship Id="rId600" Type="http://schemas.openxmlformats.org/officeDocument/2006/relationships/queryTable" Target="../queryTables/queryTable584.xml"/><Relationship Id="rId642" Type="http://schemas.openxmlformats.org/officeDocument/2006/relationships/queryTable" Target="../queryTables/queryTable626.xml"/><Relationship Id="rId684" Type="http://schemas.openxmlformats.org/officeDocument/2006/relationships/queryTable" Target="../queryTables/queryTable668.xml"/><Relationship Id="rId281" Type="http://schemas.openxmlformats.org/officeDocument/2006/relationships/queryTable" Target="../queryTables/queryTable265.xml"/><Relationship Id="rId337" Type="http://schemas.openxmlformats.org/officeDocument/2006/relationships/queryTable" Target="../queryTables/queryTable321.xml"/><Relationship Id="rId502" Type="http://schemas.openxmlformats.org/officeDocument/2006/relationships/queryTable" Target="../queryTables/queryTable486.xml"/><Relationship Id="rId34" Type="http://schemas.openxmlformats.org/officeDocument/2006/relationships/queryTable" Target="../queryTables/queryTable18.xml"/><Relationship Id="rId76" Type="http://schemas.openxmlformats.org/officeDocument/2006/relationships/queryTable" Target="../queryTables/queryTable60.xml"/><Relationship Id="rId141" Type="http://schemas.openxmlformats.org/officeDocument/2006/relationships/queryTable" Target="../queryTables/queryTable125.xml"/><Relationship Id="rId379" Type="http://schemas.openxmlformats.org/officeDocument/2006/relationships/queryTable" Target="../queryTables/queryTable363.xml"/><Relationship Id="rId544" Type="http://schemas.openxmlformats.org/officeDocument/2006/relationships/queryTable" Target="../queryTables/queryTable528.xml"/><Relationship Id="rId586" Type="http://schemas.openxmlformats.org/officeDocument/2006/relationships/queryTable" Target="../queryTables/queryTable570.xml"/><Relationship Id="rId7" Type="http://schemas.openxmlformats.org/officeDocument/2006/relationships/image" Target="../media/image2.emf"/><Relationship Id="rId183" Type="http://schemas.openxmlformats.org/officeDocument/2006/relationships/queryTable" Target="../queryTables/queryTable167.xml"/><Relationship Id="rId239" Type="http://schemas.openxmlformats.org/officeDocument/2006/relationships/queryTable" Target="../queryTables/queryTable223.xml"/><Relationship Id="rId390" Type="http://schemas.openxmlformats.org/officeDocument/2006/relationships/queryTable" Target="../queryTables/queryTable374.xml"/><Relationship Id="rId404" Type="http://schemas.openxmlformats.org/officeDocument/2006/relationships/queryTable" Target="../queryTables/queryTable388.xml"/><Relationship Id="rId446" Type="http://schemas.openxmlformats.org/officeDocument/2006/relationships/queryTable" Target="../queryTables/queryTable430.xml"/><Relationship Id="rId611" Type="http://schemas.openxmlformats.org/officeDocument/2006/relationships/queryTable" Target="../queryTables/queryTable595.xml"/><Relationship Id="rId653" Type="http://schemas.openxmlformats.org/officeDocument/2006/relationships/queryTable" Target="../queryTables/queryTable637.xml"/><Relationship Id="rId250" Type="http://schemas.openxmlformats.org/officeDocument/2006/relationships/queryTable" Target="../queryTables/queryTable234.xml"/><Relationship Id="rId292" Type="http://schemas.openxmlformats.org/officeDocument/2006/relationships/queryTable" Target="../queryTables/queryTable276.xml"/><Relationship Id="rId306" Type="http://schemas.openxmlformats.org/officeDocument/2006/relationships/queryTable" Target="../queryTables/queryTable290.xml"/><Relationship Id="rId488" Type="http://schemas.openxmlformats.org/officeDocument/2006/relationships/queryTable" Target="../queryTables/queryTable472.xml"/><Relationship Id="rId695" Type="http://schemas.openxmlformats.org/officeDocument/2006/relationships/queryTable" Target="../queryTables/queryTable679.xml"/><Relationship Id="rId45" Type="http://schemas.openxmlformats.org/officeDocument/2006/relationships/queryTable" Target="../queryTables/queryTable29.xml"/><Relationship Id="rId87" Type="http://schemas.openxmlformats.org/officeDocument/2006/relationships/queryTable" Target="../queryTables/queryTable71.xml"/><Relationship Id="rId110" Type="http://schemas.openxmlformats.org/officeDocument/2006/relationships/queryTable" Target="../queryTables/queryTable94.xml"/><Relationship Id="rId348" Type="http://schemas.openxmlformats.org/officeDocument/2006/relationships/queryTable" Target="../queryTables/queryTable332.xml"/><Relationship Id="rId513" Type="http://schemas.openxmlformats.org/officeDocument/2006/relationships/queryTable" Target="../queryTables/queryTable497.xml"/><Relationship Id="rId555" Type="http://schemas.openxmlformats.org/officeDocument/2006/relationships/queryTable" Target="../queryTables/queryTable539.xml"/><Relationship Id="rId597" Type="http://schemas.openxmlformats.org/officeDocument/2006/relationships/queryTable" Target="../queryTables/queryTable581.xml"/><Relationship Id="rId152" Type="http://schemas.openxmlformats.org/officeDocument/2006/relationships/queryTable" Target="../queryTables/queryTable136.xml"/><Relationship Id="rId194" Type="http://schemas.openxmlformats.org/officeDocument/2006/relationships/queryTable" Target="../queryTables/queryTable178.xml"/><Relationship Id="rId208" Type="http://schemas.openxmlformats.org/officeDocument/2006/relationships/queryTable" Target="../queryTables/queryTable192.xml"/><Relationship Id="rId415" Type="http://schemas.openxmlformats.org/officeDocument/2006/relationships/queryTable" Target="../queryTables/queryTable399.xml"/><Relationship Id="rId457" Type="http://schemas.openxmlformats.org/officeDocument/2006/relationships/queryTable" Target="../queryTables/queryTable441.xml"/><Relationship Id="rId622" Type="http://schemas.openxmlformats.org/officeDocument/2006/relationships/queryTable" Target="../queryTables/queryTable606.xml"/><Relationship Id="rId261" Type="http://schemas.openxmlformats.org/officeDocument/2006/relationships/queryTable" Target="../queryTables/queryTable245.xml"/><Relationship Id="rId499" Type="http://schemas.openxmlformats.org/officeDocument/2006/relationships/queryTable" Target="../queryTables/queryTable483.xml"/><Relationship Id="rId664" Type="http://schemas.openxmlformats.org/officeDocument/2006/relationships/queryTable" Target="../queryTables/queryTable648.xml"/><Relationship Id="rId14" Type="http://schemas.openxmlformats.org/officeDocument/2006/relationships/ctrlProp" Target="../ctrlProps/ctrlProp1.xml"/><Relationship Id="rId56" Type="http://schemas.openxmlformats.org/officeDocument/2006/relationships/queryTable" Target="../queryTables/queryTable40.xml"/><Relationship Id="rId317" Type="http://schemas.openxmlformats.org/officeDocument/2006/relationships/queryTable" Target="../queryTables/queryTable301.xml"/><Relationship Id="rId359" Type="http://schemas.openxmlformats.org/officeDocument/2006/relationships/queryTable" Target="../queryTables/queryTable343.xml"/><Relationship Id="rId524" Type="http://schemas.openxmlformats.org/officeDocument/2006/relationships/queryTable" Target="../queryTables/queryTable508.xml"/><Relationship Id="rId566" Type="http://schemas.openxmlformats.org/officeDocument/2006/relationships/queryTable" Target="../queryTables/queryTable550.xml"/><Relationship Id="rId98" Type="http://schemas.openxmlformats.org/officeDocument/2006/relationships/queryTable" Target="../queryTables/queryTable82.xml"/><Relationship Id="rId121" Type="http://schemas.openxmlformats.org/officeDocument/2006/relationships/queryTable" Target="../queryTables/queryTable105.xml"/><Relationship Id="rId163" Type="http://schemas.openxmlformats.org/officeDocument/2006/relationships/queryTable" Target="../queryTables/queryTable147.xml"/><Relationship Id="rId219" Type="http://schemas.openxmlformats.org/officeDocument/2006/relationships/queryTable" Target="../queryTables/queryTable203.xml"/><Relationship Id="rId370" Type="http://schemas.openxmlformats.org/officeDocument/2006/relationships/queryTable" Target="../queryTables/queryTable354.xml"/><Relationship Id="rId426" Type="http://schemas.openxmlformats.org/officeDocument/2006/relationships/queryTable" Target="../queryTables/queryTable410.xml"/><Relationship Id="rId633" Type="http://schemas.openxmlformats.org/officeDocument/2006/relationships/queryTable" Target="../queryTables/queryTable617.xml"/><Relationship Id="rId230" Type="http://schemas.openxmlformats.org/officeDocument/2006/relationships/queryTable" Target="../queryTables/queryTable214.xml"/><Relationship Id="rId468" Type="http://schemas.openxmlformats.org/officeDocument/2006/relationships/queryTable" Target="../queryTables/queryTable452.xml"/><Relationship Id="rId675" Type="http://schemas.openxmlformats.org/officeDocument/2006/relationships/queryTable" Target="../queryTables/queryTable659.xml"/><Relationship Id="rId25" Type="http://schemas.openxmlformats.org/officeDocument/2006/relationships/queryTable" Target="../queryTables/queryTable9.xml"/><Relationship Id="rId67" Type="http://schemas.openxmlformats.org/officeDocument/2006/relationships/queryTable" Target="../queryTables/queryTable51.xml"/><Relationship Id="rId272" Type="http://schemas.openxmlformats.org/officeDocument/2006/relationships/queryTable" Target="../queryTables/queryTable256.xml"/><Relationship Id="rId328" Type="http://schemas.openxmlformats.org/officeDocument/2006/relationships/queryTable" Target="../queryTables/queryTable312.xml"/><Relationship Id="rId535" Type="http://schemas.openxmlformats.org/officeDocument/2006/relationships/queryTable" Target="../queryTables/queryTable519.xml"/><Relationship Id="rId577" Type="http://schemas.openxmlformats.org/officeDocument/2006/relationships/queryTable" Target="../queryTables/queryTable561.xml"/><Relationship Id="rId700" Type="http://schemas.openxmlformats.org/officeDocument/2006/relationships/queryTable" Target="../queryTables/queryTable684.xml"/><Relationship Id="rId132" Type="http://schemas.openxmlformats.org/officeDocument/2006/relationships/queryTable" Target="../queryTables/queryTable116.xml"/><Relationship Id="rId174" Type="http://schemas.openxmlformats.org/officeDocument/2006/relationships/queryTable" Target="../queryTables/queryTable158.xml"/><Relationship Id="rId381" Type="http://schemas.openxmlformats.org/officeDocument/2006/relationships/queryTable" Target="../queryTables/queryTable365.xml"/><Relationship Id="rId602" Type="http://schemas.openxmlformats.org/officeDocument/2006/relationships/queryTable" Target="../queryTables/queryTable586.xml"/><Relationship Id="rId241" Type="http://schemas.openxmlformats.org/officeDocument/2006/relationships/queryTable" Target="../queryTables/queryTable225.xml"/><Relationship Id="rId437" Type="http://schemas.openxmlformats.org/officeDocument/2006/relationships/queryTable" Target="../queryTables/queryTable421.xml"/><Relationship Id="rId479" Type="http://schemas.openxmlformats.org/officeDocument/2006/relationships/queryTable" Target="../queryTables/queryTable463.xml"/><Relationship Id="rId644" Type="http://schemas.openxmlformats.org/officeDocument/2006/relationships/queryTable" Target="../queryTables/queryTable628.xml"/><Relationship Id="rId686" Type="http://schemas.openxmlformats.org/officeDocument/2006/relationships/queryTable" Target="../queryTables/queryTable670.xml"/><Relationship Id="rId36" Type="http://schemas.openxmlformats.org/officeDocument/2006/relationships/queryTable" Target="../queryTables/queryTable20.xml"/><Relationship Id="rId283" Type="http://schemas.openxmlformats.org/officeDocument/2006/relationships/queryTable" Target="../queryTables/queryTable267.xml"/><Relationship Id="rId339" Type="http://schemas.openxmlformats.org/officeDocument/2006/relationships/queryTable" Target="../queryTables/queryTable323.xml"/><Relationship Id="rId490" Type="http://schemas.openxmlformats.org/officeDocument/2006/relationships/queryTable" Target="../queryTables/queryTable474.xml"/><Relationship Id="rId504" Type="http://schemas.openxmlformats.org/officeDocument/2006/relationships/queryTable" Target="../queryTables/queryTable488.xml"/><Relationship Id="rId546" Type="http://schemas.openxmlformats.org/officeDocument/2006/relationships/queryTable" Target="../queryTables/queryTable530.xml"/><Relationship Id="rId78" Type="http://schemas.openxmlformats.org/officeDocument/2006/relationships/queryTable" Target="../queryTables/queryTable62.xml"/><Relationship Id="rId101" Type="http://schemas.openxmlformats.org/officeDocument/2006/relationships/queryTable" Target="../queryTables/queryTable85.xml"/><Relationship Id="rId143" Type="http://schemas.openxmlformats.org/officeDocument/2006/relationships/queryTable" Target="../queryTables/queryTable127.xml"/><Relationship Id="rId185" Type="http://schemas.openxmlformats.org/officeDocument/2006/relationships/queryTable" Target="../queryTables/queryTable169.xml"/><Relationship Id="rId350" Type="http://schemas.openxmlformats.org/officeDocument/2006/relationships/queryTable" Target="../queryTables/queryTable334.xml"/><Relationship Id="rId406" Type="http://schemas.openxmlformats.org/officeDocument/2006/relationships/queryTable" Target="../queryTables/queryTable390.xml"/><Relationship Id="rId588" Type="http://schemas.openxmlformats.org/officeDocument/2006/relationships/queryTable" Target="../queryTables/queryTable572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4.xml"/><Relationship Id="rId392" Type="http://schemas.openxmlformats.org/officeDocument/2006/relationships/queryTable" Target="../queryTables/queryTable376.xml"/><Relationship Id="rId448" Type="http://schemas.openxmlformats.org/officeDocument/2006/relationships/queryTable" Target="../queryTables/queryTable432.xml"/><Relationship Id="rId613" Type="http://schemas.openxmlformats.org/officeDocument/2006/relationships/queryTable" Target="../queryTables/queryTable597.xml"/><Relationship Id="rId655" Type="http://schemas.openxmlformats.org/officeDocument/2006/relationships/queryTable" Target="../queryTables/queryTable639.xml"/><Relationship Id="rId697" Type="http://schemas.openxmlformats.org/officeDocument/2006/relationships/queryTable" Target="../queryTables/queryTable681.xml"/><Relationship Id="rId252" Type="http://schemas.openxmlformats.org/officeDocument/2006/relationships/queryTable" Target="../queryTables/queryTable236.xml"/><Relationship Id="rId294" Type="http://schemas.openxmlformats.org/officeDocument/2006/relationships/queryTable" Target="../queryTables/queryTable278.xml"/><Relationship Id="rId308" Type="http://schemas.openxmlformats.org/officeDocument/2006/relationships/queryTable" Target="../queryTables/queryTable292.xml"/><Relationship Id="rId515" Type="http://schemas.openxmlformats.org/officeDocument/2006/relationships/queryTable" Target="../queryTables/queryTable499.xml"/><Relationship Id="rId47" Type="http://schemas.openxmlformats.org/officeDocument/2006/relationships/queryTable" Target="../queryTables/queryTable31.xml"/><Relationship Id="rId89" Type="http://schemas.openxmlformats.org/officeDocument/2006/relationships/queryTable" Target="../queryTables/queryTable73.xml"/><Relationship Id="rId112" Type="http://schemas.openxmlformats.org/officeDocument/2006/relationships/queryTable" Target="../queryTables/queryTable96.xml"/><Relationship Id="rId154" Type="http://schemas.openxmlformats.org/officeDocument/2006/relationships/queryTable" Target="../queryTables/queryTable138.xml"/><Relationship Id="rId361" Type="http://schemas.openxmlformats.org/officeDocument/2006/relationships/queryTable" Target="../queryTables/queryTable345.xml"/><Relationship Id="rId557" Type="http://schemas.openxmlformats.org/officeDocument/2006/relationships/queryTable" Target="../queryTables/queryTable541.xml"/><Relationship Id="rId599" Type="http://schemas.openxmlformats.org/officeDocument/2006/relationships/queryTable" Target="../queryTables/queryTable583.xml"/><Relationship Id="rId196" Type="http://schemas.openxmlformats.org/officeDocument/2006/relationships/queryTable" Target="../queryTables/queryTable180.xml"/><Relationship Id="rId417" Type="http://schemas.openxmlformats.org/officeDocument/2006/relationships/queryTable" Target="../queryTables/queryTable401.xml"/><Relationship Id="rId459" Type="http://schemas.openxmlformats.org/officeDocument/2006/relationships/queryTable" Target="../queryTables/queryTable443.xml"/><Relationship Id="rId624" Type="http://schemas.openxmlformats.org/officeDocument/2006/relationships/queryTable" Target="../queryTables/queryTable608.xml"/><Relationship Id="rId666" Type="http://schemas.openxmlformats.org/officeDocument/2006/relationships/queryTable" Target="../queryTables/queryTable650.xml"/><Relationship Id="rId16" Type="http://schemas.openxmlformats.org/officeDocument/2006/relationships/ctrlProp" Target="../ctrlProps/ctrlProp3.xml"/><Relationship Id="rId221" Type="http://schemas.openxmlformats.org/officeDocument/2006/relationships/queryTable" Target="../queryTables/queryTable205.xml"/><Relationship Id="rId263" Type="http://schemas.openxmlformats.org/officeDocument/2006/relationships/queryTable" Target="../queryTables/queryTable247.xml"/><Relationship Id="rId319" Type="http://schemas.openxmlformats.org/officeDocument/2006/relationships/queryTable" Target="../queryTables/queryTable303.xml"/><Relationship Id="rId470" Type="http://schemas.openxmlformats.org/officeDocument/2006/relationships/queryTable" Target="../queryTables/queryTable454.xml"/><Relationship Id="rId526" Type="http://schemas.openxmlformats.org/officeDocument/2006/relationships/queryTable" Target="../queryTables/queryTable510.xml"/><Relationship Id="rId58" Type="http://schemas.openxmlformats.org/officeDocument/2006/relationships/queryTable" Target="../queryTables/queryTable42.xml"/><Relationship Id="rId123" Type="http://schemas.openxmlformats.org/officeDocument/2006/relationships/queryTable" Target="../queryTables/queryTable107.xml"/><Relationship Id="rId330" Type="http://schemas.openxmlformats.org/officeDocument/2006/relationships/queryTable" Target="../queryTables/queryTable314.xml"/><Relationship Id="rId568" Type="http://schemas.openxmlformats.org/officeDocument/2006/relationships/queryTable" Target="../queryTables/queryTable552.xml"/><Relationship Id="rId165" Type="http://schemas.openxmlformats.org/officeDocument/2006/relationships/queryTable" Target="../queryTables/queryTable149.xml"/><Relationship Id="rId372" Type="http://schemas.openxmlformats.org/officeDocument/2006/relationships/queryTable" Target="../queryTables/queryTable356.xml"/><Relationship Id="rId428" Type="http://schemas.openxmlformats.org/officeDocument/2006/relationships/queryTable" Target="../queryTables/queryTable412.xml"/><Relationship Id="rId635" Type="http://schemas.openxmlformats.org/officeDocument/2006/relationships/queryTable" Target="../queryTables/queryTable619.xml"/><Relationship Id="rId677" Type="http://schemas.openxmlformats.org/officeDocument/2006/relationships/queryTable" Target="../queryTables/queryTable661.xml"/><Relationship Id="rId232" Type="http://schemas.openxmlformats.org/officeDocument/2006/relationships/queryTable" Target="../queryTables/queryTable216.xml"/><Relationship Id="rId274" Type="http://schemas.openxmlformats.org/officeDocument/2006/relationships/queryTable" Target="../queryTables/queryTable258.xml"/><Relationship Id="rId481" Type="http://schemas.openxmlformats.org/officeDocument/2006/relationships/queryTable" Target="../queryTables/queryTable465.xml"/><Relationship Id="rId702" Type="http://schemas.openxmlformats.org/officeDocument/2006/relationships/queryTable" Target="../queryTables/queryTable686.xml"/><Relationship Id="rId27" Type="http://schemas.openxmlformats.org/officeDocument/2006/relationships/queryTable" Target="../queryTables/queryTable11.xml"/><Relationship Id="rId69" Type="http://schemas.openxmlformats.org/officeDocument/2006/relationships/queryTable" Target="../queryTables/queryTable53.xml"/><Relationship Id="rId134" Type="http://schemas.openxmlformats.org/officeDocument/2006/relationships/queryTable" Target="../queryTables/queryTable118.xml"/><Relationship Id="rId537" Type="http://schemas.openxmlformats.org/officeDocument/2006/relationships/queryTable" Target="../queryTables/queryTable521.xml"/><Relationship Id="rId579" Type="http://schemas.openxmlformats.org/officeDocument/2006/relationships/queryTable" Target="../queryTables/queryTable563.xml"/><Relationship Id="rId80" Type="http://schemas.openxmlformats.org/officeDocument/2006/relationships/queryTable" Target="../queryTables/queryTable64.xml"/><Relationship Id="rId176" Type="http://schemas.openxmlformats.org/officeDocument/2006/relationships/queryTable" Target="../queryTables/queryTable160.xml"/><Relationship Id="rId341" Type="http://schemas.openxmlformats.org/officeDocument/2006/relationships/queryTable" Target="../queryTables/queryTable325.xml"/><Relationship Id="rId383" Type="http://schemas.openxmlformats.org/officeDocument/2006/relationships/queryTable" Target="../queryTables/queryTable367.xml"/><Relationship Id="rId439" Type="http://schemas.openxmlformats.org/officeDocument/2006/relationships/queryTable" Target="../queryTables/queryTable423.xml"/><Relationship Id="rId590" Type="http://schemas.openxmlformats.org/officeDocument/2006/relationships/queryTable" Target="../queryTables/queryTable574.xml"/><Relationship Id="rId604" Type="http://schemas.openxmlformats.org/officeDocument/2006/relationships/queryTable" Target="../queryTables/queryTable588.xml"/><Relationship Id="rId646" Type="http://schemas.openxmlformats.org/officeDocument/2006/relationships/queryTable" Target="../queryTables/queryTable630.xml"/><Relationship Id="rId201" Type="http://schemas.openxmlformats.org/officeDocument/2006/relationships/queryTable" Target="../queryTables/queryTable185.xml"/><Relationship Id="rId243" Type="http://schemas.openxmlformats.org/officeDocument/2006/relationships/queryTable" Target="../queryTables/queryTable227.xml"/><Relationship Id="rId285" Type="http://schemas.openxmlformats.org/officeDocument/2006/relationships/queryTable" Target="../queryTables/queryTable269.xml"/><Relationship Id="rId450" Type="http://schemas.openxmlformats.org/officeDocument/2006/relationships/queryTable" Target="../queryTables/queryTable434.xml"/><Relationship Id="rId506" Type="http://schemas.openxmlformats.org/officeDocument/2006/relationships/queryTable" Target="../queryTables/queryTable490.xml"/><Relationship Id="rId688" Type="http://schemas.openxmlformats.org/officeDocument/2006/relationships/queryTable" Target="../queryTables/queryTable672.xml"/><Relationship Id="rId38" Type="http://schemas.openxmlformats.org/officeDocument/2006/relationships/queryTable" Target="../queryTables/queryTable22.xml"/><Relationship Id="rId103" Type="http://schemas.openxmlformats.org/officeDocument/2006/relationships/queryTable" Target="../queryTables/queryTable87.xml"/><Relationship Id="rId310" Type="http://schemas.openxmlformats.org/officeDocument/2006/relationships/queryTable" Target="../queryTables/queryTable294.xml"/><Relationship Id="rId492" Type="http://schemas.openxmlformats.org/officeDocument/2006/relationships/queryTable" Target="../queryTables/queryTable476.xml"/><Relationship Id="rId548" Type="http://schemas.openxmlformats.org/officeDocument/2006/relationships/queryTable" Target="../queryTables/queryTable532.xml"/><Relationship Id="rId91" Type="http://schemas.openxmlformats.org/officeDocument/2006/relationships/queryTable" Target="../queryTables/queryTable75.xml"/><Relationship Id="rId145" Type="http://schemas.openxmlformats.org/officeDocument/2006/relationships/queryTable" Target="../queryTables/queryTable129.xml"/><Relationship Id="rId187" Type="http://schemas.openxmlformats.org/officeDocument/2006/relationships/queryTable" Target="../queryTables/queryTable171.xml"/><Relationship Id="rId352" Type="http://schemas.openxmlformats.org/officeDocument/2006/relationships/queryTable" Target="../queryTables/queryTable336.xml"/><Relationship Id="rId394" Type="http://schemas.openxmlformats.org/officeDocument/2006/relationships/queryTable" Target="../queryTables/queryTable378.xml"/><Relationship Id="rId408" Type="http://schemas.openxmlformats.org/officeDocument/2006/relationships/queryTable" Target="../queryTables/queryTable392.xml"/><Relationship Id="rId615" Type="http://schemas.openxmlformats.org/officeDocument/2006/relationships/queryTable" Target="../queryTables/queryTable599.xml"/><Relationship Id="rId212" Type="http://schemas.openxmlformats.org/officeDocument/2006/relationships/queryTable" Target="../queryTables/queryTable196.xml"/><Relationship Id="rId254" Type="http://schemas.openxmlformats.org/officeDocument/2006/relationships/queryTable" Target="../queryTables/queryTable238.xml"/><Relationship Id="rId657" Type="http://schemas.openxmlformats.org/officeDocument/2006/relationships/queryTable" Target="../queryTables/queryTable641.xml"/><Relationship Id="rId699" Type="http://schemas.openxmlformats.org/officeDocument/2006/relationships/queryTable" Target="../queryTables/queryTable683.xml"/><Relationship Id="rId49" Type="http://schemas.openxmlformats.org/officeDocument/2006/relationships/queryTable" Target="../queryTables/queryTable33.xml"/><Relationship Id="rId114" Type="http://schemas.openxmlformats.org/officeDocument/2006/relationships/queryTable" Target="../queryTables/queryTable98.xml"/><Relationship Id="rId296" Type="http://schemas.openxmlformats.org/officeDocument/2006/relationships/queryTable" Target="../queryTables/queryTable280.xml"/><Relationship Id="rId461" Type="http://schemas.openxmlformats.org/officeDocument/2006/relationships/queryTable" Target="../queryTables/queryTable445.xml"/><Relationship Id="rId517" Type="http://schemas.openxmlformats.org/officeDocument/2006/relationships/queryTable" Target="../queryTables/queryTable501.xml"/><Relationship Id="rId559" Type="http://schemas.openxmlformats.org/officeDocument/2006/relationships/queryTable" Target="../queryTables/queryTable543.xml"/><Relationship Id="rId60" Type="http://schemas.openxmlformats.org/officeDocument/2006/relationships/queryTable" Target="../queryTables/queryTable44.xml"/><Relationship Id="rId156" Type="http://schemas.openxmlformats.org/officeDocument/2006/relationships/queryTable" Target="../queryTables/queryTable140.xml"/><Relationship Id="rId198" Type="http://schemas.openxmlformats.org/officeDocument/2006/relationships/queryTable" Target="../queryTables/queryTable182.xml"/><Relationship Id="rId321" Type="http://schemas.openxmlformats.org/officeDocument/2006/relationships/queryTable" Target="../queryTables/queryTable305.xml"/><Relationship Id="rId363" Type="http://schemas.openxmlformats.org/officeDocument/2006/relationships/queryTable" Target="../queryTables/queryTable347.xml"/><Relationship Id="rId419" Type="http://schemas.openxmlformats.org/officeDocument/2006/relationships/queryTable" Target="../queryTables/queryTable403.xml"/><Relationship Id="rId570" Type="http://schemas.openxmlformats.org/officeDocument/2006/relationships/queryTable" Target="../queryTables/queryTable554.xml"/><Relationship Id="rId626" Type="http://schemas.openxmlformats.org/officeDocument/2006/relationships/queryTable" Target="../queryTables/queryTable610.xml"/><Relationship Id="rId223" Type="http://schemas.openxmlformats.org/officeDocument/2006/relationships/queryTable" Target="../queryTables/queryTable207.xml"/><Relationship Id="rId430" Type="http://schemas.openxmlformats.org/officeDocument/2006/relationships/queryTable" Target="../queryTables/queryTable414.xml"/><Relationship Id="rId668" Type="http://schemas.openxmlformats.org/officeDocument/2006/relationships/queryTable" Target="../queryTables/queryTable652.xml"/><Relationship Id="rId18" Type="http://schemas.openxmlformats.org/officeDocument/2006/relationships/queryTable" Target="../queryTables/queryTable2.xml"/><Relationship Id="rId265" Type="http://schemas.openxmlformats.org/officeDocument/2006/relationships/queryTable" Target="../queryTables/queryTable249.xml"/><Relationship Id="rId472" Type="http://schemas.openxmlformats.org/officeDocument/2006/relationships/queryTable" Target="../queryTables/queryTable456.xml"/><Relationship Id="rId528" Type="http://schemas.openxmlformats.org/officeDocument/2006/relationships/queryTable" Target="../queryTables/queryTable512.xml"/><Relationship Id="rId125" Type="http://schemas.openxmlformats.org/officeDocument/2006/relationships/queryTable" Target="../queryTables/queryTable109.xml"/><Relationship Id="rId167" Type="http://schemas.openxmlformats.org/officeDocument/2006/relationships/queryTable" Target="../queryTables/queryTable151.xml"/><Relationship Id="rId332" Type="http://schemas.openxmlformats.org/officeDocument/2006/relationships/queryTable" Target="../queryTables/queryTable316.xml"/><Relationship Id="rId374" Type="http://schemas.openxmlformats.org/officeDocument/2006/relationships/queryTable" Target="../queryTables/queryTable358.xml"/><Relationship Id="rId581" Type="http://schemas.openxmlformats.org/officeDocument/2006/relationships/queryTable" Target="../queryTables/queryTable565.xml"/><Relationship Id="rId71" Type="http://schemas.openxmlformats.org/officeDocument/2006/relationships/queryTable" Target="../queryTables/queryTable55.xml"/><Relationship Id="rId234" Type="http://schemas.openxmlformats.org/officeDocument/2006/relationships/queryTable" Target="../queryTables/queryTable218.xml"/><Relationship Id="rId637" Type="http://schemas.openxmlformats.org/officeDocument/2006/relationships/queryTable" Target="../queryTables/queryTable621.xml"/><Relationship Id="rId679" Type="http://schemas.openxmlformats.org/officeDocument/2006/relationships/queryTable" Target="../queryTables/queryTable66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3.xml"/><Relationship Id="rId276" Type="http://schemas.openxmlformats.org/officeDocument/2006/relationships/queryTable" Target="../queryTables/queryTable260.xml"/><Relationship Id="rId441" Type="http://schemas.openxmlformats.org/officeDocument/2006/relationships/queryTable" Target="../queryTables/queryTable425.xml"/><Relationship Id="rId483" Type="http://schemas.openxmlformats.org/officeDocument/2006/relationships/queryTable" Target="../queryTables/queryTable467.xml"/><Relationship Id="rId539" Type="http://schemas.openxmlformats.org/officeDocument/2006/relationships/queryTable" Target="../queryTables/queryTable523.xml"/><Relationship Id="rId690" Type="http://schemas.openxmlformats.org/officeDocument/2006/relationships/queryTable" Target="../queryTables/queryTable674.xml"/><Relationship Id="rId704" Type="http://schemas.openxmlformats.org/officeDocument/2006/relationships/queryTable" Target="../queryTables/queryTable688.xml"/><Relationship Id="rId40" Type="http://schemas.openxmlformats.org/officeDocument/2006/relationships/queryTable" Target="../queryTables/queryTable24.xml"/><Relationship Id="rId136" Type="http://schemas.openxmlformats.org/officeDocument/2006/relationships/queryTable" Target="../queryTables/queryTable120.xml"/><Relationship Id="rId178" Type="http://schemas.openxmlformats.org/officeDocument/2006/relationships/queryTable" Target="../queryTables/queryTable162.xml"/><Relationship Id="rId301" Type="http://schemas.openxmlformats.org/officeDocument/2006/relationships/queryTable" Target="../queryTables/queryTable285.xml"/><Relationship Id="rId343" Type="http://schemas.openxmlformats.org/officeDocument/2006/relationships/queryTable" Target="../queryTables/queryTable327.xml"/><Relationship Id="rId550" Type="http://schemas.openxmlformats.org/officeDocument/2006/relationships/queryTable" Target="../queryTables/queryTable534.xml"/><Relationship Id="rId82" Type="http://schemas.openxmlformats.org/officeDocument/2006/relationships/queryTable" Target="../queryTables/queryTable66.xml"/><Relationship Id="rId203" Type="http://schemas.openxmlformats.org/officeDocument/2006/relationships/queryTable" Target="../queryTables/queryTable187.xml"/><Relationship Id="rId385" Type="http://schemas.openxmlformats.org/officeDocument/2006/relationships/queryTable" Target="../queryTables/queryTable369.xml"/><Relationship Id="rId592" Type="http://schemas.openxmlformats.org/officeDocument/2006/relationships/queryTable" Target="../queryTables/queryTable576.xml"/><Relationship Id="rId606" Type="http://schemas.openxmlformats.org/officeDocument/2006/relationships/queryTable" Target="../queryTables/queryTable590.xml"/><Relationship Id="rId648" Type="http://schemas.openxmlformats.org/officeDocument/2006/relationships/queryTable" Target="../queryTables/queryTable632.xml"/><Relationship Id="rId19" Type="http://schemas.openxmlformats.org/officeDocument/2006/relationships/queryTable" Target="../queryTables/queryTable3.xml"/><Relationship Id="rId224" Type="http://schemas.openxmlformats.org/officeDocument/2006/relationships/queryTable" Target="../queryTables/queryTable208.xml"/><Relationship Id="rId245" Type="http://schemas.openxmlformats.org/officeDocument/2006/relationships/queryTable" Target="../queryTables/queryTable229.xml"/><Relationship Id="rId266" Type="http://schemas.openxmlformats.org/officeDocument/2006/relationships/queryTable" Target="../queryTables/queryTable250.xml"/><Relationship Id="rId287" Type="http://schemas.openxmlformats.org/officeDocument/2006/relationships/queryTable" Target="../queryTables/queryTable271.xml"/><Relationship Id="rId410" Type="http://schemas.openxmlformats.org/officeDocument/2006/relationships/queryTable" Target="../queryTables/queryTable394.xml"/><Relationship Id="rId431" Type="http://schemas.openxmlformats.org/officeDocument/2006/relationships/queryTable" Target="../queryTables/queryTable415.xml"/><Relationship Id="rId452" Type="http://schemas.openxmlformats.org/officeDocument/2006/relationships/queryTable" Target="../queryTables/queryTable436.xml"/><Relationship Id="rId473" Type="http://schemas.openxmlformats.org/officeDocument/2006/relationships/queryTable" Target="../queryTables/queryTable457.xml"/><Relationship Id="rId494" Type="http://schemas.openxmlformats.org/officeDocument/2006/relationships/queryTable" Target="../queryTables/queryTable478.xml"/><Relationship Id="rId508" Type="http://schemas.openxmlformats.org/officeDocument/2006/relationships/queryTable" Target="../queryTables/queryTable492.xml"/><Relationship Id="rId529" Type="http://schemas.openxmlformats.org/officeDocument/2006/relationships/queryTable" Target="../queryTables/queryTable513.xml"/><Relationship Id="rId680" Type="http://schemas.openxmlformats.org/officeDocument/2006/relationships/queryTable" Target="../queryTables/queryTable664.xml"/><Relationship Id="rId30" Type="http://schemas.openxmlformats.org/officeDocument/2006/relationships/queryTable" Target="../queryTables/queryTable14.xml"/><Relationship Id="rId105" Type="http://schemas.openxmlformats.org/officeDocument/2006/relationships/queryTable" Target="../queryTables/queryTable89.xml"/><Relationship Id="rId126" Type="http://schemas.openxmlformats.org/officeDocument/2006/relationships/queryTable" Target="../queryTables/queryTable110.xml"/><Relationship Id="rId147" Type="http://schemas.openxmlformats.org/officeDocument/2006/relationships/queryTable" Target="../queryTables/queryTable131.xml"/><Relationship Id="rId168" Type="http://schemas.openxmlformats.org/officeDocument/2006/relationships/queryTable" Target="../queryTables/queryTable152.xml"/><Relationship Id="rId312" Type="http://schemas.openxmlformats.org/officeDocument/2006/relationships/queryTable" Target="../queryTables/queryTable296.xml"/><Relationship Id="rId333" Type="http://schemas.openxmlformats.org/officeDocument/2006/relationships/queryTable" Target="../queryTables/queryTable317.xml"/><Relationship Id="rId354" Type="http://schemas.openxmlformats.org/officeDocument/2006/relationships/queryTable" Target="../queryTables/queryTable338.xml"/><Relationship Id="rId540" Type="http://schemas.openxmlformats.org/officeDocument/2006/relationships/queryTable" Target="../queryTables/queryTable524.xml"/><Relationship Id="rId51" Type="http://schemas.openxmlformats.org/officeDocument/2006/relationships/queryTable" Target="../queryTables/queryTable35.xml"/><Relationship Id="rId72" Type="http://schemas.openxmlformats.org/officeDocument/2006/relationships/queryTable" Target="../queryTables/queryTable56.xml"/><Relationship Id="rId93" Type="http://schemas.openxmlformats.org/officeDocument/2006/relationships/queryTable" Target="../queryTables/queryTable77.xml"/><Relationship Id="rId189" Type="http://schemas.openxmlformats.org/officeDocument/2006/relationships/queryTable" Target="../queryTables/queryTable173.xml"/><Relationship Id="rId375" Type="http://schemas.openxmlformats.org/officeDocument/2006/relationships/queryTable" Target="../queryTables/queryTable359.xml"/><Relationship Id="rId396" Type="http://schemas.openxmlformats.org/officeDocument/2006/relationships/queryTable" Target="../queryTables/queryTable380.xml"/><Relationship Id="rId561" Type="http://schemas.openxmlformats.org/officeDocument/2006/relationships/queryTable" Target="../queryTables/queryTable545.xml"/><Relationship Id="rId582" Type="http://schemas.openxmlformats.org/officeDocument/2006/relationships/queryTable" Target="../queryTables/queryTable566.xml"/><Relationship Id="rId617" Type="http://schemas.openxmlformats.org/officeDocument/2006/relationships/queryTable" Target="../queryTables/queryTable601.xml"/><Relationship Id="rId638" Type="http://schemas.openxmlformats.org/officeDocument/2006/relationships/queryTable" Target="../queryTables/queryTable622.xml"/><Relationship Id="rId659" Type="http://schemas.openxmlformats.org/officeDocument/2006/relationships/queryTable" Target="../queryTables/queryTable643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8.xml"/><Relationship Id="rId235" Type="http://schemas.openxmlformats.org/officeDocument/2006/relationships/queryTable" Target="../queryTables/queryTable219.xml"/><Relationship Id="rId256" Type="http://schemas.openxmlformats.org/officeDocument/2006/relationships/queryTable" Target="../queryTables/queryTable240.xml"/><Relationship Id="rId277" Type="http://schemas.openxmlformats.org/officeDocument/2006/relationships/queryTable" Target="../queryTables/queryTable261.xml"/><Relationship Id="rId298" Type="http://schemas.openxmlformats.org/officeDocument/2006/relationships/queryTable" Target="../queryTables/queryTable282.xml"/><Relationship Id="rId400" Type="http://schemas.openxmlformats.org/officeDocument/2006/relationships/queryTable" Target="../queryTables/queryTable384.xml"/><Relationship Id="rId421" Type="http://schemas.openxmlformats.org/officeDocument/2006/relationships/queryTable" Target="../queryTables/queryTable405.xml"/><Relationship Id="rId442" Type="http://schemas.openxmlformats.org/officeDocument/2006/relationships/queryTable" Target="../queryTables/queryTable426.xml"/><Relationship Id="rId463" Type="http://schemas.openxmlformats.org/officeDocument/2006/relationships/queryTable" Target="../queryTables/queryTable447.xml"/><Relationship Id="rId484" Type="http://schemas.openxmlformats.org/officeDocument/2006/relationships/queryTable" Target="../queryTables/queryTable468.xml"/><Relationship Id="rId519" Type="http://schemas.openxmlformats.org/officeDocument/2006/relationships/queryTable" Target="../queryTables/queryTable503.xml"/><Relationship Id="rId670" Type="http://schemas.openxmlformats.org/officeDocument/2006/relationships/queryTable" Target="../queryTables/queryTable654.xml"/><Relationship Id="rId116" Type="http://schemas.openxmlformats.org/officeDocument/2006/relationships/queryTable" Target="../queryTables/queryTable100.xml"/><Relationship Id="rId137" Type="http://schemas.openxmlformats.org/officeDocument/2006/relationships/queryTable" Target="../queryTables/queryTable121.xml"/><Relationship Id="rId158" Type="http://schemas.openxmlformats.org/officeDocument/2006/relationships/queryTable" Target="../queryTables/queryTable142.xml"/><Relationship Id="rId302" Type="http://schemas.openxmlformats.org/officeDocument/2006/relationships/queryTable" Target="../queryTables/queryTable286.xml"/><Relationship Id="rId323" Type="http://schemas.openxmlformats.org/officeDocument/2006/relationships/queryTable" Target="../queryTables/queryTable307.xml"/><Relationship Id="rId344" Type="http://schemas.openxmlformats.org/officeDocument/2006/relationships/queryTable" Target="../queryTables/queryTable328.xml"/><Relationship Id="rId530" Type="http://schemas.openxmlformats.org/officeDocument/2006/relationships/queryTable" Target="../queryTables/queryTable514.xml"/><Relationship Id="rId691" Type="http://schemas.openxmlformats.org/officeDocument/2006/relationships/queryTable" Target="../queryTables/queryTable675.xml"/><Relationship Id="rId20" Type="http://schemas.openxmlformats.org/officeDocument/2006/relationships/queryTable" Target="../queryTables/queryTable4.xml"/><Relationship Id="rId41" Type="http://schemas.openxmlformats.org/officeDocument/2006/relationships/queryTable" Target="../queryTables/queryTable25.xml"/><Relationship Id="rId62" Type="http://schemas.openxmlformats.org/officeDocument/2006/relationships/queryTable" Target="../queryTables/queryTable46.xml"/><Relationship Id="rId83" Type="http://schemas.openxmlformats.org/officeDocument/2006/relationships/queryTable" Target="../queryTables/queryTable67.xml"/><Relationship Id="rId179" Type="http://schemas.openxmlformats.org/officeDocument/2006/relationships/queryTable" Target="../queryTables/queryTable163.xml"/><Relationship Id="rId365" Type="http://schemas.openxmlformats.org/officeDocument/2006/relationships/queryTable" Target="../queryTables/queryTable349.xml"/><Relationship Id="rId386" Type="http://schemas.openxmlformats.org/officeDocument/2006/relationships/queryTable" Target="../queryTables/queryTable370.xml"/><Relationship Id="rId551" Type="http://schemas.openxmlformats.org/officeDocument/2006/relationships/queryTable" Target="../queryTables/queryTable535.xml"/><Relationship Id="rId572" Type="http://schemas.openxmlformats.org/officeDocument/2006/relationships/queryTable" Target="../queryTables/queryTable556.xml"/><Relationship Id="rId593" Type="http://schemas.openxmlformats.org/officeDocument/2006/relationships/queryTable" Target="../queryTables/queryTable577.xml"/><Relationship Id="rId607" Type="http://schemas.openxmlformats.org/officeDocument/2006/relationships/queryTable" Target="../queryTables/queryTable591.xml"/><Relationship Id="rId628" Type="http://schemas.openxmlformats.org/officeDocument/2006/relationships/queryTable" Target="../queryTables/queryTable612.xml"/><Relationship Id="rId649" Type="http://schemas.openxmlformats.org/officeDocument/2006/relationships/queryTable" Target="../queryTables/queryTable633.xml"/><Relationship Id="rId190" Type="http://schemas.openxmlformats.org/officeDocument/2006/relationships/queryTable" Target="../queryTables/queryTable174.xml"/><Relationship Id="rId204" Type="http://schemas.openxmlformats.org/officeDocument/2006/relationships/queryTable" Target="../queryTables/queryTable188.xml"/><Relationship Id="rId225" Type="http://schemas.openxmlformats.org/officeDocument/2006/relationships/queryTable" Target="../queryTables/queryTable209.xml"/><Relationship Id="rId246" Type="http://schemas.openxmlformats.org/officeDocument/2006/relationships/queryTable" Target="../queryTables/queryTable230.xml"/><Relationship Id="rId267" Type="http://schemas.openxmlformats.org/officeDocument/2006/relationships/queryTable" Target="../queryTables/queryTable251.xml"/><Relationship Id="rId288" Type="http://schemas.openxmlformats.org/officeDocument/2006/relationships/queryTable" Target="../queryTables/queryTable272.xml"/><Relationship Id="rId411" Type="http://schemas.openxmlformats.org/officeDocument/2006/relationships/queryTable" Target="../queryTables/queryTable395.xml"/><Relationship Id="rId432" Type="http://schemas.openxmlformats.org/officeDocument/2006/relationships/queryTable" Target="../queryTables/queryTable416.xml"/><Relationship Id="rId453" Type="http://schemas.openxmlformats.org/officeDocument/2006/relationships/queryTable" Target="../queryTables/queryTable437.xml"/><Relationship Id="rId474" Type="http://schemas.openxmlformats.org/officeDocument/2006/relationships/queryTable" Target="../queryTables/queryTable458.xml"/><Relationship Id="rId509" Type="http://schemas.openxmlformats.org/officeDocument/2006/relationships/queryTable" Target="../queryTables/queryTable493.xml"/><Relationship Id="rId660" Type="http://schemas.openxmlformats.org/officeDocument/2006/relationships/queryTable" Target="../queryTables/queryTable644.xml"/><Relationship Id="rId106" Type="http://schemas.openxmlformats.org/officeDocument/2006/relationships/queryTable" Target="../queryTables/queryTable90.xml"/><Relationship Id="rId127" Type="http://schemas.openxmlformats.org/officeDocument/2006/relationships/queryTable" Target="../queryTables/queryTable111.xml"/><Relationship Id="rId313" Type="http://schemas.openxmlformats.org/officeDocument/2006/relationships/queryTable" Target="../queryTables/queryTable297.xml"/><Relationship Id="rId495" Type="http://schemas.openxmlformats.org/officeDocument/2006/relationships/queryTable" Target="../queryTables/queryTable479.xml"/><Relationship Id="rId681" Type="http://schemas.openxmlformats.org/officeDocument/2006/relationships/queryTable" Target="../queryTables/queryTable665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5.xml"/><Relationship Id="rId52" Type="http://schemas.openxmlformats.org/officeDocument/2006/relationships/queryTable" Target="../queryTables/queryTable36.xml"/><Relationship Id="rId73" Type="http://schemas.openxmlformats.org/officeDocument/2006/relationships/queryTable" Target="../queryTables/queryTable57.xml"/><Relationship Id="rId94" Type="http://schemas.openxmlformats.org/officeDocument/2006/relationships/queryTable" Target="../queryTables/queryTable78.xml"/><Relationship Id="rId148" Type="http://schemas.openxmlformats.org/officeDocument/2006/relationships/queryTable" Target="../queryTables/queryTable132.xml"/><Relationship Id="rId169" Type="http://schemas.openxmlformats.org/officeDocument/2006/relationships/queryTable" Target="../queryTables/queryTable153.xml"/><Relationship Id="rId334" Type="http://schemas.openxmlformats.org/officeDocument/2006/relationships/queryTable" Target="../queryTables/queryTable318.xml"/><Relationship Id="rId355" Type="http://schemas.openxmlformats.org/officeDocument/2006/relationships/queryTable" Target="../queryTables/queryTable339.xml"/><Relationship Id="rId376" Type="http://schemas.openxmlformats.org/officeDocument/2006/relationships/queryTable" Target="../queryTables/queryTable360.xml"/><Relationship Id="rId397" Type="http://schemas.openxmlformats.org/officeDocument/2006/relationships/queryTable" Target="../queryTables/queryTable381.xml"/><Relationship Id="rId520" Type="http://schemas.openxmlformats.org/officeDocument/2006/relationships/queryTable" Target="../queryTables/queryTable504.xml"/><Relationship Id="rId541" Type="http://schemas.openxmlformats.org/officeDocument/2006/relationships/queryTable" Target="../queryTables/queryTable525.xml"/><Relationship Id="rId562" Type="http://schemas.openxmlformats.org/officeDocument/2006/relationships/queryTable" Target="../queryTables/queryTable546.xml"/><Relationship Id="rId583" Type="http://schemas.openxmlformats.org/officeDocument/2006/relationships/queryTable" Target="../queryTables/queryTable567.xml"/><Relationship Id="rId618" Type="http://schemas.openxmlformats.org/officeDocument/2006/relationships/queryTable" Target="../queryTables/queryTable602.xml"/><Relationship Id="rId639" Type="http://schemas.openxmlformats.org/officeDocument/2006/relationships/queryTable" Target="../queryTables/queryTable623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4.xml"/><Relationship Id="rId215" Type="http://schemas.openxmlformats.org/officeDocument/2006/relationships/queryTable" Target="../queryTables/queryTable199.xml"/><Relationship Id="rId236" Type="http://schemas.openxmlformats.org/officeDocument/2006/relationships/queryTable" Target="../queryTables/queryTable220.xml"/><Relationship Id="rId257" Type="http://schemas.openxmlformats.org/officeDocument/2006/relationships/queryTable" Target="../queryTables/queryTable241.xml"/><Relationship Id="rId278" Type="http://schemas.openxmlformats.org/officeDocument/2006/relationships/queryTable" Target="../queryTables/queryTable262.xml"/><Relationship Id="rId401" Type="http://schemas.openxmlformats.org/officeDocument/2006/relationships/queryTable" Target="../queryTables/queryTable385.xml"/><Relationship Id="rId422" Type="http://schemas.openxmlformats.org/officeDocument/2006/relationships/queryTable" Target="../queryTables/queryTable406.xml"/><Relationship Id="rId443" Type="http://schemas.openxmlformats.org/officeDocument/2006/relationships/queryTable" Target="../queryTables/queryTable427.xml"/><Relationship Id="rId464" Type="http://schemas.openxmlformats.org/officeDocument/2006/relationships/queryTable" Target="../queryTables/queryTable448.xml"/><Relationship Id="rId650" Type="http://schemas.openxmlformats.org/officeDocument/2006/relationships/queryTable" Target="../queryTables/queryTable634.xml"/><Relationship Id="rId303" Type="http://schemas.openxmlformats.org/officeDocument/2006/relationships/queryTable" Target="../queryTables/queryTable287.xml"/><Relationship Id="rId485" Type="http://schemas.openxmlformats.org/officeDocument/2006/relationships/queryTable" Target="../queryTables/queryTable469.xml"/><Relationship Id="rId692" Type="http://schemas.openxmlformats.org/officeDocument/2006/relationships/queryTable" Target="../queryTables/queryTable676.xml"/><Relationship Id="rId42" Type="http://schemas.openxmlformats.org/officeDocument/2006/relationships/queryTable" Target="../queryTables/queryTable26.xml"/><Relationship Id="rId84" Type="http://schemas.openxmlformats.org/officeDocument/2006/relationships/queryTable" Target="../queryTables/queryTable68.xml"/><Relationship Id="rId138" Type="http://schemas.openxmlformats.org/officeDocument/2006/relationships/queryTable" Target="../queryTables/queryTable122.xml"/><Relationship Id="rId345" Type="http://schemas.openxmlformats.org/officeDocument/2006/relationships/queryTable" Target="../queryTables/queryTable329.xml"/><Relationship Id="rId387" Type="http://schemas.openxmlformats.org/officeDocument/2006/relationships/queryTable" Target="../queryTables/queryTable371.xml"/><Relationship Id="rId510" Type="http://schemas.openxmlformats.org/officeDocument/2006/relationships/queryTable" Target="../queryTables/queryTable494.xml"/><Relationship Id="rId552" Type="http://schemas.openxmlformats.org/officeDocument/2006/relationships/queryTable" Target="../queryTables/queryTable536.xml"/><Relationship Id="rId594" Type="http://schemas.openxmlformats.org/officeDocument/2006/relationships/queryTable" Target="../queryTables/queryTable578.xml"/><Relationship Id="rId608" Type="http://schemas.openxmlformats.org/officeDocument/2006/relationships/queryTable" Target="../queryTables/queryTable592.xml"/><Relationship Id="rId191" Type="http://schemas.openxmlformats.org/officeDocument/2006/relationships/queryTable" Target="../queryTables/queryTable175.xml"/><Relationship Id="rId205" Type="http://schemas.openxmlformats.org/officeDocument/2006/relationships/queryTable" Target="../queryTables/queryTable189.xml"/><Relationship Id="rId247" Type="http://schemas.openxmlformats.org/officeDocument/2006/relationships/queryTable" Target="../queryTables/queryTable231.xml"/><Relationship Id="rId412" Type="http://schemas.openxmlformats.org/officeDocument/2006/relationships/queryTable" Target="../queryTables/queryTable396.xml"/><Relationship Id="rId107" Type="http://schemas.openxmlformats.org/officeDocument/2006/relationships/queryTable" Target="../queryTables/queryTable91.xml"/><Relationship Id="rId289" Type="http://schemas.openxmlformats.org/officeDocument/2006/relationships/queryTable" Target="../queryTables/queryTable273.xml"/><Relationship Id="rId454" Type="http://schemas.openxmlformats.org/officeDocument/2006/relationships/queryTable" Target="../queryTables/queryTable438.xml"/><Relationship Id="rId496" Type="http://schemas.openxmlformats.org/officeDocument/2006/relationships/queryTable" Target="../queryTables/queryTable480.xml"/><Relationship Id="rId661" Type="http://schemas.openxmlformats.org/officeDocument/2006/relationships/queryTable" Target="../queryTables/queryTable645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7.xml"/><Relationship Id="rId149" Type="http://schemas.openxmlformats.org/officeDocument/2006/relationships/queryTable" Target="../queryTables/queryTable133.xml"/><Relationship Id="rId314" Type="http://schemas.openxmlformats.org/officeDocument/2006/relationships/queryTable" Target="../queryTables/queryTable298.xml"/><Relationship Id="rId356" Type="http://schemas.openxmlformats.org/officeDocument/2006/relationships/queryTable" Target="../queryTables/queryTable340.xml"/><Relationship Id="rId398" Type="http://schemas.openxmlformats.org/officeDocument/2006/relationships/queryTable" Target="../queryTables/queryTable382.xml"/><Relationship Id="rId521" Type="http://schemas.openxmlformats.org/officeDocument/2006/relationships/queryTable" Target="../queryTables/queryTable505.xml"/><Relationship Id="rId563" Type="http://schemas.openxmlformats.org/officeDocument/2006/relationships/queryTable" Target="../queryTables/queryTable547.xml"/><Relationship Id="rId619" Type="http://schemas.openxmlformats.org/officeDocument/2006/relationships/queryTable" Target="../queryTables/queryTable603.xml"/><Relationship Id="rId95" Type="http://schemas.openxmlformats.org/officeDocument/2006/relationships/queryTable" Target="../queryTables/queryTable79.xml"/><Relationship Id="rId160" Type="http://schemas.openxmlformats.org/officeDocument/2006/relationships/queryTable" Target="../queryTables/queryTable144.xml"/><Relationship Id="rId216" Type="http://schemas.openxmlformats.org/officeDocument/2006/relationships/queryTable" Target="../queryTables/queryTable200.xml"/><Relationship Id="rId423" Type="http://schemas.openxmlformats.org/officeDocument/2006/relationships/queryTable" Target="../queryTables/queryTable407.xml"/><Relationship Id="rId258" Type="http://schemas.openxmlformats.org/officeDocument/2006/relationships/queryTable" Target="../queryTables/queryTable242.xml"/><Relationship Id="rId465" Type="http://schemas.openxmlformats.org/officeDocument/2006/relationships/queryTable" Target="../queryTables/queryTable449.xml"/><Relationship Id="rId630" Type="http://schemas.openxmlformats.org/officeDocument/2006/relationships/queryTable" Target="../queryTables/queryTable614.xml"/><Relationship Id="rId672" Type="http://schemas.openxmlformats.org/officeDocument/2006/relationships/queryTable" Target="../queryTables/queryTable656.xml"/><Relationship Id="rId22" Type="http://schemas.openxmlformats.org/officeDocument/2006/relationships/queryTable" Target="../queryTables/queryTable6.xml"/><Relationship Id="rId64" Type="http://schemas.openxmlformats.org/officeDocument/2006/relationships/queryTable" Target="../queryTables/queryTable48.xml"/><Relationship Id="rId118" Type="http://schemas.openxmlformats.org/officeDocument/2006/relationships/queryTable" Target="../queryTables/queryTable102.xml"/><Relationship Id="rId325" Type="http://schemas.openxmlformats.org/officeDocument/2006/relationships/queryTable" Target="../queryTables/queryTable309.xml"/><Relationship Id="rId367" Type="http://schemas.openxmlformats.org/officeDocument/2006/relationships/queryTable" Target="../queryTables/queryTable351.xml"/><Relationship Id="rId532" Type="http://schemas.openxmlformats.org/officeDocument/2006/relationships/queryTable" Target="../queryTables/queryTable516.xml"/><Relationship Id="rId574" Type="http://schemas.openxmlformats.org/officeDocument/2006/relationships/queryTable" Target="../queryTables/queryTable558.xml"/><Relationship Id="rId171" Type="http://schemas.openxmlformats.org/officeDocument/2006/relationships/queryTable" Target="../queryTables/queryTable155.xml"/><Relationship Id="rId227" Type="http://schemas.openxmlformats.org/officeDocument/2006/relationships/queryTable" Target="../queryTables/queryTable211.xml"/><Relationship Id="rId269" Type="http://schemas.openxmlformats.org/officeDocument/2006/relationships/queryTable" Target="../queryTables/queryTable253.xml"/><Relationship Id="rId434" Type="http://schemas.openxmlformats.org/officeDocument/2006/relationships/queryTable" Target="../queryTables/queryTable418.xml"/><Relationship Id="rId476" Type="http://schemas.openxmlformats.org/officeDocument/2006/relationships/queryTable" Target="../queryTables/queryTable460.xml"/><Relationship Id="rId641" Type="http://schemas.openxmlformats.org/officeDocument/2006/relationships/queryTable" Target="../queryTables/queryTable625.xml"/><Relationship Id="rId683" Type="http://schemas.openxmlformats.org/officeDocument/2006/relationships/queryTable" Target="../queryTables/queryTable667.xml"/><Relationship Id="rId33" Type="http://schemas.openxmlformats.org/officeDocument/2006/relationships/queryTable" Target="../queryTables/queryTable17.xml"/><Relationship Id="rId129" Type="http://schemas.openxmlformats.org/officeDocument/2006/relationships/queryTable" Target="../queryTables/queryTable113.xml"/><Relationship Id="rId280" Type="http://schemas.openxmlformats.org/officeDocument/2006/relationships/queryTable" Target="../queryTables/queryTable264.xml"/><Relationship Id="rId336" Type="http://schemas.openxmlformats.org/officeDocument/2006/relationships/queryTable" Target="../queryTables/queryTable320.xml"/><Relationship Id="rId501" Type="http://schemas.openxmlformats.org/officeDocument/2006/relationships/queryTable" Target="../queryTables/queryTable485.xml"/><Relationship Id="rId543" Type="http://schemas.openxmlformats.org/officeDocument/2006/relationships/queryTable" Target="../queryTables/queryTable527.xml"/><Relationship Id="rId75" Type="http://schemas.openxmlformats.org/officeDocument/2006/relationships/queryTable" Target="../queryTables/queryTable59.xml"/><Relationship Id="rId140" Type="http://schemas.openxmlformats.org/officeDocument/2006/relationships/queryTable" Target="../queryTables/queryTable124.xml"/><Relationship Id="rId182" Type="http://schemas.openxmlformats.org/officeDocument/2006/relationships/queryTable" Target="../queryTables/queryTable166.xml"/><Relationship Id="rId378" Type="http://schemas.openxmlformats.org/officeDocument/2006/relationships/queryTable" Target="../queryTables/queryTable362.xml"/><Relationship Id="rId403" Type="http://schemas.openxmlformats.org/officeDocument/2006/relationships/queryTable" Target="../queryTables/queryTable387.xml"/><Relationship Id="rId585" Type="http://schemas.openxmlformats.org/officeDocument/2006/relationships/queryTable" Target="../queryTables/queryTable569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2.xml"/><Relationship Id="rId445" Type="http://schemas.openxmlformats.org/officeDocument/2006/relationships/queryTable" Target="../queryTables/queryTable429.xml"/><Relationship Id="rId487" Type="http://schemas.openxmlformats.org/officeDocument/2006/relationships/queryTable" Target="../queryTables/queryTable471.xml"/><Relationship Id="rId610" Type="http://schemas.openxmlformats.org/officeDocument/2006/relationships/queryTable" Target="../queryTables/queryTable594.xml"/><Relationship Id="rId652" Type="http://schemas.openxmlformats.org/officeDocument/2006/relationships/queryTable" Target="../queryTables/queryTable636.xml"/><Relationship Id="rId694" Type="http://schemas.openxmlformats.org/officeDocument/2006/relationships/queryTable" Target="../queryTables/queryTable678.xml"/><Relationship Id="rId291" Type="http://schemas.openxmlformats.org/officeDocument/2006/relationships/queryTable" Target="../queryTables/queryTable275.xml"/><Relationship Id="rId305" Type="http://schemas.openxmlformats.org/officeDocument/2006/relationships/queryTable" Target="../queryTables/queryTable289.xml"/><Relationship Id="rId347" Type="http://schemas.openxmlformats.org/officeDocument/2006/relationships/queryTable" Target="../queryTables/queryTable331.xml"/><Relationship Id="rId512" Type="http://schemas.openxmlformats.org/officeDocument/2006/relationships/queryTable" Target="../queryTables/queryTable496.xml"/><Relationship Id="rId44" Type="http://schemas.openxmlformats.org/officeDocument/2006/relationships/queryTable" Target="../queryTables/queryTable28.xml"/><Relationship Id="rId86" Type="http://schemas.openxmlformats.org/officeDocument/2006/relationships/queryTable" Target="../queryTables/queryTable70.xml"/><Relationship Id="rId151" Type="http://schemas.openxmlformats.org/officeDocument/2006/relationships/queryTable" Target="../queryTables/queryTable135.xml"/><Relationship Id="rId389" Type="http://schemas.openxmlformats.org/officeDocument/2006/relationships/queryTable" Target="../queryTables/queryTable373.xml"/><Relationship Id="rId554" Type="http://schemas.openxmlformats.org/officeDocument/2006/relationships/queryTable" Target="../queryTables/queryTable538.xml"/><Relationship Id="rId596" Type="http://schemas.openxmlformats.org/officeDocument/2006/relationships/queryTable" Target="../queryTables/queryTable580.xml"/><Relationship Id="rId193" Type="http://schemas.openxmlformats.org/officeDocument/2006/relationships/queryTable" Target="../queryTables/queryTable177.xml"/><Relationship Id="rId207" Type="http://schemas.openxmlformats.org/officeDocument/2006/relationships/queryTable" Target="../queryTables/queryTable191.xml"/><Relationship Id="rId249" Type="http://schemas.openxmlformats.org/officeDocument/2006/relationships/queryTable" Target="../queryTables/queryTable233.xml"/><Relationship Id="rId414" Type="http://schemas.openxmlformats.org/officeDocument/2006/relationships/queryTable" Target="../queryTables/queryTable398.xml"/><Relationship Id="rId456" Type="http://schemas.openxmlformats.org/officeDocument/2006/relationships/queryTable" Target="../queryTables/queryTable440.xml"/><Relationship Id="rId498" Type="http://schemas.openxmlformats.org/officeDocument/2006/relationships/queryTable" Target="../queryTables/queryTable482.xml"/><Relationship Id="rId621" Type="http://schemas.openxmlformats.org/officeDocument/2006/relationships/queryTable" Target="../queryTables/queryTable605.xml"/><Relationship Id="rId663" Type="http://schemas.openxmlformats.org/officeDocument/2006/relationships/queryTable" Target="../queryTables/queryTable647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3.xml"/><Relationship Id="rId260" Type="http://schemas.openxmlformats.org/officeDocument/2006/relationships/queryTable" Target="../queryTables/queryTable244.xml"/><Relationship Id="rId316" Type="http://schemas.openxmlformats.org/officeDocument/2006/relationships/queryTable" Target="../queryTables/queryTable300.xml"/><Relationship Id="rId523" Type="http://schemas.openxmlformats.org/officeDocument/2006/relationships/queryTable" Target="../queryTables/queryTable507.xml"/><Relationship Id="rId55" Type="http://schemas.openxmlformats.org/officeDocument/2006/relationships/queryTable" Target="../queryTables/queryTable39.xml"/><Relationship Id="rId97" Type="http://schemas.openxmlformats.org/officeDocument/2006/relationships/queryTable" Target="../queryTables/queryTable81.xml"/><Relationship Id="rId120" Type="http://schemas.openxmlformats.org/officeDocument/2006/relationships/queryTable" Target="../queryTables/queryTable104.xml"/><Relationship Id="rId358" Type="http://schemas.openxmlformats.org/officeDocument/2006/relationships/queryTable" Target="../queryTables/queryTable342.xml"/><Relationship Id="rId565" Type="http://schemas.openxmlformats.org/officeDocument/2006/relationships/queryTable" Target="../queryTables/queryTable549.xml"/><Relationship Id="rId162" Type="http://schemas.openxmlformats.org/officeDocument/2006/relationships/queryTable" Target="../queryTables/queryTable146.xml"/><Relationship Id="rId218" Type="http://schemas.openxmlformats.org/officeDocument/2006/relationships/queryTable" Target="../queryTables/queryTable202.xml"/><Relationship Id="rId425" Type="http://schemas.openxmlformats.org/officeDocument/2006/relationships/queryTable" Target="../queryTables/queryTable409.xml"/><Relationship Id="rId467" Type="http://schemas.openxmlformats.org/officeDocument/2006/relationships/queryTable" Target="../queryTables/queryTable451.xml"/><Relationship Id="rId632" Type="http://schemas.openxmlformats.org/officeDocument/2006/relationships/queryTable" Target="../queryTables/queryTable616.xml"/><Relationship Id="rId271" Type="http://schemas.openxmlformats.org/officeDocument/2006/relationships/queryTable" Target="../queryTables/queryTable255.xml"/><Relationship Id="rId674" Type="http://schemas.openxmlformats.org/officeDocument/2006/relationships/queryTable" Target="../queryTables/queryTable658.xml"/><Relationship Id="rId24" Type="http://schemas.openxmlformats.org/officeDocument/2006/relationships/queryTable" Target="../queryTables/queryTable8.xml"/><Relationship Id="rId66" Type="http://schemas.openxmlformats.org/officeDocument/2006/relationships/queryTable" Target="../queryTables/queryTable50.xml"/><Relationship Id="rId131" Type="http://schemas.openxmlformats.org/officeDocument/2006/relationships/queryTable" Target="../queryTables/queryTable115.xml"/><Relationship Id="rId327" Type="http://schemas.openxmlformats.org/officeDocument/2006/relationships/queryTable" Target="../queryTables/queryTable311.xml"/><Relationship Id="rId369" Type="http://schemas.openxmlformats.org/officeDocument/2006/relationships/queryTable" Target="../queryTables/queryTable353.xml"/><Relationship Id="rId534" Type="http://schemas.openxmlformats.org/officeDocument/2006/relationships/queryTable" Target="../queryTables/queryTable518.xml"/><Relationship Id="rId576" Type="http://schemas.openxmlformats.org/officeDocument/2006/relationships/queryTable" Target="../queryTables/queryTable560.xml"/><Relationship Id="rId173" Type="http://schemas.openxmlformats.org/officeDocument/2006/relationships/queryTable" Target="../queryTables/queryTable157.xml"/><Relationship Id="rId229" Type="http://schemas.openxmlformats.org/officeDocument/2006/relationships/queryTable" Target="../queryTables/queryTable213.xml"/><Relationship Id="rId380" Type="http://schemas.openxmlformats.org/officeDocument/2006/relationships/queryTable" Target="../queryTables/queryTable364.xml"/><Relationship Id="rId436" Type="http://schemas.openxmlformats.org/officeDocument/2006/relationships/queryTable" Target="../queryTables/queryTable420.xml"/><Relationship Id="rId601" Type="http://schemas.openxmlformats.org/officeDocument/2006/relationships/queryTable" Target="../queryTables/queryTable585.xml"/><Relationship Id="rId643" Type="http://schemas.openxmlformats.org/officeDocument/2006/relationships/queryTable" Target="../queryTables/queryTable627.xml"/><Relationship Id="rId240" Type="http://schemas.openxmlformats.org/officeDocument/2006/relationships/queryTable" Target="../queryTables/queryTable224.xml"/><Relationship Id="rId478" Type="http://schemas.openxmlformats.org/officeDocument/2006/relationships/queryTable" Target="../queryTables/queryTable462.xml"/><Relationship Id="rId685" Type="http://schemas.openxmlformats.org/officeDocument/2006/relationships/queryTable" Target="../queryTables/queryTable669.xml"/><Relationship Id="rId35" Type="http://schemas.openxmlformats.org/officeDocument/2006/relationships/queryTable" Target="../queryTables/queryTable19.xml"/><Relationship Id="rId77" Type="http://schemas.openxmlformats.org/officeDocument/2006/relationships/queryTable" Target="../queryTables/queryTable61.xml"/><Relationship Id="rId100" Type="http://schemas.openxmlformats.org/officeDocument/2006/relationships/queryTable" Target="../queryTables/queryTable84.xml"/><Relationship Id="rId282" Type="http://schemas.openxmlformats.org/officeDocument/2006/relationships/queryTable" Target="../queryTables/queryTable266.xml"/><Relationship Id="rId338" Type="http://schemas.openxmlformats.org/officeDocument/2006/relationships/queryTable" Target="../queryTables/queryTable322.xml"/><Relationship Id="rId503" Type="http://schemas.openxmlformats.org/officeDocument/2006/relationships/queryTable" Target="../queryTables/queryTable487.xml"/><Relationship Id="rId545" Type="http://schemas.openxmlformats.org/officeDocument/2006/relationships/queryTable" Target="../queryTables/queryTable529.xml"/><Relationship Id="rId587" Type="http://schemas.openxmlformats.org/officeDocument/2006/relationships/queryTable" Target="../queryTables/queryTable571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6.xml"/><Relationship Id="rId184" Type="http://schemas.openxmlformats.org/officeDocument/2006/relationships/queryTable" Target="../queryTables/queryTable168.xml"/><Relationship Id="rId391" Type="http://schemas.openxmlformats.org/officeDocument/2006/relationships/queryTable" Target="../queryTables/queryTable375.xml"/><Relationship Id="rId405" Type="http://schemas.openxmlformats.org/officeDocument/2006/relationships/queryTable" Target="../queryTables/queryTable389.xml"/><Relationship Id="rId447" Type="http://schemas.openxmlformats.org/officeDocument/2006/relationships/queryTable" Target="../queryTables/queryTable431.xml"/><Relationship Id="rId612" Type="http://schemas.openxmlformats.org/officeDocument/2006/relationships/queryTable" Target="../queryTables/queryTable596.xml"/><Relationship Id="rId251" Type="http://schemas.openxmlformats.org/officeDocument/2006/relationships/queryTable" Target="../queryTables/queryTable235.xml"/><Relationship Id="rId489" Type="http://schemas.openxmlformats.org/officeDocument/2006/relationships/queryTable" Target="../queryTables/queryTable473.xml"/><Relationship Id="rId654" Type="http://schemas.openxmlformats.org/officeDocument/2006/relationships/queryTable" Target="../queryTables/queryTable638.xml"/><Relationship Id="rId696" Type="http://schemas.openxmlformats.org/officeDocument/2006/relationships/queryTable" Target="../queryTables/queryTable680.xml"/><Relationship Id="rId46" Type="http://schemas.openxmlformats.org/officeDocument/2006/relationships/queryTable" Target="../queryTables/queryTable30.xml"/><Relationship Id="rId293" Type="http://schemas.openxmlformats.org/officeDocument/2006/relationships/queryTable" Target="../queryTables/queryTable277.xml"/><Relationship Id="rId307" Type="http://schemas.openxmlformats.org/officeDocument/2006/relationships/queryTable" Target="../queryTables/queryTable291.xml"/><Relationship Id="rId349" Type="http://schemas.openxmlformats.org/officeDocument/2006/relationships/queryTable" Target="../queryTables/queryTable333.xml"/><Relationship Id="rId514" Type="http://schemas.openxmlformats.org/officeDocument/2006/relationships/queryTable" Target="../queryTables/queryTable498.xml"/><Relationship Id="rId556" Type="http://schemas.openxmlformats.org/officeDocument/2006/relationships/queryTable" Target="../queryTables/queryTable540.xml"/><Relationship Id="rId88" Type="http://schemas.openxmlformats.org/officeDocument/2006/relationships/queryTable" Target="../queryTables/queryTable72.xml"/><Relationship Id="rId111" Type="http://schemas.openxmlformats.org/officeDocument/2006/relationships/queryTable" Target="../queryTables/queryTable95.xml"/><Relationship Id="rId153" Type="http://schemas.openxmlformats.org/officeDocument/2006/relationships/queryTable" Target="../queryTables/queryTable137.xml"/><Relationship Id="rId195" Type="http://schemas.openxmlformats.org/officeDocument/2006/relationships/queryTable" Target="../queryTables/queryTable179.xml"/><Relationship Id="rId209" Type="http://schemas.openxmlformats.org/officeDocument/2006/relationships/queryTable" Target="../queryTables/queryTable193.xml"/><Relationship Id="rId360" Type="http://schemas.openxmlformats.org/officeDocument/2006/relationships/queryTable" Target="../queryTables/queryTable344.xml"/><Relationship Id="rId416" Type="http://schemas.openxmlformats.org/officeDocument/2006/relationships/queryTable" Target="../queryTables/queryTable400.xml"/><Relationship Id="rId598" Type="http://schemas.openxmlformats.org/officeDocument/2006/relationships/queryTable" Target="../queryTables/queryTable582.xml"/><Relationship Id="rId220" Type="http://schemas.openxmlformats.org/officeDocument/2006/relationships/queryTable" Target="../queryTables/queryTable204.xml"/><Relationship Id="rId458" Type="http://schemas.openxmlformats.org/officeDocument/2006/relationships/queryTable" Target="../queryTables/queryTable442.xml"/><Relationship Id="rId623" Type="http://schemas.openxmlformats.org/officeDocument/2006/relationships/queryTable" Target="../queryTables/queryTable607.xml"/><Relationship Id="rId665" Type="http://schemas.openxmlformats.org/officeDocument/2006/relationships/queryTable" Target="../queryTables/queryTable649.xml"/><Relationship Id="rId15" Type="http://schemas.openxmlformats.org/officeDocument/2006/relationships/ctrlProp" Target="../ctrlProps/ctrlProp2.xml"/><Relationship Id="rId57" Type="http://schemas.openxmlformats.org/officeDocument/2006/relationships/queryTable" Target="../queryTables/queryTable41.xml"/><Relationship Id="rId262" Type="http://schemas.openxmlformats.org/officeDocument/2006/relationships/queryTable" Target="../queryTables/queryTable246.xml"/><Relationship Id="rId318" Type="http://schemas.openxmlformats.org/officeDocument/2006/relationships/queryTable" Target="../queryTables/queryTable302.xml"/><Relationship Id="rId525" Type="http://schemas.openxmlformats.org/officeDocument/2006/relationships/queryTable" Target="../queryTables/queryTable509.xml"/><Relationship Id="rId567" Type="http://schemas.openxmlformats.org/officeDocument/2006/relationships/queryTable" Target="../queryTables/queryTable551.xml"/><Relationship Id="rId99" Type="http://schemas.openxmlformats.org/officeDocument/2006/relationships/queryTable" Target="../queryTables/queryTable83.xml"/><Relationship Id="rId122" Type="http://schemas.openxmlformats.org/officeDocument/2006/relationships/queryTable" Target="../queryTables/queryTable106.xml"/><Relationship Id="rId164" Type="http://schemas.openxmlformats.org/officeDocument/2006/relationships/queryTable" Target="../queryTables/queryTable148.xml"/><Relationship Id="rId371" Type="http://schemas.openxmlformats.org/officeDocument/2006/relationships/queryTable" Target="../queryTables/queryTable355.xml"/><Relationship Id="rId427" Type="http://schemas.openxmlformats.org/officeDocument/2006/relationships/queryTable" Target="../queryTables/queryTable411.xml"/><Relationship Id="rId469" Type="http://schemas.openxmlformats.org/officeDocument/2006/relationships/queryTable" Target="../queryTables/queryTable453.xml"/><Relationship Id="rId634" Type="http://schemas.openxmlformats.org/officeDocument/2006/relationships/queryTable" Target="../queryTables/queryTable618.xml"/><Relationship Id="rId676" Type="http://schemas.openxmlformats.org/officeDocument/2006/relationships/queryTable" Target="../queryTables/queryTable660.xml"/><Relationship Id="rId26" Type="http://schemas.openxmlformats.org/officeDocument/2006/relationships/queryTable" Target="../queryTables/queryTable10.xml"/><Relationship Id="rId231" Type="http://schemas.openxmlformats.org/officeDocument/2006/relationships/queryTable" Target="../queryTables/queryTable215.xml"/><Relationship Id="rId273" Type="http://schemas.openxmlformats.org/officeDocument/2006/relationships/queryTable" Target="../queryTables/queryTable257.xml"/><Relationship Id="rId329" Type="http://schemas.openxmlformats.org/officeDocument/2006/relationships/queryTable" Target="../queryTables/queryTable313.xml"/><Relationship Id="rId480" Type="http://schemas.openxmlformats.org/officeDocument/2006/relationships/queryTable" Target="../queryTables/queryTable464.xml"/><Relationship Id="rId536" Type="http://schemas.openxmlformats.org/officeDocument/2006/relationships/queryTable" Target="../queryTables/queryTable520.xml"/><Relationship Id="rId701" Type="http://schemas.openxmlformats.org/officeDocument/2006/relationships/queryTable" Target="../queryTables/queryTable685.xml"/><Relationship Id="rId68" Type="http://schemas.openxmlformats.org/officeDocument/2006/relationships/queryTable" Target="../queryTables/queryTable52.xml"/><Relationship Id="rId133" Type="http://schemas.openxmlformats.org/officeDocument/2006/relationships/queryTable" Target="../queryTables/queryTable117.xml"/><Relationship Id="rId175" Type="http://schemas.openxmlformats.org/officeDocument/2006/relationships/queryTable" Target="../queryTables/queryTable159.xml"/><Relationship Id="rId340" Type="http://schemas.openxmlformats.org/officeDocument/2006/relationships/queryTable" Target="../queryTables/queryTable324.xml"/><Relationship Id="rId578" Type="http://schemas.openxmlformats.org/officeDocument/2006/relationships/queryTable" Target="../queryTables/queryTable562.xml"/><Relationship Id="rId200" Type="http://schemas.openxmlformats.org/officeDocument/2006/relationships/queryTable" Target="../queryTables/queryTable184.xml"/><Relationship Id="rId382" Type="http://schemas.openxmlformats.org/officeDocument/2006/relationships/queryTable" Target="../queryTables/queryTable366.xml"/><Relationship Id="rId438" Type="http://schemas.openxmlformats.org/officeDocument/2006/relationships/queryTable" Target="../queryTables/queryTable422.xml"/><Relationship Id="rId603" Type="http://schemas.openxmlformats.org/officeDocument/2006/relationships/queryTable" Target="../queryTables/queryTable587.xml"/><Relationship Id="rId645" Type="http://schemas.openxmlformats.org/officeDocument/2006/relationships/queryTable" Target="../queryTables/queryTable629.xml"/><Relationship Id="rId687" Type="http://schemas.openxmlformats.org/officeDocument/2006/relationships/queryTable" Target="../queryTables/queryTable671.xml"/><Relationship Id="rId242" Type="http://schemas.openxmlformats.org/officeDocument/2006/relationships/queryTable" Target="../queryTables/queryTable226.xml"/><Relationship Id="rId284" Type="http://schemas.openxmlformats.org/officeDocument/2006/relationships/queryTable" Target="../queryTables/queryTable268.xml"/><Relationship Id="rId491" Type="http://schemas.openxmlformats.org/officeDocument/2006/relationships/queryTable" Target="../queryTables/queryTable475.xml"/><Relationship Id="rId505" Type="http://schemas.openxmlformats.org/officeDocument/2006/relationships/queryTable" Target="../queryTables/queryTable489.xml"/><Relationship Id="rId37" Type="http://schemas.openxmlformats.org/officeDocument/2006/relationships/queryTable" Target="../queryTables/queryTable21.xml"/><Relationship Id="rId79" Type="http://schemas.openxmlformats.org/officeDocument/2006/relationships/queryTable" Target="../queryTables/queryTable63.xml"/><Relationship Id="rId102" Type="http://schemas.openxmlformats.org/officeDocument/2006/relationships/queryTable" Target="../queryTables/queryTable86.xml"/><Relationship Id="rId144" Type="http://schemas.openxmlformats.org/officeDocument/2006/relationships/queryTable" Target="../queryTables/queryTable128.xml"/><Relationship Id="rId547" Type="http://schemas.openxmlformats.org/officeDocument/2006/relationships/queryTable" Target="../queryTables/queryTable531.xml"/><Relationship Id="rId589" Type="http://schemas.openxmlformats.org/officeDocument/2006/relationships/queryTable" Target="../queryTables/queryTable573.xml"/><Relationship Id="rId90" Type="http://schemas.openxmlformats.org/officeDocument/2006/relationships/queryTable" Target="../queryTables/queryTable74.xml"/><Relationship Id="rId186" Type="http://schemas.openxmlformats.org/officeDocument/2006/relationships/queryTable" Target="../queryTables/queryTable170.xml"/><Relationship Id="rId351" Type="http://schemas.openxmlformats.org/officeDocument/2006/relationships/queryTable" Target="../queryTables/queryTable335.xml"/><Relationship Id="rId393" Type="http://schemas.openxmlformats.org/officeDocument/2006/relationships/queryTable" Target="../queryTables/queryTable377.xml"/><Relationship Id="rId407" Type="http://schemas.openxmlformats.org/officeDocument/2006/relationships/queryTable" Target="../queryTables/queryTable391.xml"/><Relationship Id="rId449" Type="http://schemas.openxmlformats.org/officeDocument/2006/relationships/queryTable" Target="../queryTables/queryTable433.xml"/><Relationship Id="rId614" Type="http://schemas.openxmlformats.org/officeDocument/2006/relationships/queryTable" Target="../queryTables/queryTable598.xml"/><Relationship Id="rId656" Type="http://schemas.openxmlformats.org/officeDocument/2006/relationships/queryTable" Target="../queryTables/queryTable640.xml"/><Relationship Id="rId211" Type="http://schemas.openxmlformats.org/officeDocument/2006/relationships/queryTable" Target="../queryTables/queryTable195.xml"/><Relationship Id="rId253" Type="http://schemas.openxmlformats.org/officeDocument/2006/relationships/queryTable" Target="../queryTables/queryTable237.xml"/><Relationship Id="rId295" Type="http://schemas.openxmlformats.org/officeDocument/2006/relationships/queryTable" Target="../queryTables/queryTable279.xml"/><Relationship Id="rId309" Type="http://schemas.openxmlformats.org/officeDocument/2006/relationships/queryTable" Target="../queryTables/queryTable293.xml"/><Relationship Id="rId460" Type="http://schemas.openxmlformats.org/officeDocument/2006/relationships/queryTable" Target="../queryTables/queryTable444.xml"/><Relationship Id="rId516" Type="http://schemas.openxmlformats.org/officeDocument/2006/relationships/queryTable" Target="../queryTables/queryTable500.xml"/><Relationship Id="rId698" Type="http://schemas.openxmlformats.org/officeDocument/2006/relationships/queryTable" Target="../queryTables/queryTable682.xml"/><Relationship Id="rId48" Type="http://schemas.openxmlformats.org/officeDocument/2006/relationships/queryTable" Target="../queryTables/queryTable32.xml"/><Relationship Id="rId113" Type="http://schemas.openxmlformats.org/officeDocument/2006/relationships/queryTable" Target="../queryTables/queryTable97.xml"/><Relationship Id="rId320" Type="http://schemas.openxmlformats.org/officeDocument/2006/relationships/queryTable" Target="../queryTables/queryTable304.xml"/><Relationship Id="rId558" Type="http://schemas.openxmlformats.org/officeDocument/2006/relationships/queryTable" Target="../queryTables/queryTable542.xml"/><Relationship Id="rId155" Type="http://schemas.openxmlformats.org/officeDocument/2006/relationships/queryTable" Target="../queryTables/queryTable139.xml"/><Relationship Id="rId197" Type="http://schemas.openxmlformats.org/officeDocument/2006/relationships/queryTable" Target="../queryTables/queryTable181.xml"/><Relationship Id="rId362" Type="http://schemas.openxmlformats.org/officeDocument/2006/relationships/queryTable" Target="../queryTables/queryTable346.xml"/><Relationship Id="rId418" Type="http://schemas.openxmlformats.org/officeDocument/2006/relationships/queryTable" Target="../queryTables/queryTable402.xml"/><Relationship Id="rId625" Type="http://schemas.openxmlformats.org/officeDocument/2006/relationships/queryTable" Target="../queryTables/queryTable609.xml"/><Relationship Id="rId222" Type="http://schemas.openxmlformats.org/officeDocument/2006/relationships/queryTable" Target="../queryTables/queryTable206.xml"/><Relationship Id="rId264" Type="http://schemas.openxmlformats.org/officeDocument/2006/relationships/queryTable" Target="../queryTables/queryTable248.xml"/><Relationship Id="rId471" Type="http://schemas.openxmlformats.org/officeDocument/2006/relationships/queryTable" Target="../queryTables/queryTable455.xml"/><Relationship Id="rId667" Type="http://schemas.openxmlformats.org/officeDocument/2006/relationships/queryTable" Target="../queryTables/queryTable651.xml"/><Relationship Id="rId17" Type="http://schemas.openxmlformats.org/officeDocument/2006/relationships/queryTable" Target="../queryTables/queryTable1.xml"/><Relationship Id="rId59" Type="http://schemas.openxmlformats.org/officeDocument/2006/relationships/queryTable" Target="../queryTables/queryTable43.xml"/><Relationship Id="rId124" Type="http://schemas.openxmlformats.org/officeDocument/2006/relationships/queryTable" Target="../queryTables/queryTable108.xml"/><Relationship Id="rId527" Type="http://schemas.openxmlformats.org/officeDocument/2006/relationships/queryTable" Target="../queryTables/queryTable511.xml"/><Relationship Id="rId569" Type="http://schemas.openxmlformats.org/officeDocument/2006/relationships/queryTable" Target="../queryTables/queryTable553.xml"/><Relationship Id="rId70" Type="http://schemas.openxmlformats.org/officeDocument/2006/relationships/queryTable" Target="../queryTables/queryTable54.xml"/><Relationship Id="rId166" Type="http://schemas.openxmlformats.org/officeDocument/2006/relationships/queryTable" Target="../queryTables/queryTable150.xml"/><Relationship Id="rId331" Type="http://schemas.openxmlformats.org/officeDocument/2006/relationships/queryTable" Target="../queryTables/queryTable315.xml"/><Relationship Id="rId373" Type="http://schemas.openxmlformats.org/officeDocument/2006/relationships/queryTable" Target="../queryTables/queryTable357.xml"/><Relationship Id="rId429" Type="http://schemas.openxmlformats.org/officeDocument/2006/relationships/queryTable" Target="../queryTables/queryTable413.xml"/><Relationship Id="rId580" Type="http://schemas.openxmlformats.org/officeDocument/2006/relationships/queryTable" Target="../queryTables/queryTable564.xml"/><Relationship Id="rId636" Type="http://schemas.openxmlformats.org/officeDocument/2006/relationships/queryTable" Target="../queryTables/queryTable62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7.xml"/><Relationship Id="rId440" Type="http://schemas.openxmlformats.org/officeDocument/2006/relationships/queryTable" Target="../queryTables/queryTable424.xml"/><Relationship Id="rId678" Type="http://schemas.openxmlformats.org/officeDocument/2006/relationships/queryTable" Target="../queryTables/queryTable662.xml"/><Relationship Id="rId28" Type="http://schemas.openxmlformats.org/officeDocument/2006/relationships/queryTable" Target="../queryTables/queryTable12.xml"/><Relationship Id="rId275" Type="http://schemas.openxmlformats.org/officeDocument/2006/relationships/queryTable" Target="../queryTables/queryTable259.xml"/><Relationship Id="rId300" Type="http://schemas.openxmlformats.org/officeDocument/2006/relationships/queryTable" Target="../queryTables/queryTable284.xml"/><Relationship Id="rId482" Type="http://schemas.openxmlformats.org/officeDocument/2006/relationships/queryTable" Target="../queryTables/queryTable466.xml"/><Relationship Id="rId538" Type="http://schemas.openxmlformats.org/officeDocument/2006/relationships/queryTable" Target="../queryTables/queryTable522.xml"/><Relationship Id="rId703" Type="http://schemas.openxmlformats.org/officeDocument/2006/relationships/queryTable" Target="../queryTables/queryTable687.xml"/><Relationship Id="rId81" Type="http://schemas.openxmlformats.org/officeDocument/2006/relationships/queryTable" Target="../queryTables/queryTable65.xml"/><Relationship Id="rId135" Type="http://schemas.openxmlformats.org/officeDocument/2006/relationships/queryTable" Target="../queryTables/queryTable119.xml"/><Relationship Id="rId177" Type="http://schemas.openxmlformats.org/officeDocument/2006/relationships/queryTable" Target="../queryTables/queryTable161.xml"/><Relationship Id="rId342" Type="http://schemas.openxmlformats.org/officeDocument/2006/relationships/queryTable" Target="../queryTables/queryTable326.xml"/><Relationship Id="rId384" Type="http://schemas.openxmlformats.org/officeDocument/2006/relationships/queryTable" Target="../queryTables/queryTable368.xml"/><Relationship Id="rId591" Type="http://schemas.openxmlformats.org/officeDocument/2006/relationships/queryTable" Target="../queryTables/queryTable575.xml"/><Relationship Id="rId605" Type="http://schemas.openxmlformats.org/officeDocument/2006/relationships/queryTable" Target="../queryTables/queryTable589.xml"/><Relationship Id="rId202" Type="http://schemas.openxmlformats.org/officeDocument/2006/relationships/queryTable" Target="../queryTables/queryTable186.xml"/><Relationship Id="rId244" Type="http://schemas.openxmlformats.org/officeDocument/2006/relationships/queryTable" Target="../queryTables/queryTable228.xml"/><Relationship Id="rId647" Type="http://schemas.openxmlformats.org/officeDocument/2006/relationships/queryTable" Target="../queryTables/queryTable631.xml"/><Relationship Id="rId689" Type="http://schemas.openxmlformats.org/officeDocument/2006/relationships/queryTable" Target="../queryTables/queryTable673.xml"/><Relationship Id="rId39" Type="http://schemas.openxmlformats.org/officeDocument/2006/relationships/queryTable" Target="../queryTables/queryTable23.xml"/><Relationship Id="rId286" Type="http://schemas.openxmlformats.org/officeDocument/2006/relationships/queryTable" Target="../queryTables/queryTable270.xml"/><Relationship Id="rId451" Type="http://schemas.openxmlformats.org/officeDocument/2006/relationships/queryTable" Target="../queryTables/queryTable435.xml"/><Relationship Id="rId493" Type="http://schemas.openxmlformats.org/officeDocument/2006/relationships/queryTable" Target="../queryTables/queryTable477.xml"/><Relationship Id="rId507" Type="http://schemas.openxmlformats.org/officeDocument/2006/relationships/queryTable" Target="../queryTables/queryTable491.xml"/><Relationship Id="rId549" Type="http://schemas.openxmlformats.org/officeDocument/2006/relationships/queryTable" Target="../queryTables/queryTable533.xml"/><Relationship Id="rId50" Type="http://schemas.openxmlformats.org/officeDocument/2006/relationships/queryTable" Target="../queryTables/queryTable34.xml"/><Relationship Id="rId104" Type="http://schemas.openxmlformats.org/officeDocument/2006/relationships/queryTable" Target="../queryTables/queryTable88.xml"/><Relationship Id="rId146" Type="http://schemas.openxmlformats.org/officeDocument/2006/relationships/queryTable" Target="../queryTables/queryTable130.xml"/><Relationship Id="rId188" Type="http://schemas.openxmlformats.org/officeDocument/2006/relationships/queryTable" Target="../queryTables/queryTable172.xml"/><Relationship Id="rId311" Type="http://schemas.openxmlformats.org/officeDocument/2006/relationships/queryTable" Target="../queryTables/queryTable295.xml"/><Relationship Id="rId353" Type="http://schemas.openxmlformats.org/officeDocument/2006/relationships/queryTable" Target="../queryTables/queryTable337.xml"/><Relationship Id="rId395" Type="http://schemas.openxmlformats.org/officeDocument/2006/relationships/queryTable" Target="../queryTables/queryTable379.xml"/><Relationship Id="rId409" Type="http://schemas.openxmlformats.org/officeDocument/2006/relationships/queryTable" Target="../queryTables/queryTable393.xml"/><Relationship Id="rId560" Type="http://schemas.openxmlformats.org/officeDocument/2006/relationships/queryTable" Target="../queryTables/queryTable544.xml"/><Relationship Id="rId92" Type="http://schemas.openxmlformats.org/officeDocument/2006/relationships/queryTable" Target="../queryTables/queryTable76.xml"/><Relationship Id="rId213" Type="http://schemas.openxmlformats.org/officeDocument/2006/relationships/queryTable" Target="../queryTables/queryTable197.xml"/><Relationship Id="rId420" Type="http://schemas.openxmlformats.org/officeDocument/2006/relationships/queryTable" Target="../queryTables/queryTable404.xml"/><Relationship Id="rId616" Type="http://schemas.openxmlformats.org/officeDocument/2006/relationships/queryTable" Target="../queryTables/queryTable600.xml"/><Relationship Id="rId658" Type="http://schemas.openxmlformats.org/officeDocument/2006/relationships/queryTable" Target="../queryTables/queryTable642.xml"/><Relationship Id="rId255" Type="http://schemas.openxmlformats.org/officeDocument/2006/relationships/queryTable" Target="../queryTables/queryTable239.xml"/><Relationship Id="rId297" Type="http://schemas.openxmlformats.org/officeDocument/2006/relationships/queryTable" Target="../queryTables/queryTable281.xml"/><Relationship Id="rId462" Type="http://schemas.openxmlformats.org/officeDocument/2006/relationships/queryTable" Target="../queryTables/queryTable446.xml"/><Relationship Id="rId518" Type="http://schemas.openxmlformats.org/officeDocument/2006/relationships/queryTable" Target="../queryTables/queryTable502.xml"/><Relationship Id="rId115" Type="http://schemas.openxmlformats.org/officeDocument/2006/relationships/queryTable" Target="../queryTables/queryTable99.xml"/><Relationship Id="rId157" Type="http://schemas.openxmlformats.org/officeDocument/2006/relationships/queryTable" Target="../queryTables/queryTable141.xml"/><Relationship Id="rId322" Type="http://schemas.openxmlformats.org/officeDocument/2006/relationships/queryTable" Target="../queryTables/queryTable306.xml"/><Relationship Id="rId364" Type="http://schemas.openxmlformats.org/officeDocument/2006/relationships/queryTable" Target="../queryTables/queryTable348.xml"/><Relationship Id="rId61" Type="http://schemas.openxmlformats.org/officeDocument/2006/relationships/queryTable" Target="../queryTables/queryTable45.xml"/><Relationship Id="rId199" Type="http://schemas.openxmlformats.org/officeDocument/2006/relationships/queryTable" Target="../queryTables/queryTable183.xml"/><Relationship Id="rId571" Type="http://schemas.openxmlformats.org/officeDocument/2006/relationships/queryTable" Target="../queryTables/queryTable555.xml"/><Relationship Id="rId627" Type="http://schemas.openxmlformats.org/officeDocument/2006/relationships/queryTable" Target="../queryTables/queryTable611.xml"/><Relationship Id="rId669" Type="http://schemas.openxmlformats.org/officeDocument/2006/relationships/queryTable" Target="../queryTables/queryTable65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D19" sqref="D19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44" bestFit="1" customWidth="1"/>
    <col min="4" max="4" width="15" style="1" customWidth="1"/>
    <col min="5" max="5" width="18.425781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9</v>
      </c>
    </row>
    <row r="2" spans="2:27" ht="3" customHeight="1">
      <c r="D2" s="2"/>
      <c r="AA2" s="1">
        <v>0</v>
      </c>
    </row>
    <row r="3" spans="2:27" ht="3" customHeight="1">
      <c r="D3" s="44"/>
    </row>
    <row r="4" spans="2:27" ht="21">
      <c r="B4" s="42"/>
      <c r="D4" s="44"/>
    </row>
    <row r="5" spans="2:27">
      <c r="B5" s="43"/>
      <c r="D5" s="44"/>
    </row>
    <row r="6" spans="2:27">
      <c r="D6" s="44"/>
    </row>
    <row r="7" spans="2:27">
      <c r="D7" s="44"/>
    </row>
    <row r="8" spans="2:27">
      <c r="D8" s="44"/>
    </row>
    <row r="12" spans="2:27">
      <c r="D12" s="45"/>
    </row>
    <row r="13" spans="2:27">
      <c r="C13" s="1"/>
    </row>
    <row r="17" spans="2:9" ht="16.5" customHeight="1"/>
    <row r="23" spans="2:9" ht="15.75" thickBot="1">
      <c r="I23" s="8"/>
    </row>
    <row r="24" spans="2:9" ht="21.75" thickBot="1">
      <c r="B24" s="42"/>
      <c r="C24" s="47" t="s">
        <v>14</v>
      </c>
      <c r="D24" s="106" t="s">
        <v>170</v>
      </c>
      <c r="I24" s="8"/>
    </row>
    <row r="25" spans="2:9" ht="21.75" thickBot="1">
      <c r="B25" s="43"/>
      <c r="C25" s="46" t="s">
        <v>16</v>
      </c>
      <c r="D25" s="108" t="s">
        <v>184</v>
      </c>
      <c r="E25" s="1" t="s">
        <v>183</v>
      </c>
      <c r="I25" s="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OptionButton1">
          <controlPr defaultSize="0" autoLine="0" r:id="rId5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4" name="OptionButton1"/>
      </mc:Fallback>
    </mc:AlternateContent>
    <mc:AlternateContent xmlns:mc="http://schemas.openxmlformats.org/markup-compatibility/2006">
      <mc:Choice Requires="x14">
        <control shapeId="1064" r:id="rId6" name="OptionButton2">
          <controlPr defaultSize="0" autoLine="0" r:id="rId7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6" name="OptionButton2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209550</xdr:colOff>
                <xdr:row>9</xdr:row>
                <xdr:rowOff>114300</xdr:rowOff>
              </from>
              <to>
                <xdr:col>2</xdr:col>
                <xdr:colOff>1219200</xdr:colOff>
                <xdr:row>11</xdr:row>
                <xdr:rowOff>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91" r:id="rId10" name="CheckBox10">
          <controlPr defaultSize="0" autoLine="0" r:id="rId11">
            <anchor moveWithCells="1">
              <from>
                <xdr:col>2</xdr:col>
                <xdr:colOff>180975</xdr:colOff>
                <xdr:row>12</xdr:row>
                <xdr:rowOff>28575</xdr:rowOff>
              </from>
              <to>
                <xdr:col>2</xdr:col>
                <xdr:colOff>1247775</xdr:colOff>
                <xdr:row>13</xdr:row>
                <xdr:rowOff>85725</xdr:rowOff>
              </to>
            </anchor>
          </controlPr>
        </control>
      </mc:Choice>
      <mc:Fallback>
        <control shapeId="1091" r:id="rId10" name="CheckBox10"/>
      </mc:Fallback>
    </mc:AlternateContent>
    <mc:AlternateContent xmlns:mc="http://schemas.openxmlformats.org/markup-compatibility/2006">
      <mc:Choice Requires="x14">
        <control shapeId="1093" r:id="rId12" name="CheckBox1">
          <controlPr defaultSize="0" autoLine="0" r:id="rId13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3</xdr:col>
                <xdr:colOff>990600</xdr:colOff>
                <xdr:row>5</xdr:row>
                <xdr:rowOff>114300</xdr:rowOff>
              </to>
            </anchor>
          </controlPr>
        </control>
      </mc:Choice>
      <mc:Fallback>
        <control shapeId="1093" r:id="rId12" name="CheckBox1"/>
      </mc:Fallback>
    </mc:AlternateContent>
    <mc:AlternateContent xmlns:mc="http://schemas.openxmlformats.org/markup-compatibility/2006">
      <mc:Choice Requires="x14">
        <control shapeId="1033" r:id="rId14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1457325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5" name="Group Box 58">
          <controlPr defaultSize="0" autoFill="0" autoPict="0">
            <anchor moveWithCells="1">
              <from>
                <xdr:col>2</xdr:col>
                <xdr:colOff>57150</xdr:colOff>
                <xdr:row>8</xdr:row>
                <xdr:rowOff>66675</xdr:rowOff>
              </from>
              <to>
                <xdr:col>2</xdr:col>
                <xdr:colOff>1457325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6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104775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XDO1048517"/>
  <sheetViews>
    <sheetView showGridLines="0" zoomScale="70" zoomScaleNormal="70" workbookViewId="0">
      <selection activeCell="J8" sqref="J8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47" width="16.28515625" bestFit="1" customWidth="1"/>
    <col min="48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75" width="16.28515625" style="3" bestFit="1" customWidth="1"/>
    <col min="76" max="76" width="9.7109375" style="3" bestFit="1" customWidth="1"/>
    <col min="77" max="77" width="16.28515625" style="3" bestFit="1" customWidth="1"/>
    <col min="78" max="78" width="9.7109375" style="3" bestFit="1" customWidth="1"/>
    <col min="79" max="82" width="16.28515625" style="3" bestFit="1" customWidth="1"/>
    <col min="83" max="83" width="9.7109375" style="3" bestFit="1" customWidth="1"/>
    <col min="84" max="84" width="16.28515625" style="3" bestFit="1" customWidth="1"/>
    <col min="85" max="85" width="7.140625" style="3" bestFit="1" customWidth="1"/>
    <col min="86" max="86" width="5.42578125" style="3" bestFit="1" customWidth="1"/>
    <col min="87" max="87" width="5.7109375" style="3" bestFit="1" customWidth="1"/>
    <col min="88" max="88" width="5.42578125" style="3" bestFit="1" customWidth="1"/>
    <col min="89" max="89" width="8.5703125" style="3" bestFit="1" customWidth="1"/>
    <col min="90" max="90" width="5.42578125" style="3" bestFit="1" customWidth="1"/>
    <col min="91" max="91" width="8.42578125" style="3" bestFit="1" customWidth="1"/>
    <col min="92" max="93" width="5.42578125" style="3" bestFit="1" customWidth="1"/>
    <col min="94" max="94" width="7.42578125" style="3" bestFit="1" customWidth="1"/>
    <col min="95" max="95" width="5.42578125" style="3" bestFit="1" customWidth="1"/>
    <col min="96" max="96" width="7.140625" style="3" bestFit="1" customWidth="1"/>
    <col min="97" max="97" width="5.42578125" style="3" bestFit="1" customWidth="1"/>
    <col min="98" max="98" width="5.7109375" style="3" bestFit="1" customWidth="1"/>
    <col min="99" max="99" width="5.42578125" style="3" bestFit="1" customWidth="1"/>
    <col min="100" max="100" width="8.5703125" style="3" bestFit="1" customWidth="1"/>
    <col min="101" max="101" width="5.42578125" style="3" bestFit="1" customWidth="1"/>
    <col min="102" max="102" width="8.42578125" style="3" bestFit="1" customWidth="1"/>
    <col min="103" max="104" width="5.42578125" style="3" bestFit="1" customWidth="1"/>
    <col min="105" max="105" width="8.42578125" style="3" bestFit="1" customWidth="1"/>
    <col min="106" max="106" width="5.42578125" style="3" bestFit="1" customWidth="1"/>
    <col min="107" max="107" width="7.140625" style="3" bestFit="1" customWidth="1"/>
    <col min="108" max="108" width="5.42578125" style="3" bestFit="1" customWidth="1"/>
    <col min="109" max="109" width="5.7109375" style="3" bestFit="1" customWidth="1"/>
    <col min="110" max="110" width="5.42578125" style="3" bestFit="1" customWidth="1"/>
    <col min="111" max="111" width="8.5703125" style="3" bestFit="1" customWidth="1"/>
    <col min="112" max="112" width="5.42578125" style="3" bestFit="1" customWidth="1"/>
    <col min="113" max="113" width="8.42578125" style="3" bestFit="1" customWidth="1"/>
    <col min="114" max="115" width="5.42578125" style="3" bestFit="1" customWidth="1"/>
    <col min="116" max="116" width="8.42578125" style="3" bestFit="1" customWidth="1"/>
    <col min="117" max="117" width="5.42578125" style="3" bestFit="1" customWidth="1"/>
    <col min="118" max="16384" width="11.42578125" style="3"/>
  </cols>
  <sheetData>
    <row r="1" spans="1:117" thickBot="1">
      <c r="A1" s="112"/>
      <c r="B1" s="113"/>
      <c r="C1" s="114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M1" s="9"/>
      <c r="AN1" s="9"/>
      <c r="AO1" s="9"/>
      <c r="AP1" s="9"/>
      <c r="AQ1" s="9"/>
      <c r="AR1" s="9"/>
      <c r="AS1" s="9"/>
      <c r="AT1" s="9"/>
      <c r="AU1" s="9"/>
      <c r="AV1" s="9"/>
      <c r="AW1" s="6"/>
      <c r="AX1" s="6"/>
      <c r="AY1" s="6"/>
      <c r="AZ1" s="6"/>
      <c r="BA1" s="6"/>
    </row>
    <row r="2" spans="1:117" thickBot="1">
      <c r="A2" s="115"/>
      <c r="B2" s="116"/>
      <c r="C2" s="117"/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117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thickBot="1">
      <c r="A6" s="80" t="s">
        <v>3</v>
      </c>
      <c r="B6" s="79" t="s">
        <v>4</v>
      </c>
      <c r="C6" s="81" t="s">
        <v>5</v>
      </c>
      <c r="D6" s="54">
        <v>81</v>
      </c>
      <c r="E6" s="65">
        <v>0</v>
      </c>
      <c r="F6" s="65">
        <v>1</v>
      </c>
      <c r="G6" s="94">
        <v>35174.01419777119</v>
      </c>
      <c r="H6" s="94">
        <v>21304.765616516026</v>
      </c>
      <c r="I6" s="95">
        <v>0.95</v>
      </c>
      <c r="J6" s="54">
        <v>76</v>
      </c>
      <c r="K6" s="54">
        <v>79</v>
      </c>
      <c r="L6" s="54">
        <v>83577.215181344814</v>
      </c>
      <c r="M6" s="54">
        <v>8000</v>
      </c>
      <c r="N6" s="54"/>
      <c r="O6" s="54"/>
      <c r="P6" s="54">
        <v>68000</v>
      </c>
      <c r="Q6" s="54"/>
      <c r="R6" s="54"/>
      <c r="S6" s="55">
        <v>84</v>
      </c>
      <c r="T6" s="55">
        <v>0</v>
      </c>
      <c r="U6" s="55">
        <v>2</v>
      </c>
      <c r="V6" s="96">
        <v>12118.014011781252</v>
      </c>
      <c r="W6" s="97">
        <v>6595.364522357826</v>
      </c>
      <c r="X6" s="55">
        <v>23546.257257066398</v>
      </c>
      <c r="Y6" s="55">
        <v>1866.6666666666665</v>
      </c>
      <c r="Z6" s="55"/>
      <c r="AA6" s="55"/>
      <c r="AB6" s="55">
        <v>21300</v>
      </c>
      <c r="AC6" s="55"/>
      <c r="AD6" s="55"/>
      <c r="AE6" s="54">
        <v>84</v>
      </c>
      <c r="AF6" s="54">
        <v>0</v>
      </c>
      <c r="AG6" s="54">
        <v>0</v>
      </c>
      <c r="AH6" s="54">
        <v>84</v>
      </c>
      <c r="AI6" s="98">
        <v>45989.67443844839</v>
      </c>
      <c r="AJ6" s="98">
        <v>33036.064022586252</v>
      </c>
      <c r="AK6" s="54">
        <v>138737.44800447041</v>
      </c>
      <c r="AL6" s="54">
        <v>3850.0000000000005</v>
      </c>
      <c r="AM6" s="54"/>
      <c r="AN6" s="54"/>
      <c r="AO6" s="54">
        <v>93799.999999999985</v>
      </c>
      <c r="AP6" s="54"/>
      <c r="AQ6" s="54"/>
      <c r="AR6" s="55">
        <v>84</v>
      </c>
      <c r="AS6" s="55">
        <v>1</v>
      </c>
      <c r="AT6" s="55">
        <v>0</v>
      </c>
      <c r="AU6" s="55">
        <v>81</v>
      </c>
      <c r="AV6" s="97">
        <v>21418.658578979917</v>
      </c>
      <c r="AW6" s="97">
        <v>15083.551027772115</v>
      </c>
      <c r="AX6" s="55">
        <v>47716.985985879124</v>
      </c>
      <c r="AY6" s="55">
        <v>2840</v>
      </c>
      <c r="AZ6" s="55"/>
      <c r="BA6" s="55"/>
      <c r="BB6" s="55">
        <v>44186.666666666664</v>
      </c>
      <c r="BC6" s="55"/>
      <c r="BD6" s="55"/>
      <c r="BE6" s="74">
        <v>61</v>
      </c>
      <c r="BF6" s="99">
        <v>32</v>
      </c>
      <c r="BG6" s="99">
        <v>35</v>
      </c>
      <c r="BH6" s="57" t="s">
        <v>107</v>
      </c>
      <c r="BI6" s="57" t="s">
        <v>107</v>
      </c>
      <c r="BJ6" s="70">
        <v>168</v>
      </c>
      <c r="BK6" s="70">
        <v>1</v>
      </c>
      <c r="BL6" s="58">
        <v>0</v>
      </c>
      <c r="BM6" s="100">
        <v>1.4434850299401196</v>
      </c>
      <c r="BN6" s="100">
        <v>0.29581437125748494</v>
      </c>
      <c r="BO6" s="100">
        <v>1.1476706586826348</v>
      </c>
      <c r="BP6" s="62">
        <v>168</v>
      </c>
      <c r="BQ6" s="62">
        <v>0</v>
      </c>
      <c r="BR6" s="62">
        <v>0</v>
      </c>
      <c r="BS6" s="101">
        <v>2.9236309523809516</v>
      </c>
      <c r="BT6" s="101">
        <v>0.32081547619047612</v>
      </c>
      <c r="BU6" s="101">
        <v>2.6028154761904774</v>
      </c>
      <c r="BV6" s="93" t="s">
        <v>175</v>
      </c>
      <c r="BW6" s="91">
        <v>21</v>
      </c>
      <c r="BX6" s="102">
        <v>3.9904761882055375</v>
      </c>
      <c r="BY6" s="91">
        <v>21</v>
      </c>
      <c r="BZ6" s="103">
        <v>2.1359047619047624</v>
      </c>
      <c r="CA6" s="92">
        <v>0</v>
      </c>
      <c r="CB6" s="104">
        <v>1</v>
      </c>
      <c r="CC6" s="91">
        <v>21</v>
      </c>
      <c r="CD6" s="92">
        <v>21</v>
      </c>
      <c r="CE6" s="104">
        <v>1</v>
      </c>
      <c r="CF6" s="91">
        <v>21</v>
      </c>
      <c r="CG6" s="93" t="s">
        <v>178</v>
      </c>
      <c r="CH6" s="91">
        <v>20</v>
      </c>
      <c r="CI6" s="102">
        <v>3.9190476281302318</v>
      </c>
      <c r="CJ6" s="91">
        <v>21</v>
      </c>
      <c r="CK6" s="103">
        <v>2.7047619047619049</v>
      </c>
      <c r="CL6" s="92">
        <v>0</v>
      </c>
      <c r="CM6" s="104">
        <v>1</v>
      </c>
      <c r="CN6" s="91">
        <v>16</v>
      </c>
      <c r="CO6" s="92">
        <v>20</v>
      </c>
      <c r="CP6" s="104">
        <v>0.76190476190400003</v>
      </c>
      <c r="CQ6" s="91">
        <v>21</v>
      </c>
      <c r="CR6" s="93" t="s">
        <v>173</v>
      </c>
      <c r="CS6" s="91">
        <v>19</v>
      </c>
      <c r="CT6" s="102">
        <v>3.8285715125855946</v>
      </c>
      <c r="CU6" s="91">
        <v>21</v>
      </c>
      <c r="CV6" s="103">
        <v>3.3932380952380949</v>
      </c>
      <c r="CW6" s="92">
        <v>0</v>
      </c>
      <c r="CX6" s="104">
        <v>1</v>
      </c>
      <c r="CY6" s="91">
        <v>20</v>
      </c>
      <c r="CZ6" s="92">
        <v>19</v>
      </c>
      <c r="DA6" s="104">
        <v>0.95238095237999998</v>
      </c>
      <c r="DB6" s="91">
        <v>21</v>
      </c>
      <c r="DC6" s="93" t="s">
        <v>179</v>
      </c>
      <c r="DD6" s="91">
        <v>20</v>
      </c>
      <c r="DE6" s="102">
        <v>4.0095237209683372</v>
      </c>
      <c r="DF6" s="91">
        <v>21</v>
      </c>
      <c r="DG6" s="103">
        <v>2.8363809523809529</v>
      </c>
      <c r="DH6" s="92">
        <v>0</v>
      </c>
      <c r="DI6" s="104">
        <v>1</v>
      </c>
      <c r="DJ6" s="91">
        <v>18</v>
      </c>
      <c r="DK6" s="92">
        <v>20</v>
      </c>
      <c r="DL6" s="104">
        <v>0.857142857142</v>
      </c>
      <c r="DM6" s="91">
        <v>21</v>
      </c>
    </row>
    <row r="7" spans="1:117" thickBot="1">
      <c r="A7" s="80" t="s">
        <v>3</v>
      </c>
      <c r="B7" s="79" t="s">
        <v>4</v>
      </c>
      <c r="C7" s="68" t="s">
        <v>6</v>
      </c>
      <c r="D7" s="54">
        <v>80</v>
      </c>
      <c r="E7" s="65">
        <v>0</v>
      </c>
      <c r="F7" s="54">
        <v>1</v>
      </c>
      <c r="G7" s="94">
        <v>27591.329253669239</v>
      </c>
      <c r="H7" s="94">
        <v>20396.619101121833</v>
      </c>
      <c r="I7" s="95">
        <v>0.94936708860700003</v>
      </c>
      <c r="J7" s="54">
        <v>75</v>
      </c>
      <c r="K7" s="54">
        <v>78</v>
      </c>
      <c r="L7" s="54">
        <v>77992.469558115205</v>
      </c>
      <c r="M7" s="54">
        <v>4950</v>
      </c>
      <c r="N7" s="54"/>
      <c r="O7" s="54"/>
      <c r="P7" s="54">
        <v>64199.999999999985</v>
      </c>
      <c r="Q7" s="54"/>
      <c r="R7" s="54"/>
      <c r="S7" s="55">
        <v>79</v>
      </c>
      <c r="T7" s="55">
        <v>0</v>
      </c>
      <c r="U7" s="55">
        <v>2</v>
      </c>
      <c r="V7" s="96">
        <v>9680.7413713093956</v>
      </c>
      <c r="W7" s="97">
        <v>5498.3142262100246</v>
      </c>
      <c r="X7" s="55">
        <v>23082.01019787792</v>
      </c>
      <c r="Y7" s="55">
        <v>1616.6666666666667</v>
      </c>
      <c r="Z7" s="55"/>
      <c r="AA7" s="55"/>
      <c r="AB7" s="55">
        <v>14912.5</v>
      </c>
      <c r="AC7" s="55"/>
      <c r="AD7" s="55"/>
      <c r="AE7" s="54">
        <v>80</v>
      </c>
      <c r="AF7" s="54">
        <v>0</v>
      </c>
      <c r="AG7" s="54">
        <v>0</v>
      </c>
      <c r="AH7" s="54">
        <v>80</v>
      </c>
      <c r="AI7" s="98">
        <v>37968.054441591943</v>
      </c>
      <c r="AJ7" s="98">
        <v>28006.887009032416</v>
      </c>
      <c r="AK7" s="54">
        <v>116819.10198628239</v>
      </c>
      <c r="AL7" s="54">
        <v>7500</v>
      </c>
      <c r="AM7" s="54"/>
      <c r="AN7" s="54"/>
      <c r="AO7" s="54">
        <v>77000</v>
      </c>
      <c r="AP7" s="54"/>
      <c r="AQ7" s="54"/>
      <c r="AR7" s="55">
        <v>80</v>
      </c>
      <c r="AS7" s="55">
        <v>0</v>
      </c>
      <c r="AT7" s="55">
        <v>1</v>
      </c>
      <c r="AU7" s="55">
        <v>77</v>
      </c>
      <c r="AV7" s="97">
        <v>17035.677863535977</v>
      </c>
      <c r="AW7" s="97">
        <v>11698.144394667088</v>
      </c>
      <c r="AX7" s="55">
        <v>36815.139859902076</v>
      </c>
      <c r="AY7" s="55">
        <v>2373.3333333333335</v>
      </c>
      <c r="AZ7" s="55"/>
      <c r="BA7" s="55"/>
      <c r="BB7" s="55">
        <v>34693.333333333328</v>
      </c>
      <c r="BC7" s="55"/>
      <c r="BD7" s="55"/>
      <c r="BE7" s="74">
        <v>52</v>
      </c>
      <c r="BF7" s="99">
        <v>45</v>
      </c>
      <c r="BG7" s="99">
        <v>78</v>
      </c>
      <c r="BH7" s="57" t="s">
        <v>107</v>
      </c>
      <c r="BI7" s="57" t="s">
        <v>107</v>
      </c>
      <c r="BJ7" s="70">
        <v>160</v>
      </c>
      <c r="BK7" s="70">
        <v>0</v>
      </c>
      <c r="BL7" s="58">
        <v>0</v>
      </c>
      <c r="BM7" s="100">
        <v>1.2225750000000004</v>
      </c>
      <c r="BN7" s="100">
        <v>0.19746874999999986</v>
      </c>
      <c r="BO7" s="100">
        <v>1.025106249999999</v>
      </c>
      <c r="BP7" s="62">
        <v>160</v>
      </c>
      <c r="BQ7" s="62">
        <v>0</v>
      </c>
      <c r="BR7" s="62">
        <v>2</v>
      </c>
      <c r="BS7" s="101">
        <v>3.1318734177215193</v>
      </c>
      <c r="BT7" s="101">
        <v>0.3778227848101266</v>
      </c>
      <c r="BU7" s="101">
        <v>2.7540506329113925</v>
      </c>
      <c r="BV7" s="93" t="s">
        <v>172</v>
      </c>
      <c r="BW7" s="91">
        <v>19</v>
      </c>
      <c r="BX7" s="102">
        <v>3.9842105288254586</v>
      </c>
      <c r="BY7" s="91">
        <v>19</v>
      </c>
      <c r="BZ7" s="103">
        <v>2.3264736842105265</v>
      </c>
      <c r="CA7" s="92">
        <v>0</v>
      </c>
      <c r="CB7" s="104">
        <v>1</v>
      </c>
      <c r="CC7" s="91">
        <v>18</v>
      </c>
      <c r="CD7" s="92">
        <v>19</v>
      </c>
      <c r="CE7" s="104">
        <v>0.94736842105200003</v>
      </c>
      <c r="CF7" s="91">
        <v>19</v>
      </c>
      <c r="CG7" s="93" t="s">
        <v>176</v>
      </c>
      <c r="CH7" s="91">
        <v>18</v>
      </c>
      <c r="CI7" s="102">
        <v>3.9578947393517745</v>
      </c>
      <c r="CJ7" s="91">
        <v>20</v>
      </c>
      <c r="CK7" s="103">
        <v>2.7565789473684212</v>
      </c>
      <c r="CL7" s="92">
        <v>1</v>
      </c>
      <c r="CM7" s="104">
        <v>0.95</v>
      </c>
      <c r="CN7" s="91">
        <v>17</v>
      </c>
      <c r="CO7" s="92">
        <v>18</v>
      </c>
      <c r="CP7" s="104">
        <v>0.85</v>
      </c>
      <c r="CQ7" s="91">
        <v>19</v>
      </c>
      <c r="CR7" s="93" t="s">
        <v>174</v>
      </c>
      <c r="CS7" s="91">
        <v>19</v>
      </c>
      <c r="CT7" s="102">
        <v>3.8842106116445443</v>
      </c>
      <c r="CU7" s="91">
        <v>20</v>
      </c>
      <c r="CV7" s="103">
        <v>3.1612999999999998</v>
      </c>
      <c r="CW7" s="92">
        <v>0</v>
      </c>
      <c r="CX7" s="104">
        <v>1</v>
      </c>
      <c r="CY7" s="91">
        <v>17</v>
      </c>
      <c r="CZ7" s="92">
        <v>19</v>
      </c>
      <c r="DA7" s="104">
        <v>0.85</v>
      </c>
      <c r="DB7" s="91">
        <v>19</v>
      </c>
      <c r="DC7" s="93" t="s">
        <v>172</v>
      </c>
      <c r="DD7" s="91">
        <v>20</v>
      </c>
      <c r="DE7" s="102">
        <v>4.074999904632568</v>
      </c>
      <c r="DF7" s="91">
        <v>20</v>
      </c>
      <c r="DG7" s="103">
        <v>2.5071999999999997</v>
      </c>
      <c r="DH7" s="92">
        <v>0</v>
      </c>
      <c r="DI7" s="104">
        <v>1</v>
      </c>
      <c r="DJ7" s="91">
        <v>19</v>
      </c>
      <c r="DK7" s="92">
        <v>20</v>
      </c>
      <c r="DL7" s="104">
        <v>0.95</v>
      </c>
      <c r="DM7" s="91">
        <v>20</v>
      </c>
    </row>
    <row r="8" spans="1:117" thickBot="1">
      <c r="A8" s="80" t="s">
        <v>3</v>
      </c>
      <c r="B8" s="79" t="s">
        <v>4</v>
      </c>
      <c r="C8" s="77" t="s">
        <v>7</v>
      </c>
      <c r="D8" s="54">
        <v>83</v>
      </c>
      <c r="E8" s="65">
        <v>0</v>
      </c>
      <c r="F8" s="54">
        <v>0</v>
      </c>
      <c r="G8" s="94">
        <v>15185.432888624744</v>
      </c>
      <c r="H8" s="94">
        <v>7759.8391941919708</v>
      </c>
      <c r="I8" s="95">
        <v>0.97590361445700002</v>
      </c>
      <c r="J8" s="54">
        <v>81</v>
      </c>
      <c r="K8" s="54">
        <v>81</v>
      </c>
      <c r="L8" s="54">
        <v>37892.038244207361</v>
      </c>
      <c r="M8" s="54">
        <v>5720</v>
      </c>
      <c r="N8" s="54"/>
      <c r="O8" s="54"/>
      <c r="P8" s="54">
        <v>24700.000000000004</v>
      </c>
      <c r="Q8" s="54"/>
      <c r="R8" s="54"/>
      <c r="S8" s="55">
        <v>81</v>
      </c>
      <c r="T8" s="55">
        <v>0</v>
      </c>
      <c r="U8" s="55">
        <v>2</v>
      </c>
      <c r="V8" s="96">
        <v>7596.3551514200726</v>
      </c>
      <c r="W8" s="97">
        <v>5603.8483091060116</v>
      </c>
      <c r="X8" s="55">
        <v>25606.633099389041</v>
      </c>
      <c r="Y8" s="55">
        <v>991.66666666666674</v>
      </c>
      <c r="Z8" s="55"/>
      <c r="AA8" s="55"/>
      <c r="AB8" s="55">
        <v>15024.999999999998</v>
      </c>
      <c r="AC8" s="55"/>
      <c r="AD8" s="55"/>
      <c r="AE8" s="54">
        <v>84</v>
      </c>
      <c r="AF8" s="54">
        <v>0</v>
      </c>
      <c r="AG8" s="54">
        <v>0</v>
      </c>
      <c r="AH8" s="54">
        <v>84</v>
      </c>
      <c r="AI8" s="98">
        <v>42513.479722890363</v>
      </c>
      <c r="AJ8" s="98">
        <v>29372.576376135061</v>
      </c>
      <c r="AK8" s="54">
        <v>117761.27451075841</v>
      </c>
      <c r="AL8" s="54">
        <v>7233.3333333333339</v>
      </c>
      <c r="AM8" s="54"/>
      <c r="AN8" s="54"/>
      <c r="AO8" s="54">
        <v>81549.999999999985</v>
      </c>
      <c r="AP8" s="54"/>
      <c r="AQ8" s="54"/>
      <c r="AR8" s="55">
        <v>84</v>
      </c>
      <c r="AS8" s="55">
        <v>0</v>
      </c>
      <c r="AT8" s="55">
        <v>2</v>
      </c>
      <c r="AU8" s="55">
        <v>77</v>
      </c>
      <c r="AV8" s="97">
        <v>14732.421792995596</v>
      </c>
      <c r="AW8" s="97">
        <v>13496.426194518648</v>
      </c>
      <c r="AX8" s="55">
        <v>44769.003192193275</v>
      </c>
      <c r="AY8" s="55">
        <v>991.99999999999989</v>
      </c>
      <c r="AZ8" s="55"/>
      <c r="BA8" s="55"/>
      <c r="BB8" s="55">
        <v>37813.333333333336</v>
      </c>
      <c r="BC8" s="55"/>
      <c r="BD8" s="55"/>
      <c r="BE8" s="74">
        <v>61</v>
      </c>
      <c r="BF8" s="99">
        <v>46</v>
      </c>
      <c r="BG8" s="99">
        <v>53</v>
      </c>
      <c r="BH8" s="57" t="s">
        <v>107</v>
      </c>
      <c r="BI8" s="57" t="s">
        <v>107</v>
      </c>
      <c r="BJ8" s="70">
        <v>168</v>
      </c>
      <c r="BK8" s="70">
        <v>0</v>
      </c>
      <c r="BL8" s="58">
        <v>3</v>
      </c>
      <c r="BM8" s="100">
        <v>1.5162666666666664</v>
      </c>
      <c r="BN8" s="100">
        <v>0.17105454545454543</v>
      </c>
      <c r="BO8" s="100">
        <v>1.345212121212122</v>
      </c>
      <c r="BP8" s="62">
        <v>168</v>
      </c>
      <c r="BQ8" s="62">
        <v>1</v>
      </c>
      <c r="BR8" s="62">
        <v>0</v>
      </c>
      <c r="BS8" s="101">
        <v>3.032293413173651</v>
      </c>
      <c r="BT8" s="101">
        <v>0.35539520958083826</v>
      </c>
      <c r="BU8" s="101">
        <v>2.6768982035928151</v>
      </c>
      <c r="BV8" s="93" t="s">
        <v>172</v>
      </c>
      <c r="BW8" s="91">
        <v>21</v>
      </c>
      <c r="BX8" s="102">
        <v>4</v>
      </c>
      <c r="BY8" s="91">
        <v>21</v>
      </c>
      <c r="BZ8" s="103">
        <v>2.4541428571428576</v>
      </c>
      <c r="CA8" s="92">
        <v>0</v>
      </c>
      <c r="CB8" s="104">
        <v>1</v>
      </c>
      <c r="CC8" s="91">
        <v>21</v>
      </c>
      <c r="CD8" s="92">
        <v>21</v>
      </c>
      <c r="CE8" s="104">
        <v>1</v>
      </c>
      <c r="CF8" s="91">
        <v>21</v>
      </c>
      <c r="CG8" s="93" t="s">
        <v>180</v>
      </c>
      <c r="CH8" s="91">
        <v>19</v>
      </c>
      <c r="CI8" s="102">
        <v>3.9500000119209289</v>
      </c>
      <c r="CJ8" s="91">
        <v>21</v>
      </c>
      <c r="CK8" s="103">
        <v>3.1852380952380952</v>
      </c>
      <c r="CL8" s="92">
        <v>0</v>
      </c>
      <c r="CM8" s="104">
        <v>1</v>
      </c>
      <c r="CN8" s="91">
        <v>17</v>
      </c>
      <c r="CO8" s="92">
        <v>19</v>
      </c>
      <c r="CP8" s="104">
        <v>0.80952380952299996</v>
      </c>
      <c r="CQ8" s="91">
        <v>20</v>
      </c>
      <c r="CR8" s="93" t="s">
        <v>172</v>
      </c>
      <c r="CS8" s="91">
        <v>21</v>
      </c>
      <c r="CT8" s="102">
        <v>3.9000000953674316</v>
      </c>
      <c r="CU8" s="91">
        <v>21</v>
      </c>
      <c r="CV8" s="103">
        <v>3.0700952380952384</v>
      </c>
      <c r="CW8" s="92">
        <v>0</v>
      </c>
      <c r="CX8" s="104">
        <v>1</v>
      </c>
      <c r="CY8" s="91">
        <v>20</v>
      </c>
      <c r="CZ8" s="92">
        <v>21</v>
      </c>
      <c r="DA8" s="104">
        <v>0.95238095237999998</v>
      </c>
      <c r="DB8" s="91">
        <v>21</v>
      </c>
      <c r="DC8" s="93" t="s">
        <v>181</v>
      </c>
      <c r="DD8" s="91">
        <v>20</v>
      </c>
      <c r="DE8" s="102">
        <v>4.0699999213218687</v>
      </c>
      <c r="DF8" s="91">
        <v>21</v>
      </c>
      <c r="DG8" s="103">
        <v>2.7638095238095239</v>
      </c>
      <c r="DH8" s="92">
        <v>0</v>
      </c>
      <c r="DI8" s="104">
        <v>1</v>
      </c>
      <c r="DJ8" s="91">
        <v>18</v>
      </c>
      <c r="DK8" s="92">
        <v>20</v>
      </c>
      <c r="DL8" s="104">
        <v>0.857142857142</v>
      </c>
      <c r="DM8" s="91">
        <v>20</v>
      </c>
    </row>
    <row r="9" spans="1:117" thickBot="1">
      <c r="A9" s="80" t="s">
        <v>3</v>
      </c>
      <c r="B9" s="79" t="s">
        <v>4</v>
      </c>
      <c r="C9" s="75" t="s">
        <v>8</v>
      </c>
      <c r="D9" s="54">
        <v>64</v>
      </c>
      <c r="E9" s="65">
        <v>0</v>
      </c>
      <c r="F9" s="54">
        <v>0</v>
      </c>
      <c r="G9" s="94">
        <v>9753.5811235931233</v>
      </c>
      <c r="H9" s="94">
        <v>4596.3019987259395</v>
      </c>
      <c r="I9" s="95">
        <v>0.9375</v>
      </c>
      <c r="J9" s="54">
        <v>60</v>
      </c>
      <c r="K9" s="54">
        <v>64</v>
      </c>
      <c r="L9" s="54">
        <v>28218.382625166243</v>
      </c>
      <c r="M9" s="54">
        <v>4114.2857142857147</v>
      </c>
      <c r="N9" s="54"/>
      <c r="O9" s="54"/>
      <c r="P9" s="54">
        <v>14533.333333333334</v>
      </c>
      <c r="Q9" s="54"/>
      <c r="R9" s="54"/>
      <c r="S9" s="55">
        <v>64</v>
      </c>
      <c r="T9" s="55">
        <v>0</v>
      </c>
      <c r="U9" s="55">
        <v>1</v>
      </c>
      <c r="V9" s="96">
        <v>6979.133153646042</v>
      </c>
      <c r="W9" s="97">
        <v>3124.8553473945476</v>
      </c>
      <c r="X9" s="55">
        <v>11557.275514860639</v>
      </c>
      <c r="Y9" s="55">
        <v>2325</v>
      </c>
      <c r="Z9" s="55"/>
      <c r="AA9" s="55"/>
      <c r="AB9" s="55">
        <v>10675</v>
      </c>
      <c r="AC9" s="55"/>
      <c r="AD9" s="55"/>
      <c r="AE9" s="54">
        <v>64</v>
      </c>
      <c r="AF9" s="54">
        <v>0</v>
      </c>
      <c r="AG9" s="54">
        <v>0</v>
      </c>
      <c r="AH9" s="54">
        <v>63</v>
      </c>
      <c r="AI9" s="98">
        <v>24625.416499547842</v>
      </c>
      <c r="AJ9" s="98">
        <v>12856.040517117928</v>
      </c>
      <c r="AK9" s="54">
        <v>59295.299760512964</v>
      </c>
      <c r="AL9" s="54">
        <v>9100</v>
      </c>
      <c r="AM9" s="54"/>
      <c r="AN9" s="54"/>
      <c r="AO9" s="54">
        <v>44100.000000000007</v>
      </c>
      <c r="AP9" s="54"/>
      <c r="AQ9" s="54"/>
      <c r="AR9" s="55">
        <v>64</v>
      </c>
      <c r="AS9" s="55">
        <v>1</v>
      </c>
      <c r="AT9" s="55">
        <v>0</v>
      </c>
      <c r="AU9" s="55">
        <v>63</v>
      </c>
      <c r="AV9" s="97">
        <v>12894.852249824185</v>
      </c>
      <c r="AW9" s="97">
        <v>9525.9819334930016</v>
      </c>
      <c r="AX9" s="55">
        <v>31287.717141290163</v>
      </c>
      <c r="AY9" s="55">
        <v>2120</v>
      </c>
      <c r="AZ9" s="55"/>
      <c r="BA9" s="55"/>
      <c r="BB9" s="55">
        <v>28560.000000000004</v>
      </c>
      <c r="BC9" s="55"/>
      <c r="BD9" s="55"/>
      <c r="BE9" s="74">
        <v>50</v>
      </c>
      <c r="BF9" s="99">
        <v>82</v>
      </c>
      <c r="BG9" s="99">
        <v>83</v>
      </c>
      <c r="BH9" s="57" t="s">
        <v>107</v>
      </c>
      <c r="BI9" s="57" t="s">
        <v>107</v>
      </c>
      <c r="BJ9" s="70">
        <v>128</v>
      </c>
      <c r="BK9" s="70">
        <v>2</v>
      </c>
      <c r="BL9" s="58">
        <v>2</v>
      </c>
      <c r="BM9" s="100">
        <v>2.0878145161290331</v>
      </c>
      <c r="BN9" s="100">
        <v>0.39243548387096749</v>
      </c>
      <c r="BO9" s="100">
        <v>1.6953790322580653</v>
      </c>
      <c r="BP9" s="62">
        <v>128</v>
      </c>
      <c r="BQ9" s="62">
        <v>0</v>
      </c>
      <c r="BR9" s="62">
        <v>1</v>
      </c>
      <c r="BS9" s="101">
        <v>3.6150944881889768</v>
      </c>
      <c r="BT9" s="101">
        <v>0.47551181102362217</v>
      </c>
      <c r="BU9" s="101">
        <v>3.1395826771653557</v>
      </c>
      <c r="BV9" s="93" t="s">
        <v>181</v>
      </c>
      <c r="BW9" s="91">
        <v>15</v>
      </c>
      <c r="BX9" s="102">
        <v>3.9562499970197678</v>
      </c>
      <c r="BY9" s="91">
        <v>16</v>
      </c>
      <c r="BZ9" s="103">
        <v>2.6893750000000005</v>
      </c>
      <c r="CA9" s="92">
        <v>0</v>
      </c>
      <c r="CB9" s="104">
        <v>1</v>
      </c>
      <c r="CC9" s="91">
        <v>15</v>
      </c>
      <c r="CD9" s="92">
        <v>15</v>
      </c>
      <c r="CE9" s="104">
        <v>0.9375</v>
      </c>
      <c r="CF9" s="91">
        <v>16</v>
      </c>
      <c r="CG9" s="93" t="s">
        <v>172</v>
      </c>
      <c r="CH9" s="91">
        <v>15</v>
      </c>
      <c r="CI9" s="102">
        <v>3.9866666793823242</v>
      </c>
      <c r="CJ9" s="91">
        <v>15</v>
      </c>
      <c r="CK9" s="103">
        <v>2.3603333333333327</v>
      </c>
      <c r="CL9" s="92">
        <v>0</v>
      </c>
      <c r="CM9" s="104">
        <v>1</v>
      </c>
      <c r="CN9" s="91">
        <v>13</v>
      </c>
      <c r="CO9" s="92">
        <v>15</v>
      </c>
      <c r="CP9" s="104">
        <v>0.86666666666600001</v>
      </c>
      <c r="CQ9" s="91">
        <v>15</v>
      </c>
      <c r="CR9" s="93" t="s">
        <v>172</v>
      </c>
      <c r="CS9" s="91">
        <v>16</v>
      </c>
      <c r="CT9" s="102">
        <v>3.9000000953674316</v>
      </c>
      <c r="CU9" s="91">
        <v>16</v>
      </c>
      <c r="CV9" s="103">
        <v>2.4016874999999995</v>
      </c>
      <c r="CW9" s="92">
        <v>0</v>
      </c>
      <c r="CX9" s="104">
        <v>1</v>
      </c>
      <c r="CY9" s="91">
        <v>16</v>
      </c>
      <c r="CZ9" s="92">
        <v>16</v>
      </c>
      <c r="DA9" s="104">
        <v>1</v>
      </c>
      <c r="DB9" s="91">
        <v>16</v>
      </c>
      <c r="DC9" s="93" t="s">
        <v>172</v>
      </c>
      <c r="DD9" s="91">
        <v>16</v>
      </c>
      <c r="DE9" s="102">
        <v>4.0999999046325684</v>
      </c>
      <c r="DF9" s="91">
        <v>16</v>
      </c>
      <c r="DG9" s="103">
        <v>2.6324999999999994</v>
      </c>
      <c r="DH9" s="92">
        <v>0</v>
      </c>
      <c r="DI9" s="104">
        <v>1</v>
      </c>
      <c r="DJ9" s="91">
        <v>16</v>
      </c>
      <c r="DK9" s="92">
        <v>16</v>
      </c>
      <c r="DL9" s="104">
        <v>1</v>
      </c>
      <c r="DM9" s="91">
        <v>16</v>
      </c>
    </row>
    <row r="10" spans="1:117" customFormat="1" ht="15.75" thickBo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W10" s="11"/>
      <c r="X10" s="11"/>
      <c r="Y10" s="11"/>
      <c r="Z10" s="11"/>
      <c r="AA10" s="11"/>
      <c r="AB10" s="12"/>
      <c r="AC10" s="12"/>
      <c r="AD10" s="12"/>
      <c r="AE10" s="12"/>
      <c r="AF10" s="12"/>
      <c r="AG10" s="12"/>
      <c r="AH10" s="12"/>
      <c r="AI10" s="12"/>
      <c r="AJ10" s="12"/>
      <c r="AK10" s="14"/>
      <c r="AL10" s="14"/>
      <c r="AM10" s="14"/>
      <c r="AN10" s="14"/>
      <c r="AO10" s="14"/>
      <c r="AP10" s="37"/>
      <c r="AQ10" s="14"/>
      <c r="AR10" s="14"/>
      <c r="AS10" s="14"/>
      <c r="AT10" s="14"/>
      <c r="AU10" s="10"/>
      <c r="AV10" s="10"/>
      <c r="AW10" s="10"/>
      <c r="AX10" s="10"/>
      <c r="AY10" s="10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21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thickBot="1">
      <c r="A12" s="80" t="s">
        <v>3</v>
      </c>
      <c r="B12" s="79" t="s">
        <v>4</v>
      </c>
      <c r="C12" s="81" t="s">
        <v>5</v>
      </c>
      <c r="D12" s="54">
        <v>81</v>
      </c>
      <c r="E12" s="65">
        <v>0</v>
      </c>
      <c r="F12" s="65">
        <v>1</v>
      </c>
      <c r="G12" s="94">
        <v>35174.01419777119</v>
      </c>
      <c r="H12" s="94">
        <v>21304.765616516033</v>
      </c>
      <c r="I12" s="95">
        <v>0.95</v>
      </c>
      <c r="J12" s="54">
        <v>76</v>
      </c>
      <c r="K12" s="54">
        <v>79</v>
      </c>
      <c r="L12" s="54">
        <v>83577.215181344814</v>
      </c>
      <c r="M12" s="54">
        <v>8000</v>
      </c>
      <c r="N12" s="54"/>
      <c r="O12" s="54"/>
      <c r="P12" s="54">
        <v>68000</v>
      </c>
      <c r="Q12" s="54"/>
      <c r="R12" s="54"/>
      <c r="S12" s="55">
        <v>84</v>
      </c>
      <c r="T12" s="55">
        <v>0</v>
      </c>
      <c r="U12" s="55">
        <v>2</v>
      </c>
      <c r="V12" s="96">
        <v>12118.014011781246</v>
      </c>
      <c r="W12" s="97">
        <v>6595.364522357826</v>
      </c>
      <c r="X12" s="55">
        <v>23546.257257066398</v>
      </c>
      <c r="Y12" s="55">
        <v>1866.666666666667</v>
      </c>
      <c r="Z12" s="55"/>
      <c r="AA12" s="55"/>
      <c r="AB12" s="55">
        <v>21300</v>
      </c>
      <c r="AC12" s="55"/>
      <c r="AD12" s="55"/>
      <c r="AE12" s="54">
        <v>84</v>
      </c>
      <c r="AF12" s="54">
        <v>0</v>
      </c>
      <c r="AG12" s="54">
        <v>0</v>
      </c>
      <c r="AH12" s="54">
        <v>84</v>
      </c>
      <c r="AI12" s="98">
        <v>45989.674438448375</v>
      </c>
      <c r="AJ12" s="98">
        <v>33036.064022586244</v>
      </c>
      <c r="AK12" s="54">
        <v>138737.44800447041</v>
      </c>
      <c r="AL12" s="54">
        <v>3850.0000000000005</v>
      </c>
      <c r="AM12" s="54"/>
      <c r="AN12" s="54"/>
      <c r="AO12" s="54">
        <v>93800.000000000015</v>
      </c>
      <c r="AP12" s="54"/>
      <c r="AQ12" s="54"/>
      <c r="AR12" s="55">
        <v>84</v>
      </c>
      <c r="AS12" s="55">
        <v>1</v>
      </c>
      <c r="AT12" s="55">
        <v>0</v>
      </c>
      <c r="AU12" s="55">
        <v>81</v>
      </c>
      <c r="AV12" s="97">
        <v>21418.658578979921</v>
      </c>
      <c r="AW12" s="97">
        <v>15083.551027772113</v>
      </c>
      <c r="AX12" s="55">
        <v>47716.985985879124</v>
      </c>
      <c r="AY12" s="55">
        <v>2840</v>
      </c>
      <c r="AZ12" s="55"/>
      <c r="BA12" s="55"/>
      <c r="BB12" s="55">
        <v>44186.666666666664</v>
      </c>
      <c r="BC12" s="55"/>
      <c r="BD12" s="55"/>
      <c r="BE12" s="74">
        <v>61</v>
      </c>
      <c r="BF12" s="99">
        <v>32</v>
      </c>
      <c r="BG12" s="99">
        <v>35</v>
      </c>
      <c r="BH12" s="57"/>
      <c r="BI12" s="57"/>
      <c r="BJ12" s="70">
        <v>168</v>
      </c>
      <c r="BK12" s="70">
        <v>1</v>
      </c>
      <c r="BL12" s="58">
        <v>0</v>
      </c>
      <c r="BM12" s="100">
        <v>1.4434850299401198</v>
      </c>
      <c r="BN12" s="100">
        <v>0.295814371257485</v>
      </c>
      <c r="BO12" s="100">
        <v>1.1476706586826348</v>
      </c>
      <c r="BP12" s="62">
        <v>168</v>
      </c>
      <c r="BQ12" s="62">
        <v>0</v>
      </c>
      <c r="BR12" s="62">
        <v>0</v>
      </c>
      <c r="BS12" s="101">
        <v>2.9236309523809525</v>
      </c>
      <c r="BT12" s="101">
        <v>0.32081547619047618</v>
      </c>
      <c r="BU12" s="101">
        <v>2.602815476190476</v>
      </c>
      <c r="BV12" s="93">
        <v>1042</v>
      </c>
      <c r="BW12" s="91">
        <v>80</v>
      </c>
      <c r="BX12" s="102">
        <v>3.9369047624724254</v>
      </c>
      <c r="BY12" s="91">
        <v>84</v>
      </c>
      <c r="BZ12" s="103">
        <v>2.7675714285714283</v>
      </c>
      <c r="CA12" s="92">
        <v>0</v>
      </c>
      <c r="CB12" s="104">
        <v>1</v>
      </c>
      <c r="CC12" s="91">
        <v>75</v>
      </c>
      <c r="CD12" s="92">
        <v>80</v>
      </c>
      <c r="CE12" s="104">
        <v>0.8928571428571429</v>
      </c>
      <c r="CF12" s="91">
        <v>84</v>
      </c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thickBot="1">
      <c r="A13" s="80" t="s">
        <v>3</v>
      </c>
      <c r="B13" s="79" t="s">
        <v>4</v>
      </c>
      <c r="C13" s="68" t="s">
        <v>6</v>
      </c>
      <c r="D13" s="54">
        <v>80</v>
      </c>
      <c r="E13" s="65">
        <v>0</v>
      </c>
      <c r="F13" s="54">
        <v>1</v>
      </c>
      <c r="G13" s="94">
        <v>27591.329253669246</v>
      </c>
      <c r="H13" s="94">
        <v>20396.619101121833</v>
      </c>
      <c r="I13" s="95">
        <v>0.94936708860759489</v>
      </c>
      <c r="J13" s="54">
        <v>75</v>
      </c>
      <c r="K13" s="54">
        <v>78</v>
      </c>
      <c r="L13" s="54">
        <v>77992.469558115205</v>
      </c>
      <c r="M13" s="54">
        <v>4950</v>
      </c>
      <c r="N13" s="54"/>
      <c r="O13" s="54"/>
      <c r="P13" s="54">
        <v>64200.000000000015</v>
      </c>
      <c r="Q13" s="54"/>
      <c r="R13" s="54"/>
      <c r="S13" s="55">
        <v>79</v>
      </c>
      <c r="T13" s="55">
        <v>0</v>
      </c>
      <c r="U13" s="55">
        <v>2</v>
      </c>
      <c r="V13" s="96">
        <v>9680.741371309392</v>
      </c>
      <c r="W13" s="97">
        <v>5498.3142262100246</v>
      </c>
      <c r="X13" s="55">
        <v>23082.01019787792</v>
      </c>
      <c r="Y13" s="55">
        <v>1616.6666666666667</v>
      </c>
      <c r="Z13" s="55"/>
      <c r="AA13" s="55"/>
      <c r="AB13" s="55">
        <v>14912.5</v>
      </c>
      <c r="AC13" s="55"/>
      <c r="AD13" s="55"/>
      <c r="AE13" s="54">
        <v>80</v>
      </c>
      <c r="AF13" s="54">
        <v>0</v>
      </c>
      <c r="AG13" s="54">
        <v>0</v>
      </c>
      <c r="AH13" s="54">
        <v>80</v>
      </c>
      <c r="AI13" s="98">
        <v>37968.054441591943</v>
      </c>
      <c r="AJ13" s="98">
        <v>28006.887009032424</v>
      </c>
      <c r="AK13" s="54">
        <v>116819.10198628239</v>
      </c>
      <c r="AL13" s="54">
        <v>7500</v>
      </c>
      <c r="AM13" s="54"/>
      <c r="AN13" s="54"/>
      <c r="AO13" s="54">
        <v>77000</v>
      </c>
      <c r="AP13" s="54"/>
      <c r="AQ13" s="54"/>
      <c r="AR13" s="55">
        <v>80</v>
      </c>
      <c r="AS13" s="55">
        <v>0</v>
      </c>
      <c r="AT13" s="55">
        <v>1</v>
      </c>
      <c r="AU13" s="55">
        <v>77</v>
      </c>
      <c r="AV13" s="97">
        <v>17035.677863535977</v>
      </c>
      <c r="AW13" s="97">
        <v>11698.144394667088</v>
      </c>
      <c r="AX13" s="55">
        <v>36815.139859902076</v>
      </c>
      <c r="AY13" s="55">
        <v>2373.3333333333335</v>
      </c>
      <c r="AZ13" s="55"/>
      <c r="BA13" s="55"/>
      <c r="BB13" s="55">
        <v>34693.333333333336</v>
      </c>
      <c r="BC13" s="55"/>
      <c r="BD13" s="55"/>
      <c r="BE13" s="74">
        <v>52</v>
      </c>
      <c r="BF13" s="99">
        <v>45</v>
      </c>
      <c r="BG13" s="99">
        <v>78</v>
      </c>
      <c r="BH13" s="57"/>
      <c r="BI13" s="57"/>
      <c r="BJ13" s="70">
        <v>160</v>
      </c>
      <c r="BK13" s="70">
        <v>0</v>
      </c>
      <c r="BL13" s="58">
        <v>0</v>
      </c>
      <c r="BM13" s="100">
        <v>1.2225750000000002</v>
      </c>
      <c r="BN13" s="100">
        <v>0.19746875000000003</v>
      </c>
      <c r="BO13" s="100">
        <v>1.0251062499999999</v>
      </c>
      <c r="BP13" s="62">
        <v>160</v>
      </c>
      <c r="BQ13" s="62">
        <v>0</v>
      </c>
      <c r="BR13" s="62">
        <v>2</v>
      </c>
      <c r="BS13" s="101">
        <v>3.1318734177215193</v>
      </c>
      <c r="BT13" s="101">
        <v>0.37782278481012666</v>
      </c>
      <c r="BU13" s="101">
        <v>2.7540506329113921</v>
      </c>
      <c r="BV13" s="93">
        <v>1070</v>
      </c>
      <c r="BW13" s="91">
        <v>76</v>
      </c>
      <c r="BX13" s="102">
        <v>3.9766233741463006</v>
      </c>
      <c r="BY13" s="91">
        <v>79</v>
      </c>
      <c r="BZ13" s="103">
        <v>2.6916410256410255</v>
      </c>
      <c r="CA13" s="92">
        <v>1</v>
      </c>
      <c r="CB13" s="104">
        <v>0.98734177215189878</v>
      </c>
      <c r="CC13" s="91">
        <v>71</v>
      </c>
      <c r="CD13" s="92">
        <v>76</v>
      </c>
      <c r="CE13" s="104">
        <v>0.89873417721518989</v>
      </c>
      <c r="CF13" s="91">
        <v>77</v>
      </c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thickBot="1">
      <c r="A14" s="80" t="s">
        <v>3</v>
      </c>
      <c r="B14" s="79" t="s">
        <v>4</v>
      </c>
      <c r="C14" s="77" t="s">
        <v>7</v>
      </c>
      <c r="D14" s="54">
        <v>83</v>
      </c>
      <c r="E14" s="65">
        <v>0</v>
      </c>
      <c r="F14" s="54">
        <v>0</v>
      </c>
      <c r="G14" s="94">
        <v>15185.432888624746</v>
      </c>
      <c r="H14" s="94">
        <v>7759.8391941919708</v>
      </c>
      <c r="I14" s="95">
        <v>0.97590361445783136</v>
      </c>
      <c r="J14" s="54">
        <v>81</v>
      </c>
      <c r="K14" s="54">
        <v>81</v>
      </c>
      <c r="L14" s="54">
        <v>37892.038244207361</v>
      </c>
      <c r="M14" s="54">
        <v>5720.0000000000009</v>
      </c>
      <c r="N14" s="54"/>
      <c r="O14" s="54"/>
      <c r="P14" s="54">
        <v>24700.000000000004</v>
      </c>
      <c r="Q14" s="54"/>
      <c r="R14" s="54"/>
      <c r="S14" s="55">
        <v>81</v>
      </c>
      <c r="T14" s="55">
        <v>0</v>
      </c>
      <c r="U14" s="55">
        <v>2</v>
      </c>
      <c r="V14" s="96">
        <v>7596.3551514200744</v>
      </c>
      <c r="W14" s="97">
        <v>5603.8483091060116</v>
      </c>
      <c r="X14" s="55">
        <v>25606.633099389041</v>
      </c>
      <c r="Y14" s="55">
        <v>991.66666666666674</v>
      </c>
      <c r="Z14" s="55"/>
      <c r="AA14" s="55"/>
      <c r="AB14" s="55">
        <v>15025.000000000002</v>
      </c>
      <c r="AC14" s="55"/>
      <c r="AD14" s="55"/>
      <c r="AE14" s="54">
        <v>84</v>
      </c>
      <c r="AF14" s="54">
        <v>0</v>
      </c>
      <c r="AG14" s="54">
        <v>0</v>
      </c>
      <c r="AH14" s="54">
        <v>84</v>
      </c>
      <c r="AI14" s="98">
        <v>42513.479722890384</v>
      </c>
      <c r="AJ14" s="98">
        <v>29372.576376135064</v>
      </c>
      <c r="AK14" s="54">
        <v>117761.27451075841</v>
      </c>
      <c r="AL14" s="54">
        <v>7233.333333333333</v>
      </c>
      <c r="AM14" s="54"/>
      <c r="AN14" s="54"/>
      <c r="AO14" s="54">
        <v>81550.000000000015</v>
      </c>
      <c r="AP14" s="54"/>
      <c r="AQ14" s="54"/>
      <c r="AR14" s="55">
        <v>84</v>
      </c>
      <c r="AS14" s="55">
        <v>0</v>
      </c>
      <c r="AT14" s="55">
        <v>2</v>
      </c>
      <c r="AU14" s="55">
        <v>77</v>
      </c>
      <c r="AV14" s="97">
        <v>14732.42179299559</v>
      </c>
      <c r="AW14" s="97">
        <v>13496.42619451865</v>
      </c>
      <c r="AX14" s="55">
        <v>44769.003192193275</v>
      </c>
      <c r="AY14" s="55">
        <v>992.00000000000023</v>
      </c>
      <c r="AZ14" s="55"/>
      <c r="BA14" s="55"/>
      <c r="BB14" s="55">
        <v>37813.333333333336</v>
      </c>
      <c r="BC14" s="55"/>
      <c r="BD14" s="55"/>
      <c r="BE14" s="74">
        <v>61</v>
      </c>
      <c r="BF14" s="99">
        <v>46</v>
      </c>
      <c r="BG14" s="99">
        <v>53</v>
      </c>
      <c r="BH14" s="57"/>
      <c r="BI14" s="57"/>
      <c r="BJ14" s="70">
        <v>168</v>
      </c>
      <c r="BK14" s="70">
        <v>0</v>
      </c>
      <c r="BL14" s="58">
        <v>3</v>
      </c>
      <c r="BM14" s="100">
        <v>1.5162666666666667</v>
      </c>
      <c r="BN14" s="100">
        <v>0.17105454545454546</v>
      </c>
      <c r="BO14" s="100">
        <v>1.3452121212121213</v>
      </c>
      <c r="BP14" s="62">
        <v>168</v>
      </c>
      <c r="BQ14" s="62">
        <v>1</v>
      </c>
      <c r="BR14" s="62">
        <v>0</v>
      </c>
      <c r="BS14" s="101">
        <v>3.0322934131736523</v>
      </c>
      <c r="BT14" s="101">
        <v>0.35539520958083831</v>
      </c>
      <c r="BU14" s="101">
        <v>2.6768982035928146</v>
      </c>
      <c r="BV14" s="93">
        <v>1068</v>
      </c>
      <c r="BW14" s="91">
        <v>81</v>
      </c>
      <c r="BX14" s="102">
        <v>3.979268300824049</v>
      </c>
      <c r="BY14" s="91">
        <v>84</v>
      </c>
      <c r="BZ14" s="103">
        <v>2.868321428571428</v>
      </c>
      <c r="CA14" s="92">
        <v>0</v>
      </c>
      <c r="CB14" s="104">
        <v>1</v>
      </c>
      <c r="CC14" s="91">
        <v>76</v>
      </c>
      <c r="CD14" s="92">
        <v>81</v>
      </c>
      <c r="CE14" s="104">
        <v>0.90476190476190477</v>
      </c>
      <c r="CF14" s="91">
        <v>82</v>
      </c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thickBot="1">
      <c r="A15" s="80" t="s">
        <v>3</v>
      </c>
      <c r="B15" s="79" t="s">
        <v>4</v>
      </c>
      <c r="C15" s="75" t="s">
        <v>8</v>
      </c>
      <c r="D15" s="54">
        <v>64</v>
      </c>
      <c r="E15" s="65">
        <v>0</v>
      </c>
      <c r="F15" s="54">
        <v>0</v>
      </c>
      <c r="G15" s="94">
        <v>9753.5811235931214</v>
      </c>
      <c r="H15" s="94">
        <v>4596.3019987259386</v>
      </c>
      <c r="I15" s="95">
        <v>0.9375</v>
      </c>
      <c r="J15" s="54">
        <v>60</v>
      </c>
      <c r="K15" s="54">
        <v>64</v>
      </c>
      <c r="L15" s="54">
        <v>28218.382625166243</v>
      </c>
      <c r="M15" s="54">
        <v>4114.2857142857147</v>
      </c>
      <c r="N15" s="54"/>
      <c r="O15" s="54"/>
      <c r="P15" s="54">
        <v>14533.333333333334</v>
      </c>
      <c r="Q15" s="54"/>
      <c r="R15" s="54"/>
      <c r="S15" s="55">
        <v>64</v>
      </c>
      <c r="T15" s="55">
        <v>0</v>
      </c>
      <c r="U15" s="55">
        <v>1</v>
      </c>
      <c r="V15" s="96">
        <v>6979.133153646043</v>
      </c>
      <c r="W15" s="97">
        <v>3124.8553473945476</v>
      </c>
      <c r="X15" s="55">
        <v>11557.275514860639</v>
      </c>
      <c r="Y15" s="55">
        <v>2325</v>
      </c>
      <c r="Z15" s="55"/>
      <c r="AA15" s="55"/>
      <c r="AB15" s="55">
        <v>10675</v>
      </c>
      <c r="AC15" s="55"/>
      <c r="AD15" s="55"/>
      <c r="AE15" s="54">
        <v>64</v>
      </c>
      <c r="AF15" s="54">
        <v>0</v>
      </c>
      <c r="AG15" s="54">
        <v>0</v>
      </c>
      <c r="AH15" s="54">
        <v>63</v>
      </c>
      <c r="AI15" s="98">
        <v>24625.416499547839</v>
      </c>
      <c r="AJ15" s="98">
        <v>12856.040517117928</v>
      </c>
      <c r="AK15" s="54">
        <v>59295.299760512964</v>
      </c>
      <c r="AL15" s="54">
        <v>9100.0000000000018</v>
      </c>
      <c r="AM15" s="54"/>
      <c r="AN15" s="54"/>
      <c r="AO15" s="54">
        <v>44100.000000000007</v>
      </c>
      <c r="AP15" s="54"/>
      <c r="AQ15" s="54"/>
      <c r="AR15" s="55">
        <v>64</v>
      </c>
      <c r="AS15" s="55">
        <v>1</v>
      </c>
      <c r="AT15" s="55">
        <v>0</v>
      </c>
      <c r="AU15" s="55">
        <v>63</v>
      </c>
      <c r="AV15" s="97">
        <v>12894.852249824187</v>
      </c>
      <c r="AW15" s="97">
        <v>9525.981933492998</v>
      </c>
      <c r="AX15" s="55">
        <v>31287.717141290163</v>
      </c>
      <c r="AY15" s="55">
        <v>2120.0000000000005</v>
      </c>
      <c r="AZ15" s="55"/>
      <c r="BA15" s="55"/>
      <c r="BB15" s="55">
        <v>28560.000000000004</v>
      </c>
      <c r="BC15" s="55"/>
      <c r="BD15" s="55"/>
      <c r="BE15" s="74">
        <v>50</v>
      </c>
      <c r="BF15" s="99">
        <v>82</v>
      </c>
      <c r="BG15" s="99">
        <v>83</v>
      </c>
      <c r="BH15" s="57"/>
      <c r="BI15" s="57"/>
      <c r="BJ15" s="70">
        <v>128</v>
      </c>
      <c r="BK15" s="70">
        <v>2</v>
      </c>
      <c r="BL15" s="58">
        <v>2</v>
      </c>
      <c r="BM15" s="100">
        <v>2.0878145161290322</v>
      </c>
      <c r="BN15" s="100">
        <v>0.39243548387096772</v>
      </c>
      <c r="BO15" s="100">
        <v>1.6953790322580646</v>
      </c>
      <c r="BP15" s="62">
        <v>128</v>
      </c>
      <c r="BQ15" s="62">
        <v>0</v>
      </c>
      <c r="BR15" s="62">
        <v>1</v>
      </c>
      <c r="BS15" s="101">
        <v>3.6150944881889759</v>
      </c>
      <c r="BT15" s="101">
        <v>0.47551181102362206</v>
      </c>
      <c r="BU15" s="101">
        <v>3.1395826771653543</v>
      </c>
      <c r="BV15" s="93">
        <v>1073</v>
      </c>
      <c r="BW15" s="91">
        <v>62</v>
      </c>
      <c r="BX15" s="102">
        <v>3.9857142879849388</v>
      </c>
      <c r="BY15" s="91">
        <v>63</v>
      </c>
      <c r="BZ15" s="103">
        <v>2.5235238095238093</v>
      </c>
      <c r="CA15" s="92">
        <v>0</v>
      </c>
      <c r="CB15" s="104">
        <v>1</v>
      </c>
      <c r="CC15" s="91">
        <v>60</v>
      </c>
      <c r="CD15" s="92">
        <v>62</v>
      </c>
      <c r="CE15" s="104">
        <v>0.95238095238095233</v>
      </c>
      <c r="CF15" s="91">
        <v>63</v>
      </c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ht="15.75" thickBo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I16"/>
      <c r="BJ16"/>
      <c r="BK16"/>
      <c r="BL16"/>
      <c r="BM16"/>
      <c r="BN16"/>
      <c r="BO16"/>
      <c r="BP16"/>
      <c r="BQ16"/>
      <c r="BR16"/>
      <c r="BS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</row>
    <row r="17" spans="1:16343" s="21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43" s="50" customFormat="1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19" si="0">E6=E12</f>
        <v>1</v>
      </c>
      <c r="F18" s="49" t="b">
        <f t="shared" si="0"/>
        <v>1</v>
      </c>
      <c r="G18" s="49" t="b">
        <f t="shared" si="0"/>
        <v>1</v>
      </c>
      <c r="H18" s="49" t="b">
        <f t="shared" si="0"/>
        <v>1</v>
      </c>
      <c r="I18" s="49" t="b">
        <f t="shared" si="0"/>
        <v>1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1</v>
      </c>
      <c r="O18" s="49" t="b">
        <f t="shared" si="0"/>
        <v>1</v>
      </c>
      <c r="P18" s="49" t="b">
        <f t="shared" si="0"/>
        <v>1</v>
      </c>
      <c r="Q18" s="49" t="b">
        <f t="shared" si="0"/>
        <v>1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1</v>
      </c>
      <c r="AA18" s="49" t="b">
        <f t="shared" si="0"/>
        <v>1</v>
      </c>
      <c r="AB18" s="49" t="b">
        <f t="shared" si="0"/>
        <v>1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0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1</v>
      </c>
      <c r="BA18" s="49" t="b">
        <f t="shared" si="0"/>
        <v>1</v>
      </c>
      <c r="BB18" s="49" t="b">
        <f t="shared" si="0"/>
        <v>1</v>
      </c>
      <c r="BC18" s="49" t="b">
        <f t="shared" si="0"/>
        <v>1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BV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b">
        <f>BV6=BV12</f>
        <v>0</v>
      </c>
      <c r="BW18" s="49" t="b">
        <f>(BW6+CH6+CS6+DD6)=BW12</f>
        <v>1</v>
      </c>
      <c r="BX18" s="49" t="b">
        <f>(BX6+CI6+CT6+DE6)/4=BX12</f>
        <v>1</v>
      </c>
      <c r="BY18" s="49" t="b">
        <f t="shared" ref="BY18:CF18" si="2">(BY6+CJ6+CU6+DF6)=BY12</f>
        <v>1</v>
      </c>
      <c r="BZ18" s="49" t="b">
        <f>(BZ6+CK6+CV6+DG6)/4=BZ12</f>
        <v>1</v>
      </c>
      <c r="CA18" s="49" t="b">
        <f t="shared" si="2"/>
        <v>1</v>
      </c>
      <c r="CB18" s="49" t="b">
        <f>(CB6+CM6+CX6+DI6)/4=CB12</f>
        <v>1</v>
      </c>
      <c r="CC18" s="49" t="b">
        <f t="shared" si="2"/>
        <v>1</v>
      </c>
      <c r="CD18" s="49" t="b">
        <f t="shared" si="2"/>
        <v>1</v>
      </c>
      <c r="CE18" s="49" t="b">
        <f>(CE6+CP6+DA6+DL6)/4=CE12</f>
        <v>0</v>
      </c>
      <c r="CF18" s="49" t="b">
        <f t="shared" si="2"/>
        <v>1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</row>
    <row r="19" spans="1:16343" s="50" customFormat="1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1</v>
      </c>
      <c r="E19" s="49" t="b">
        <f t="shared" si="3"/>
        <v>1</v>
      </c>
      <c r="F19" s="49" t="b">
        <f t="shared" si="3"/>
        <v>1</v>
      </c>
      <c r="G19" s="49" t="b">
        <f t="shared" si="3"/>
        <v>1</v>
      </c>
      <c r="H19" s="49" t="b">
        <f t="shared" si="3"/>
        <v>1</v>
      </c>
      <c r="I19" s="49" t="b">
        <f t="shared" si="3"/>
        <v>0</v>
      </c>
      <c r="J19" s="49" t="b">
        <f t="shared" si="3"/>
        <v>1</v>
      </c>
      <c r="K19" s="49" t="b">
        <f t="shared" si="3"/>
        <v>1</v>
      </c>
      <c r="L19" s="49" t="b">
        <f t="shared" si="3"/>
        <v>1</v>
      </c>
      <c r="M19" s="49" t="b">
        <f t="shared" si="3"/>
        <v>1</v>
      </c>
      <c r="N19" s="49" t="b">
        <f t="shared" si="3"/>
        <v>1</v>
      </c>
      <c r="O19" s="49" t="b">
        <f t="shared" si="3"/>
        <v>1</v>
      </c>
      <c r="P19" s="49" t="b">
        <f t="shared" si="3"/>
        <v>1</v>
      </c>
      <c r="Q19" s="49" t="b">
        <f t="shared" si="3"/>
        <v>1</v>
      </c>
      <c r="R19" s="49" t="b">
        <f t="shared" si="3"/>
        <v>1</v>
      </c>
      <c r="S19" s="49" t="b">
        <f t="shared" si="3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1</v>
      </c>
      <c r="AA19" s="49" t="b">
        <f t="shared" si="0"/>
        <v>1</v>
      </c>
      <c r="AB19" s="49" t="b">
        <f t="shared" si="0"/>
        <v>1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1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1</v>
      </c>
      <c r="BA19" s="49" t="b">
        <f t="shared" si="0"/>
        <v>1</v>
      </c>
      <c r="BB19" s="49" t="b">
        <f t="shared" si="0"/>
        <v>1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 t="shared" si="1"/>
        <v>0</v>
      </c>
      <c r="BW19" s="49" t="b">
        <f>(BW7+CH7+CS7+DD7)=BW13</f>
        <v>1</v>
      </c>
      <c r="BX19" s="49" t="b">
        <f t="shared" ref="BX19:BX21" si="4">(BX7+CI7+CT7+DE7)/4=BX13</f>
        <v>0</v>
      </c>
      <c r="BY19" s="49" t="b">
        <f t="shared" ref="BY19:BY21" si="5">(BY7+CJ7+CU7+DF7)=BY13</f>
        <v>1</v>
      </c>
      <c r="BZ19" s="49" t="b">
        <f t="shared" ref="BZ19:BZ21" si="6">(BZ7+CK7+CV7+DG7)/4=BZ13</f>
        <v>0</v>
      </c>
      <c r="CA19" s="49" t="b">
        <f t="shared" ref="CA19:CA21" si="7">(CA7+CL7+CW7+DH7)=CA13</f>
        <v>1</v>
      </c>
      <c r="CB19" s="49" t="b">
        <f t="shared" ref="CB19:CB21" si="8">(CB7+CM7+CX7+DI7)/4=CB13</f>
        <v>0</v>
      </c>
      <c r="CC19" s="49" t="b">
        <f t="shared" ref="CC19:CC21" si="9">(CC7+CN7+CY7+DJ7)=CC13</f>
        <v>1</v>
      </c>
      <c r="CD19" s="49" t="b">
        <f t="shared" ref="CD19:CD21" si="10">(CD7+CO7+CZ7+DK7)=CD13</f>
        <v>1</v>
      </c>
      <c r="CE19" s="49" t="b">
        <f>(CE7+CP7+DA7+DL7)/4=CE13</f>
        <v>0</v>
      </c>
      <c r="CF19" s="49" t="b">
        <f t="shared" ref="CF19:CF21" si="11">(CF7+CQ7+DB7+DM7)=CF13</f>
        <v>1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</row>
    <row r="20" spans="1:16343" s="50" customFormat="1" thickBot="1">
      <c r="A20" s="48" t="s">
        <v>3</v>
      </c>
      <c r="B20" s="5" t="s">
        <v>4</v>
      </c>
      <c r="C20" s="24" t="s">
        <v>7</v>
      </c>
      <c r="D20" s="49" t="b">
        <f t="shared" si="3"/>
        <v>1</v>
      </c>
      <c r="E20" s="49" t="b">
        <f t="shared" ref="E20:BP21" si="12">E8=E14</f>
        <v>1</v>
      </c>
      <c r="F20" s="49" t="b">
        <f t="shared" si="12"/>
        <v>1</v>
      </c>
      <c r="G20" s="49" t="b">
        <f t="shared" si="12"/>
        <v>1</v>
      </c>
      <c r="H20" s="49" t="b">
        <f t="shared" si="12"/>
        <v>1</v>
      </c>
      <c r="I20" s="49" t="b">
        <f t="shared" si="12"/>
        <v>0</v>
      </c>
      <c r="J20" s="49" t="b">
        <f t="shared" si="12"/>
        <v>1</v>
      </c>
      <c r="K20" s="49" t="b">
        <f t="shared" si="12"/>
        <v>1</v>
      </c>
      <c r="L20" s="49" t="b">
        <f t="shared" si="12"/>
        <v>1</v>
      </c>
      <c r="M20" s="49" t="b">
        <f t="shared" si="12"/>
        <v>1</v>
      </c>
      <c r="N20" s="49" t="b">
        <f t="shared" si="12"/>
        <v>1</v>
      </c>
      <c r="O20" s="49" t="b">
        <f t="shared" si="12"/>
        <v>1</v>
      </c>
      <c r="P20" s="49" t="b">
        <f t="shared" si="12"/>
        <v>1</v>
      </c>
      <c r="Q20" s="49" t="b">
        <f t="shared" si="12"/>
        <v>1</v>
      </c>
      <c r="R20" s="49" t="b">
        <f t="shared" si="12"/>
        <v>1</v>
      </c>
      <c r="S20" s="49" t="b">
        <f t="shared" si="12"/>
        <v>1</v>
      </c>
      <c r="T20" s="49" t="b">
        <f t="shared" si="12"/>
        <v>1</v>
      </c>
      <c r="U20" s="49" t="b">
        <f t="shared" si="12"/>
        <v>1</v>
      </c>
      <c r="V20" s="49" t="b">
        <f t="shared" si="12"/>
        <v>1</v>
      </c>
      <c r="W20" s="49" t="b">
        <f t="shared" si="12"/>
        <v>1</v>
      </c>
      <c r="X20" s="49" t="b">
        <f t="shared" si="12"/>
        <v>1</v>
      </c>
      <c r="Y20" s="49" t="b">
        <f t="shared" si="12"/>
        <v>1</v>
      </c>
      <c r="Z20" s="49" t="b">
        <f t="shared" si="12"/>
        <v>1</v>
      </c>
      <c r="AA20" s="49" t="b">
        <f t="shared" si="12"/>
        <v>1</v>
      </c>
      <c r="AB20" s="49" t="b">
        <f t="shared" si="12"/>
        <v>1</v>
      </c>
      <c r="AC20" s="49" t="b">
        <f t="shared" si="12"/>
        <v>1</v>
      </c>
      <c r="AD20" s="49" t="b">
        <f t="shared" si="12"/>
        <v>1</v>
      </c>
      <c r="AE20" s="49" t="b">
        <f t="shared" si="12"/>
        <v>1</v>
      </c>
      <c r="AF20" s="49" t="b">
        <f t="shared" si="12"/>
        <v>1</v>
      </c>
      <c r="AG20" s="49" t="b">
        <f t="shared" si="12"/>
        <v>1</v>
      </c>
      <c r="AH20" s="49" t="b">
        <f t="shared" si="12"/>
        <v>1</v>
      </c>
      <c r="AI20" s="49" t="b">
        <f t="shared" si="12"/>
        <v>1</v>
      </c>
      <c r="AJ20" s="49" t="b">
        <f t="shared" si="12"/>
        <v>1</v>
      </c>
      <c r="AK20" s="49" t="b">
        <f t="shared" si="12"/>
        <v>1</v>
      </c>
      <c r="AL20" s="49" t="b">
        <f t="shared" si="12"/>
        <v>1</v>
      </c>
      <c r="AM20" s="49" t="b">
        <f t="shared" si="12"/>
        <v>1</v>
      </c>
      <c r="AN20" s="49" t="b">
        <f t="shared" si="12"/>
        <v>1</v>
      </c>
      <c r="AO20" s="49" t="b">
        <f t="shared" si="12"/>
        <v>1</v>
      </c>
      <c r="AP20" s="49" t="b">
        <f t="shared" si="12"/>
        <v>1</v>
      </c>
      <c r="AQ20" s="49" t="b">
        <f t="shared" si="12"/>
        <v>1</v>
      </c>
      <c r="AR20" s="49" t="b">
        <f t="shared" si="12"/>
        <v>1</v>
      </c>
      <c r="AS20" s="49" t="b">
        <f t="shared" si="12"/>
        <v>1</v>
      </c>
      <c r="AT20" s="49" t="b">
        <f t="shared" si="12"/>
        <v>1</v>
      </c>
      <c r="AU20" s="49" t="b">
        <f t="shared" si="12"/>
        <v>1</v>
      </c>
      <c r="AV20" s="49" t="b">
        <f t="shared" si="12"/>
        <v>1</v>
      </c>
      <c r="AW20" s="49" t="b">
        <f t="shared" si="12"/>
        <v>1</v>
      </c>
      <c r="AX20" s="49" t="b">
        <f t="shared" si="12"/>
        <v>1</v>
      </c>
      <c r="AY20" s="49" t="b">
        <f t="shared" si="12"/>
        <v>1</v>
      </c>
      <c r="AZ20" s="49" t="b">
        <f t="shared" si="12"/>
        <v>1</v>
      </c>
      <c r="BA20" s="49" t="b">
        <f t="shared" si="12"/>
        <v>1</v>
      </c>
      <c r="BB20" s="49" t="b">
        <f t="shared" si="12"/>
        <v>1</v>
      </c>
      <c r="BC20" s="49" t="b">
        <f t="shared" si="12"/>
        <v>1</v>
      </c>
      <c r="BD20" s="49" t="b">
        <f t="shared" si="12"/>
        <v>1</v>
      </c>
      <c r="BE20" s="49" t="b">
        <f t="shared" si="12"/>
        <v>1</v>
      </c>
      <c r="BF20" s="49" t="b">
        <f t="shared" si="12"/>
        <v>1</v>
      </c>
      <c r="BG20" s="49" t="b">
        <f t="shared" si="12"/>
        <v>1</v>
      </c>
      <c r="BH20" s="49" t="b">
        <f t="shared" si="12"/>
        <v>1</v>
      </c>
      <c r="BI20" s="49" t="b">
        <f t="shared" si="12"/>
        <v>1</v>
      </c>
      <c r="BJ20" s="49" t="b">
        <f t="shared" si="12"/>
        <v>1</v>
      </c>
      <c r="BK20" s="49" t="b">
        <f t="shared" si="12"/>
        <v>1</v>
      </c>
      <c r="BL20" s="49" t="b">
        <f t="shared" si="12"/>
        <v>1</v>
      </c>
      <c r="BM20" s="49" t="b">
        <f t="shared" si="12"/>
        <v>1</v>
      </c>
      <c r="BN20" s="49" t="b">
        <f t="shared" si="12"/>
        <v>1</v>
      </c>
      <c r="BO20" s="49" t="b">
        <f t="shared" si="12"/>
        <v>1</v>
      </c>
      <c r="BP20" s="49" t="b">
        <f t="shared" si="12"/>
        <v>1</v>
      </c>
      <c r="BQ20" s="49" t="b">
        <f t="shared" si="1"/>
        <v>1</v>
      </c>
      <c r="BR20" s="49" t="b">
        <f t="shared" si="1"/>
        <v>1</v>
      </c>
      <c r="BS20" s="49" t="b">
        <f t="shared" si="1"/>
        <v>1</v>
      </c>
      <c r="BT20" s="49" t="b">
        <f t="shared" si="1"/>
        <v>1</v>
      </c>
      <c r="BU20" s="49" t="b">
        <f t="shared" si="1"/>
        <v>0</v>
      </c>
      <c r="BV20" s="49" t="b">
        <f t="shared" si="1"/>
        <v>0</v>
      </c>
      <c r="BW20" s="49" t="b">
        <f>(BW8+CH8+CS8+DD8)=BW14</f>
        <v>1</v>
      </c>
      <c r="BX20" s="49" t="b">
        <f t="shared" si="4"/>
        <v>0</v>
      </c>
      <c r="BY20" s="49" t="b">
        <f t="shared" si="5"/>
        <v>1</v>
      </c>
      <c r="BZ20" s="49" t="b">
        <f t="shared" si="6"/>
        <v>1</v>
      </c>
      <c r="CA20" s="49" t="b">
        <f t="shared" si="7"/>
        <v>1</v>
      </c>
      <c r="CB20" s="49" t="b">
        <f t="shared" si="8"/>
        <v>1</v>
      </c>
      <c r="CC20" s="49" t="b">
        <f t="shared" si="9"/>
        <v>1</v>
      </c>
      <c r="CD20" s="49" t="b">
        <f t="shared" si="10"/>
        <v>1</v>
      </c>
      <c r="CE20" s="49" t="b">
        <f>(CE8+CP8+DA8+DL8)/4=CE14</f>
        <v>0</v>
      </c>
      <c r="CF20" s="49" t="b">
        <f t="shared" si="11"/>
        <v>1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</row>
    <row r="21" spans="1:16343" s="50" customFormat="1" thickBot="1">
      <c r="A21" s="48" t="s">
        <v>3</v>
      </c>
      <c r="B21" s="5" t="s">
        <v>4</v>
      </c>
      <c r="C21" s="25" t="s">
        <v>8</v>
      </c>
      <c r="D21" s="49" t="b">
        <f t="shared" si="3"/>
        <v>1</v>
      </c>
      <c r="E21" s="49" t="b">
        <f t="shared" si="12"/>
        <v>1</v>
      </c>
      <c r="F21" s="49" t="b">
        <f t="shared" si="12"/>
        <v>1</v>
      </c>
      <c r="G21" s="49" t="b">
        <f t="shared" si="12"/>
        <v>1</v>
      </c>
      <c r="H21" s="49" t="b">
        <f t="shared" si="12"/>
        <v>1</v>
      </c>
      <c r="I21" s="49" t="b">
        <f t="shared" si="12"/>
        <v>1</v>
      </c>
      <c r="J21" s="49" t="b">
        <f t="shared" si="12"/>
        <v>1</v>
      </c>
      <c r="K21" s="49" t="b">
        <f t="shared" si="12"/>
        <v>1</v>
      </c>
      <c r="L21" s="49" t="b">
        <f t="shared" si="12"/>
        <v>1</v>
      </c>
      <c r="M21" s="49" t="b">
        <f t="shared" si="12"/>
        <v>1</v>
      </c>
      <c r="N21" s="49" t="b">
        <f t="shared" si="12"/>
        <v>1</v>
      </c>
      <c r="O21" s="49" t="b">
        <f t="shared" si="12"/>
        <v>1</v>
      </c>
      <c r="P21" s="49" t="b">
        <f t="shared" si="12"/>
        <v>1</v>
      </c>
      <c r="Q21" s="49" t="b">
        <f t="shared" si="12"/>
        <v>1</v>
      </c>
      <c r="R21" s="49" t="b">
        <f t="shared" si="12"/>
        <v>1</v>
      </c>
      <c r="S21" s="49" t="b">
        <f t="shared" si="12"/>
        <v>1</v>
      </c>
      <c r="T21" s="49" t="b">
        <f t="shared" si="12"/>
        <v>1</v>
      </c>
      <c r="U21" s="49" t="b">
        <f t="shared" si="12"/>
        <v>1</v>
      </c>
      <c r="V21" s="49" t="b">
        <f t="shared" si="12"/>
        <v>1</v>
      </c>
      <c r="W21" s="49" t="b">
        <f t="shared" si="12"/>
        <v>1</v>
      </c>
      <c r="X21" s="49" t="b">
        <f t="shared" si="12"/>
        <v>1</v>
      </c>
      <c r="Y21" s="49" t="b">
        <f t="shared" si="12"/>
        <v>1</v>
      </c>
      <c r="Z21" s="49" t="b">
        <f t="shared" si="12"/>
        <v>1</v>
      </c>
      <c r="AA21" s="49" t="b">
        <f t="shared" si="12"/>
        <v>1</v>
      </c>
      <c r="AB21" s="49" t="b">
        <f t="shared" si="12"/>
        <v>1</v>
      </c>
      <c r="AC21" s="49" t="b">
        <f t="shared" si="12"/>
        <v>1</v>
      </c>
      <c r="AD21" s="49" t="b">
        <f t="shared" si="12"/>
        <v>1</v>
      </c>
      <c r="AE21" s="49" t="b">
        <f t="shared" si="12"/>
        <v>1</v>
      </c>
      <c r="AF21" s="49" t="b">
        <f t="shared" si="12"/>
        <v>1</v>
      </c>
      <c r="AG21" s="49" t="b">
        <f t="shared" si="12"/>
        <v>1</v>
      </c>
      <c r="AH21" s="49" t="b">
        <f t="shared" si="12"/>
        <v>1</v>
      </c>
      <c r="AI21" s="49" t="b">
        <f t="shared" si="12"/>
        <v>1</v>
      </c>
      <c r="AJ21" s="49" t="b">
        <f t="shared" si="12"/>
        <v>1</v>
      </c>
      <c r="AK21" s="49" t="b">
        <f t="shared" si="12"/>
        <v>1</v>
      </c>
      <c r="AL21" s="49" t="b">
        <f t="shared" si="12"/>
        <v>1</v>
      </c>
      <c r="AM21" s="49" t="b">
        <f t="shared" si="12"/>
        <v>1</v>
      </c>
      <c r="AN21" s="49" t="b">
        <f t="shared" si="12"/>
        <v>1</v>
      </c>
      <c r="AO21" s="49" t="b">
        <f t="shared" si="12"/>
        <v>1</v>
      </c>
      <c r="AP21" s="49" t="b">
        <f t="shared" si="12"/>
        <v>1</v>
      </c>
      <c r="AQ21" s="49" t="b">
        <f t="shared" si="12"/>
        <v>1</v>
      </c>
      <c r="AR21" s="49" t="b">
        <f t="shared" si="12"/>
        <v>1</v>
      </c>
      <c r="AS21" s="49" t="b">
        <f t="shared" si="12"/>
        <v>1</v>
      </c>
      <c r="AT21" s="49" t="b">
        <f t="shared" si="12"/>
        <v>1</v>
      </c>
      <c r="AU21" s="49" t="b">
        <f t="shared" si="12"/>
        <v>1</v>
      </c>
      <c r="AV21" s="49" t="b">
        <f t="shared" si="12"/>
        <v>1</v>
      </c>
      <c r="AW21" s="49" t="b">
        <f t="shared" si="12"/>
        <v>1</v>
      </c>
      <c r="AX21" s="49" t="b">
        <f t="shared" si="12"/>
        <v>1</v>
      </c>
      <c r="AY21" s="49" t="b">
        <f t="shared" si="12"/>
        <v>1</v>
      </c>
      <c r="AZ21" s="49" t="b">
        <f t="shared" si="12"/>
        <v>1</v>
      </c>
      <c r="BA21" s="49" t="b">
        <f t="shared" si="12"/>
        <v>1</v>
      </c>
      <c r="BB21" s="49" t="b">
        <f t="shared" si="12"/>
        <v>1</v>
      </c>
      <c r="BC21" s="49" t="b">
        <f t="shared" si="12"/>
        <v>1</v>
      </c>
      <c r="BD21" s="49" t="b">
        <f t="shared" si="12"/>
        <v>1</v>
      </c>
      <c r="BE21" s="49" t="b">
        <f t="shared" si="12"/>
        <v>1</v>
      </c>
      <c r="BF21" s="49" t="b">
        <f t="shared" si="12"/>
        <v>1</v>
      </c>
      <c r="BG21" s="49" t="b">
        <f t="shared" si="12"/>
        <v>1</v>
      </c>
      <c r="BH21" s="49" t="b">
        <f t="shared" si="12"/>
        <v>1</v>
      </c>
      <c r="BI21" s="49" t="b">
        <f t="shared" si="12"/>
        <v>1</v>
      </c>
      <c r="BJ21" s="49" t="b">
        <f t="shared" si="12"/>
        <v>1</v>
      </c>
      <c r="BK21" s="49" t="b">
        <f t="shared" si="12"/>
        <v>1</v>
      </c>
      <c r="BL21" s="49" t="b">
        <f t="shared" si="12"/>
        <v>1</v>
      </c>
      <c r="BM21" s="49" t="b">
        <f t="shared" si="12"/>
        <v>1</v>
      </c>
      <c r="BN21" s="49" t="b">
        <f t="shared" si="12"/>
        <v>0</v>
      </c>
      <c r="BO21" s="49" t="b">
        <f t="shared" si="12"/>
        <v>0</v>
      </c>
      <c r="BP21" s="49" t="b">
        <f t="shared" si="12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0</v>
      </c>
      <c r="BV21" s="49" t="b">
        <f t="shared" si="1"/>
        <v>0</v>
      </c>
      <c r="BW21" s="49" t="b">
        <f>(BW9+CH9+CS9+DD9)=BW15</f>
        <v>1</v>
      </c>
      <c r="BX21" s="49" t="b">
        <f t="shared" si="4"/>
        <v>0</v>
      </c>
      <c r="BY21" s="49" t="b">
        <f t="shared" si="5"/>
        <v>1</v>
      </c>
      <c r="BZ21" s="49" t="b">
        <f t="shared" si="6"/>
        <v>0</v>
      </c>
      <c r="CA21" s="49" t="b">
        <f t="shared" si="7"/>
        <v>1</v>
      </c>
      <c r="CB21" s="49" t="b">
        <f t="shared" si="8"/>
        <v>1</v>
      </c>
      <c r="CC21" s="49" t="b">
        <f t="shared" si="9"/>
        <v>1</v>
      </c>
      <c r="CD21" s="49" t="b">
        <f t="shared" si="10"/>
        <v>1</v>
      </c>
      <c r="CE21" s="49" t="b">
        <f>(CE9+CP9+DA9+DL9)/4=CE15</f>
        <v>0</v>
      </c>
      <c r="CF21" s="49" t="b">
        <f t="shared" si="11"/>
        <v>1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</row>
    <row r="22" spans="1:16343">
      <c r="A22"/>
      <c r="B22"/>
      <c r="C22"/>
      <c r="D22" s="33"/>
      <c r="E22" s="33"/>
      <c r="F22" s="33"/>
      <c r="G22" s="33"/>
      <c r="H22" s="33"/>
      <c r="I22" s="33"/>
      <c r="J22" s="33"/>
      <c r="K22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M22" s="33"/>
      <c r="AN22" s="33"/>
      <c r="AO22" s="33"/>
      <c r="AP22" s="33"/>
      <c r="AQ22" s="33"/>
      <c r="AR22" s="33"/>
      <c r="AS22" s="33"/>
      <c r="AT22" s="33"/>
      <c r="AU22" s="33"/>
      <c r="AV22" s="33"/>
    </row>
    <row r="23" spans="1:16343">
      <c r="A23"/>
      <c r="B23"/>
      <c r="C23"/>
      <c r="D23" s="33"/>
      <c r="E23" s="33"/>
      <c r="F23" s="33"/>
      <c r="G23" s="33"/>
      <c r="H23" s="33"/>
      <c r="I23" s="33"/>
      <c r="J23" s="33"/>
      <c r="K23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M23" s="33"/>
      <c r="AN23" s="33"/>
      <c r="AO23" s="33"/>
      <c r="AP23" s="33"/>
      <c r="AQ23" s="33"/>
      <c r="AR23" s="33"/>
      <c r="AS23" s="33"/>
      <c r="AT23" s="33"/>
      <c r="AU23" s="33"/>
      <c r="AV23" s="33"/>
    </row>
    <row r="24" spans="1:16343">
      <c r="A24"/>
      <c r="B24"/>
      <c r="C24"/>
      <c r="D24"/>
      <c r="E24"/>
      <c r="F24"/>
      <c r="G24"/>
      <c r="H24"/>
      <c r="I24"/>
      <c r="J24"/>
      <c r="K2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43">
      <c r="A25"/>
      <c r="B25"/>
      <c r="C25"/>
      <c r="D25"/>
      <c r="E25"/>
      <c r="F25"/>
      <c r="G25"/>
      <c r="H25"/>
      <c r="I25"/>
      <c r="J25"/>
      <c r="K25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43" ht="14.25">
      <c r="A26" s="6"/>
      <c r="B26" s="7"/>
      <c r="C26" s="6"/>
      <c r="D26" s="6"/>
      <c r="E26" s="33"/>
      <c r="F26" s="33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33"/>
      <c r="T26" s="33"/>
      <c r="U26" s="33"/>
      <c r="V26" s="6"/>
      <c r="W26" s="6"/>
      <c r="X26" s="6"/>
      <c r="Y26" s="6"/>
      <c r="Z26" s="6"/>
      <c r="AE26" s="33"/>
      <c r="AF26" s="33"/>
      <c r="AG26" s="33"/>
      <c r="AH26" s="33"/>
      <c r="AR26" s="33"/>
      <c r="AS26" s="33"/>
      <c r="AT26" s="33"/>
      <c r="AU26" s="33"/>
      <c r="BE26" s="33"/>
      <c r="BF26" s="33"/>
      <c r="BG26" s="33"/>
      <c r="BJ26" s="33"/>
      <c r="BK26" s="33"/>
      <c r="BL26" s="33"/>
      <c r="BP26" s="33"/>
      <c r="BQ26" s="33"/>
      <c r="BR26" s="33"/>
      <c r="BV26" s="33"/>
      <c r="BW26" s="33"/>
      <c r="BX26" s="33"/>
      <c r="BY26" s="33"/>
      <c r="BZ26" s="33"/>
      <c r="CA26" s="33"/>
    </row>
    <row r="27" spans="1:16343" ht="14.25">
      <c r="A27" s="6"/>
      <c r="B27" s="7"/>
      <c r="C27" s="6"/>
      <c r="D27" s="33"/>
      <c r="E27" s="33"/>
      <c r="F27" s="33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33"/>
      <c r="T27" s="33"/>
      <c r="U27" s="33"/>
      <c r="V27" s="6"/>
      <c r="W27" s="6"/>
      <c r="X27" s="6"/>
      <c r="Y27" s="6"/>
      <c r="Z27" s="6"/>
      <c r="AE27" s="33"/>
      <c r="AF27" s="33"/>
      <c r="AG27" s="33"/>
      <c r="AH27" s="33"/>
      <c r="AR27" s="33"/>
      <c r="AS27" s="33"/>
      <c r="AT27" s="33"/>
      <c r="AU27" s="33"/>
      <c r="BE27" s="33"/>
      <c r="BF27" s="33"/>
      <c r="BG27" s="33"/>
      <c r="BJ27" s="33"/>
      <c r="BK27" s="33"/>
      <c r="BL27" s="33"/>
      <c r="BP27" s="33"/>
      <c r="BQ27" s="33"/>
      <c r="BR27" s="33"/>
      <c r="BV27" s="33"/>
      <c r="BW27" s="33"/>
      <c r="BX27" s="33"/>
      <c r="BY27" s="33"/>
      <c r="BZ27" s="33"/>
      <c r="CA27" s="33"/>
    </row>
    <row r="28" spans="1:16343" ht="14.25">
      <c r="A28" s="6"/>
      <c r="B28" s="7"/>
      <c r="C28" s="6"/>
      <c r="D28" s="33"/>
      <c r="E28" s="33"/>
      <c r="F28" s="3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33"/>
      <c r="T28" s="33"/>
      <c r="U28" s="33"/>
      <c r="V28" s="6"/>
      <c r="W28" s="6"/>
      <c r="X28" s="6"/>
      <c r="Y28" s="6"/>
      <c r="Z28" s="6"/>
      <c r="AE28" s="33"/>
      <c r="AF28" s="33"/>
      <c r="AG28" s="33"/>
      <c r="AH28" s="33"/>
      <c r="AR28" s="33"/>
      <c r="AS28" s="33"/>
      <c r="AT28" s="33"/>
      <c r="AU28" s="33"/>
      <c r="BE28" s="33"/>
      <c r="BF28" s="33"/>
      <c r="BG28" s="33"/>
      <c r="BJ28" s="33"/>
      <c r="BK28" s="33"/>
      <c r="BL28" s="33"/>
      <c r="BP28" s="33"/>
      <c r="BQ28" s="33"/>
      <c r="BR28" s="33"/>
      <c r="BV28" s="33"/>
      <c r="BW28" s="33"/>
      <c r="BX28" s="33"/>
      <c r="BY28" s="33"/>
      <c r="BZ28" s="33"/>
      <c r="CA28" s="33"/>
    </row>
    <row r="29" spans="1:16343" ht="14.25">
      <c r="A29" s="6"/>
      <c r="B29" s="7"/>
      <c r="C29" s="6"/>
      <c r="D29" s="33"/>
      <c r="E29" s="33"/>
      <c r="F29" s="3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33"/>
      <c r="T29" s="33"/>
      <c r="U29" s="33"/>
      <c r="V29" s="6"/>
      <c r="W29" s="6"/>
      <c r="X29" s="6"/>
      <c r="Y29" s="6"/>
      <c r="Z29" s="6"/>
      <c r="AE29" s="33"/>
      <c r="AF29" s="33"/>
      <c r="AG29" s="33"/>
      <c r="AH29" s="33"/>
      <c r="AR29" s="33"/>
      <c r="AS29" s="33"/>
      <c r="AT29" s="33"/>
      <c r="AU29" s="33"/>
      <c r="BE29" s="33"/>
      <c r="BF29" s="33"/>
      <c r="BG29" s="33"/>
      <c r="BJ29" s="33"/>
      <c r="BK29" s="33"/>
      <c r="BL29" s="33"/>
      <c r="BP29" s="33"/>
      <c r="BQ29" s="33"/>
      <c r="BR29" s="33"/>
      <c r="BV29" s="33"/>
      <c r="BW29" s="33"/>
      <c r="BX29" s="33"/>
      <c r="BY29" s="33"/>
      <c r="BZ29" s="33"/>
      <c r="CA29" s="33"/>
    </row>
    <row r="30" spans="1:16343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43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4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1048517" spans="42:42">
      <c r="AP1048517" s="21"/>
    </row>
  </sheetData>
  <dataConsolidate/>
  <mergeCells count="11">
    <mergeCell ref="F17:I17"/>
    <mergeCell ref="F11:I11"/>
    <mergeCell ref="A1:C2"/>
    <mergeCell ref="BV2:CF2"/>
    <mergeCell ref="BJ2:BO2"/>
    <mergeCell ref="BP2:BU2"/>
    <mergeCell ref="BE2:BI2"/>
    <mergeCell ref="D2:R2"/>
    <mergeCell ref="S2:AD2"/>
    <mergeCell ref="AE2:AQ2"/>
    <mergeCell ref="AR2:BD2"/>
  </mergeCells>
  <conditionalFormatting sqref="AT6:AV9">
    <cfRule type="cellIs" dxfId="57" priority="91" operator="lessThan">
      <formula>0</formula>
    </cfRule>
  </conditionalFormatting>
  <conditionalFormatting sqref="AP6:AQ9">
    <cfRule type="cellIs" dxfId="56" priority="90" operator="greaterThan">
      <formula>0</formula>
    </cfRule>
  </conditionalFormatting>
  <conditionalFormatting sqref="AV11">
    <cfRule type="cellIs" dxfId="55" priority="77" operator="lessThan">
      <formula>0</formula>
    </cfRule>
  </conditionalFormatting>
  <conditionalFormatting sqref="AQ11">
    <cfRule type="cellIs" dxfId="54" priority="74" operator="lessThan">
      <formula>0</formula>
    </cfRule>
  </conditionalFormatting>
  <conditionalFormatting sqref="AR6:AR9">
    <cfRule type="cellIs" dxfId="53" priority="63" operator="greaterThan">
      <formula>0</formula>
    </cfRule>
  </conditionalFormatting>
  <conditionalFormatting sqref="AD6:AD9">
    <cfRule type="cellIs" dxfId="52" priority="57" operator="lessThan">
      <formula>3.25</formula>
    </cfRule>
  </conditionalFormatting>
  <conditionalFormatting sqref="AV17">
    <cfRule type="cellIs" dxfId="51" priority="33" operator="lessThan">
      <formula>0</formula>
    </cfRule>
  </conditionalFormatting>
  <conditionalFormatting sqref="AQ17">
    <cfRule type="cellIs" dxfId="50" priority="32" operator="lessThan">
      <formula>0</formula>
    </cfRule>
  </conditionalFormatting>
  <conditionalFormatting sqref="AT12:AV15">
    <cfRule type="cellIs" dxfId="49" priority="26" operator="lessThan">
      <formula>0</formula>
    </cfRule>
  </conditionalFormatting>
  <conditionalFormatting sqref="AP12:AQ15">
    <cfRule type="cellIs" dxfId="48" priority="25" operator="greaterThan">
      <formula>0</formula>
    </cfRule>
  </conditionalFormatting>
  <conditionalFormatting sqref="AR12:AR15">
    <cfRule type="cellIs" dxfId="47" priority="24" operator="greaterThan">
      <formula>0</formula>
    </cfRule>
  </conditionalFormatting>
  <conditionalFormatting sqref="AD12:AD15">
    <cfRule type="cellIs" dxfId="46" priority="23" operator="lessThan">
      <formula>3.25</formula>
    </cfRule>
  </conditionalFormatting>
  <conditionalFormatting sqref="D18:CF21">
    <cfRule type="cellIs" dxfId="45" priority="9" operator="equal">
      <formula>TRUE</formula>
    </cfRule>
    <cfRule type="cellIs" dxfId="44" priority="10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XEV80"/>
  <sheetViews>
    <sheetView showGridLines="0" topLeftCell="BN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75" width="16.28515625" style="3" bestFit="1" customWidth="1"/>
    <col min="76" max="76" width="9.7109375" style="3" bestFit="1" customWidth="1"/>
    <col min="77" max="77" width="16.28515625" style="3" bestFit="1" customWidth="1"/>
    <col min="78" max="78" width="9.7109375" style="3" bestFit="1" customWidth="1"/>
    <col min="79" max="84" width="16.28515625" style="3" bestFit="1" customWidth="1"/>
    <col min="85" max="85" width="7.140625" style="3" bestFit="1" customWidth="1"/>
    <col min="86" max="86" width="5.42578125" style="3" bestFit="1" customWidth="1"/>
    <col min="87" max="87" width="5.7109375" style="3" bestFit="1" customWidth="1"/>
    <col min="88" max="88" width="5.42578125" style="3" bestFit="1" customWidth="1"/>
    <col min="89" max="89" width="8.5703125" style="3" bestFit="1" customWidth="1"/>
    <col min="90" max="90" width="5.42578125" style="3" bestFit="1" customWidth="1"/>
    <col min="91" max="91" width="8.42578125" style="3" bestFit="1" customWidth="1"/>
    <col min="92" max="93" width="5.42578125" style="3" bestFit="1" customWidth="1"/>
    <col min="94" max="94" width="8.42578125" style="3" bestFit="1" customWidth="1"/>
    <col min="95" max="95" width="5.42578125" style="3" bestFit="1" customWidth="1"/>
    <col min="96" max="96" width="7.140625" style="3" bestFit="1" customWidth="1"/>
    <col min="97" max="97" width="5.42578125" style="3" bestFit="1" customWidth="1"/>
    <col min="98" max="98" width="5.7109375" style="3" bestFit="1" customWidth="1"/>
    <col min="99" max="99" width="5.42578125" style="3" bestFit="1" customWidth="1"/>
    <col min="100" max="100" width="8.5703125" style="3" bestFit="1" customWidth="1"/>
    <col min="101" max="101" width="5.42578125" style="3" bestFit="1" customWidth="1"/>
    <col min="102" max="102" width="8.42578125" style="3" bestFit="1" customWidth="1"/>
    <col min="103" max="104" width="5.42578125" style="3" bestFit="1" customWidth="1"/>
    <col min="105" max="105" width="8.42578125" style="3" bestFit="1" customWidth="1"/>
    <col min="106" max="106" width="5.42578125" style="3" bestFit="1" customWidth="1"/>
    <col min="107" max="107" width="7.140625" style="3" bestFit="1" customWidth="1"/>
    <col min="108" max="108" width="5.42578125" style="3" bestFit="1" customWidth="1"/>
    <col min="109" max="109" width="5.7109375" style="3" bestFit="1" customWidth="1"/>
    <col min="110" max="110" width="5.42578125" style="3" bestFit="1" customWidth="1"/>
    <col min="111" max="111" width="8.5703125" style="3" bestFit="1" customWidth="1"/>
    <col min="112" max="112" width="5.42578125" style="3" bestFit="1" customWidth="1"/>
    <col min="113" max="113" width="8.42578125" style="3" bestFit="1" customWidth="1"/>
    <col min="114" max="115" width="5.42578125" style="3" bestFit="1" customWidth="1"/>
    <col min="116" max="116" width="8.42578125" style="3" bestFit="1" customWidth="1"/>
    <col min="117" max="117" width="5.425781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>
        <v>77</v>
      </c>
      <c r="E6" s="65">
        <v>0</v>
      </c>
      <c r="F6" s="65">
        <v>0</v>
      </c>
      <c r="G6" s="94">
        <v>36295.362547819248</v>
      </c>
      <c r="H6" s="94">
        <v>20907.732726550403</v>
      </c>
      <c r="I6" s="95">
        <v>0.96103896103800002</v>
      </c>
      <c r="J6" s="54">
        <v>74</v>
      </c>
      <c r="K6" s="54">
        <v>76</v>
      </c>
      <c r="L6" s="54">
        <v>83577.215181344814</v>
      </c>
      <c r="M6" s="54">
        <v>9400</v>
      </c>
      <c r="N6" s="54"/>
      <c r="O6" s="54"/>
      <c r="P6" s="54">
        <v>68200</v>
      </c>
      <c r="Q6" s="54"/>
      <c r="R6" s="54"/>
      <c r="S6" s="55">
        <v>77</v>
      </c>
      <c r="T6" s="55">
        <v>0</v>
      </c>
      <c r="U6" s="55">
        <v>0</v>
      </c>
      <c r="V6" s="96">
        <v>12792.196588327728</v>
      </c>
      <c r="W6" s="97">
        <v>6222.9318156938789</v>
      </c>
      <c r="X6" s="55">
        <v>23546.257257066398</v>
      </c>
      <c r="Y6" s="55">
        <v>3175</v>
      </c>
      <c r="Z6" s="55"/>
      <c r="AA6" s="55"/>
      <c r="AB6" s="55">
        <v>21383.333333333332</v>
      </c>
      <c r="AC6" s="55"/>
      <c r="AD6" s="55"/>
      <c r="AE6" s="54">
        <v>78</v>
      </c>
      <c r="AF6" s="54">
        <v>0</v>
      </c>
      <c r="AG6" s="54">
        <v>0</v>
      </c>
      <c r="AH6" s="54">
        <v>78</v>
      </c>
      <c r="AI6" s="98">
        <v>49277.385696594829</v>
      </c>
      <c r="AJ6" s="98">
        <v>31869.594244295567</v>
      </c>
      <c r="AK6" s="54">
        <v>138737.44800447041</v>
      </c>
      <c r="AL6" s="54">
        <v>11900</v>
      </c>
      <c r="AM6" s="54"/>
      <c r="AN6" s="54"/>
      <c r="AO6" s="54">
        <v>95200.000000000015</v>
      </c>
      <c r="AP6" s="54"/>
      <c r="AQ6" s="54"/>
      <c r="AR6" s="55">
        <v>76</v>
      </c>
      <c r="AS6" s="55">
        <v>0</v>
      </c>
      <c r="AT6" s="55">
        <v>0</v>
      </c>
      <c r="AU6" s="55">
        <v>76</v>
      </c>
      <c r="AV6" s="97">
        <v>23205.171931645291</v>
      </c>
      <c r="AW6" s="97">
        <v>14514.209855148787</v>
      </c>
      <c r="AX6" s="55">
        <v>47716.985985879124</v>
      </c>
      <c r="AY6" s="55">
        <v>5040</v>
      </c>
      <c r="AZ6" s="55"/>
      <c r="BA6" s="55"/>
      <c r="BB6" s="55">
        <v>44373.333333333336</v>
      </c>
      <c r="BC6" s="55"/>
      <c r="BD6" s="55"/>
      <c r="BE6" s="74">
        <v>58</v>
      </c>
      <c r="BF6" s="99">
        <v>32</v>
      </c>
      <c r="BG6" s="99">
        <v>33</v>
      </c>
      <c r="BH6" s="57" t="s">
        <v>107</v>
      </c>
      <c r="BI6" s="57" t="s">
        <v>107</v>
      </c>
      <c r="BJ6" s="70">
        <v>157</v>
      </c>
      <c r="BK6" s="70">
        <v>0</v>
      </c>
      <c r="BL6" s="58">
        <v>0</v>
      </c>
      <c r="BM6" s="100">
        <v>1.349267515923567</v>
      </c>
      <c r="BN6" s="100">
        <v>0.28802547770700637</v>
      </c>
      <c r="BO6" s="100">
        <v>1.0612420382165604</v>
      </c>
      <c r="BP6" s="62">
        <v>162</v>
      </c>
      <c r="BQ6" s="62">
        <v>0</v>
      </c>
      <c r="BR6" s="62">
        <v>0</v>
      </c>
      <c r="BS6" s="101">
        <v>2.8449814814814802</v>
      </c>
      <c r="BT6" s="101">
        <v>0.31713580246913581</v>
      </c>
      <c r="BU6" s="101">
        <v>2.5278456790123465</v>
      </c>
      <c r="BV6" s="93" t="s">
        <v>172</v>
      </c>
      <c r="BW6" s="91">
        <v>17</v>
      </c>
      <c r="BX6" s="102">
        <v>4</v>
      </c>
      <c r="BY6" s="91">
        <v>17</v>
      </c>
      <c r="BZ6" s="103">
        <v>2.024</v>
      </c>
      <c r="CA6" s="92">
        <v>0</v>
      </c>
      <c r="CB6" s="104">
        <v>1</v>
      </c>
      <c r="CC6" s="91">
        <v>17</v>
      </c>
      <c r="CD6" s="92">
        <v>17</v>
      </c>
      <c r="CE6" s="104">
        <v>1</v>
      </c>
      <c r="CF6" s="91">
        <v>17</v>
      </c>
      <c r="CG6" s="93" t="s">
        <v>176</v>
      </c>
      <c r="CH6" s="91">
        <v>19</v>
      </c>
      <c r="CI6" s="102">
        <v>3.9526315864763761</v>
      </c>
      <c r="CJ6" s="91">
        <v>19</v>
      </c>
      <c r="CK6" s="103">
        <v>2.4701578947368419</v>
      </c>
      <c r="CL6" s="92">
        <v>0</v>
      </c>
      <c r="CM6" s="104">
        <v>1</v>
      </c>
      <c r="CN6" s="91">
        <v>16</v>
      </c>
      <c r="CO6" s="92">
        <v>19</v>
      </c>
      <c r="CP6" s="104">
        <v>0.84210526315699996</v>
      </c>
      <c r="CQ6" s="91">
        <v>19</v>
      </c>
      <c r="CR6" s="93" t="s">
        <v>172</v>
      </c>
      <c r="CS6" s="91">
        <v>18</v>
      </c>
      <c r="CT6" s="102">
        <v>3.9000000953674316</v>
      </c>
      <c r="CU6" s="91">
        <v>18</v>
      </c>
      <c r="CV6" s="103">
        <v>2.5957777777777777</v>
      </c>
      <c r="CW6" s="92">
        <v>0</v>
      </c>
      <c r="CX6" s="104">
        <v>1</v>
      </c>
      <c r="CY6" s="91">
        <v>18</v>
      </c>
      <c r="CZ6" s="92">
        <v>18</v>
      </c>
      <c r="DA6" s="104">
        <v>1</v>
      </c>
      <c r="DB6" s="91">
        <v>18</v>
      </c>
      <c r="DC6" s="93" t="s">
        <v>177</v>
      </c>
      <c r="DD6" s="91">
        <v>17</v>
      </c>
      <c r="DE6" s="102">
        <v>4.0529410839080811</v>
      </c>
      <c r="DF6" s="91">
        <v>17</v>
      </c>
      <c r="DG6" s="103">
        <v>2.5124117647058823</v>
      </c>
      <c r="DH6" s="92">
        <v>0</v>
      </c>
      <c r="DI6" s="104">
        <v>1</v>
      </c>
      <c r="DJ6" s="91">
        <v>16</v>
      </c>
      <c r="DK6" s="92">
        <v>17</v>
      </c>
      <c r="DL6" s="104">
        <v>0.94117647058800002</v>
      </c>
      <c r="DM6" s="91">
        <v>17</v>
      </c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>
        <v>71</v>
      </c>
      <c r="E7" s="65">
        <v>0</v>
      </c>
      <c r="F7" s="54">
        <v>0</v>
      </c>
      <c r="G7" s="94">
        <v>30152.816087158521</v>
      </c>
      <c r="H7" s="94">
        <v>19953.870342615224</v>
      </c>
      <c r="I7" s="95">
        <v>1</v>
      </c>
      <c r="J7" s="54">
        <v>71</v>
      </c>
      <c r="K7" s="54">
        <v>71</v>
      </c>
      <c r="L7" s="54">
        <v>77992.469558115205</v>
      </c>
      <c r="M7" s="54">
        <v>8550</v>
      </c>
      <c r="N7" s="54"/>
      <c r="O7" s="54"/>
      <c r="P7" s="54">
        <v>65800</v>
      </c>
      <c r="Q7" s="54"/>
      <c r="R7" s="54"/>
      <c r="S7" s="55">
        <v>70</v>
      </c>
      <c r="T7" s="55">
        <v>0</v>
      </c>
      <c r="U7" s="55">
        <v>0</v>
      </c>
      <c r="V7" s="96">
        <v>10506.496621041844</v>
      </c>
      <c r="W7" s="97">
        <v>5051.5971276787968</v>
      </c>
      <c r="X7" s="55">
        <v>23082.01019787792</v>
      </c>
      <c r="Y7" s="55">
        <v>3750</v>
      </c>
      <c r="Z7" s="55"/>
      <c r="AA7" s="55"/>
      <c r="AB7" s="55">
        <v>15000</v>
      </c>
      <c r="AC7" s="55"/>
      <c r="AD7" s="55"/>
      <c r="AE7" s="54">
        <v>74</v>
      </c>
      <c r="AF7" s="54">
        <v>0</v>
      </c>
      <c r="AG7" s="54">
        <v>0</v>
      </c>
      <c r="AH7" s="54">
        <v>74</v>
      </c>
      <c r="AI7" s="98">
        <v>40387.365955626447</v>
      </c>
      <c r="AJ7" s="98">
        <v>27634.010087454077</v>
      </c>
      <c r="AK7" s="54">
        <v>116819.10198628239</v>
      </c>
      <c r="AL7" s="54">
        <v>9380</v>
      </c>
      <c r="AM7" s="54"/>
      <c r="AN7" s="54"/>
      <c r="AO7" s="54">
        <v>85049.999999999985</v>
      </c>
      <c r="AP7" s="54"/>
      <c r="AQ7" s="54"/>
      <c r="AR7" s="55">
        <v>73</v>
      </c>
      <c r="AS7" s="55">
        <v>0</v>
      </c>
      <c r="AT7" s="55">
        <v>0</v>
      </c>
      <c r="AU7" s="55">
        <v>73</v>
      </c>
      <c r="AV7" s="97">
        <v>18288.062234400481</v>
      </c>
      <c r="AW7" s="97">
        <v>11263.248245289085</v>
      </c>
      <c r="AX7" s="55">
        <v>36815.139859902076</v>
      </c>
      <c r="AY7" s="55">
        <v>3720</v>
      </c>
      <c r="AZ7" s="55"/>
      <c r="BA7" s="55"/>
      <c r="BB7" s="55">
        <v>34853.333333333336</v>
      </c>
      <c r="BC7" s="55"/>
      <c r="BD7" s="55"/>
      <c r="BE7" s="74">
        <v>44</v>
      </c>
      <c r="BF7" s="99">
        <v>45</v>
      </c>
      <c r="BG7" s="99">
        <v>47</v>
      </c>
      <c r="BH7" s="57" t="s">
        <v>107</v>
      </c>
      <c r="BI7" s="57" t="s">
        <v>107</v>
      </c>
      <c r="BJ7" s="70">
        <v>152</v>
      </c>
      <c r="BK7" s="70">
        <v>0</v>
      </c>
      <c r="BL7" s="58">
        <v>0</v>
      </c>
      <c r="BM7" s="100">
        <v>1.0807894736842107</v>
      </c>
      <c r="BN7" s="100">
        <v>0.1518618421052631</v>
      </c>
      <c r="BO7" s="100">
        <v>0.92892763157894687</v>
      </c>
      <c r="BP7" s="62">
        <v>148</v>
      </c>
      <c r="BQ7" s="62">
        <v>0</v>
      </c>
      <c r="BR7" s="62">
        <v>0</v>
      </c>
      <c r="BS7" s="101">
        <v>3.0008310810810812</v>
      </c>
      <c r="BT7" s="101">
        <v>0.31843243243243224</v>
      </c>
      <c r="BU7" s="101">
        <v>2.6823986486486491</v>
      </c>
      <c r="BV7" s="93" t="s">
        <v>172</v>
      </c>
      <c r="BW7" s="91">
        <v>18</v>
      </c>
      <c r="BX7" s="102">
        <v>3.9833333359824286</v>
      </c>
      <c r="BY7" s="91">
        <v>18</v>
      </c>
      <c r="BZ7" s="103">
        <v>2.3296111111111113</v>
      </c>
      <c r="CA7" s="92">
        <v>0</v>
      </c>
      <c r="CB7" s="104">
        <v>1</v>
      </c>
      <c r="CC7" s="91">
        <v>17</v>
      </c>
      <c r="CD7" s="92">
        <v>18</v>
      </c>
      <c r="CE7" s="104">
        <v>0.944444444444</v>
      </c>
      <c r="CF7" s="91">
        <v>18</v>
      </c>
      <c r="CG7" s="93" t="s">
        <v>176</v>
      </c>
      <c r="CH7" s="91">
        <v>18</v>
      </c>
      <c r="CI7" s="102">
        <v>3.9578947393517745</v>
      </c>
      <c r="CJ7" s="91">
        <v>19</v>
      </c>
      <c r="CK7" s="103">
        <v>2.7565789473684212</v>
      </c>
      <c r="CL7" s="92">
        <v>0</v>
      </c>
      <c r="CM7" s="104">
        <v>1</v>
      </c>
      <c r="CN7" s="91">
        <v>17</v>
      </c>
      <c r="CO7" s="92">
        <v>18</v>
      </c>
      <c r="CP7" s="104">
        <v>0.89473684210500004</v>
      </c>
      <c r="CQ7" s="91">
        <v>19</v>
      </c>
      <c r="CR7" s="93" t="s">
        <v>172</v>
      </c>
      <c r="CS7" s="91">
        <v>14</v>
      </c>
      <c r="CT7" s="102">
        <v>3.9000000953674316</v>
      </c>
      <c r="CU7" s="91">
        <v>15</v>
      </c>
      <c r="CV7" s="103">
        <v>3.0386000000000002</v>
      </c>
      <c r="CW7" s="92">
        <v>0</v>
      </c>
      <c r="CX7" s="104">
        <v>1</v>
      </c>
      <c r="CY7" s="91">
        <v>13</v>
      </c>
      <c r="CZ7" s="92">
        <v>14</v>
      </c>
      <c r="DA7" s="104">
        <v>0.86666666666600001</v>
      </c>
      <c r="DB7" s="91">
        <v>14</v>
      </c>
      <c r="DC7" s="93" t="s">
        <v>172</v>
      </c>
      <c r="DD7" s="91">
        <v>15</v>
      </c>
      <c r="DE7" s="102">
        <v>4.0666665712992351</v>
      </c>
      <c r="DF7" s="91">
        <v>15</v>
      </c>
      <c r="DG7" s="103">
        <v>2.3990666666666671</v>
      </c>
      <c r="DH7" s="92">
        <v>0</v>
      </c>
      <c r="DI7" s="104">
        <v>1</v>
      </c>
      <c r="DJ7" s="91">
        <v>14</v>
      </c>
      <c r="DK7" s="92">
        <v>15</v>
      </c>
      <c r="DL7" s="104">
        <v>0.93333333333299995</v>
      </c>
      <c r="DM7" s="91">
        <v>15</v>
      </c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>
        <v>75</v>
      </c>
      <c r="E8" s="65">
        <v>0</v>
      </c>
      <c r="F8" s="54">
        <v>0</v>
      </c>
      <c r="G8" s="94">
        <v>16306.599190123832</v>
      </c>
      <c r="H8" s="94">
        <v>7214.799604516631</v>
      </c>
      <c r="I8" s="95">
        <v>1</v>
      </c>
      <c r="J8" s="54">
        <v>75</v>
      </c>
      <c r="K8" s="54">
        <v>75</v>
      </c>
      <c r="L8" s="54">
        <v>37892.038244207361</v>
      </c>
      <c r="M8" s="54">
        <v>7125</v>
      </c>
      <c r="N8" s="54"/>
      <c r="O8" s="54"/>
      <c r="P8" s="54">
        <v>25500</v>
      </c>
      <c r="Q8" s="54"/>
      <c r="R8" s="54"/>
      <c r="S8" s="55">
        <v>73</v>
      </c>
      <c r="T8" s="55">
        <v>0</v>
      </c>
      <c r="U8" s="55">
        <v>2</v>
      </c>
      <c r="V8" s="96">
        <v>8203.9348462114667</v>
      </c>
      <c r="W8" s="97">
        <v>5580.5334982193681</v>
      </c>
      <c r="X8" s="55">
        <v>25606.633099389041</v>
      </c>
      <c r="Y8" s="55">
        <v>1016.6666666666666</v>
      </c>
      <c r="Z8" s="55"/>
      <c r="AA8" s="55"/>
      <c r="AB8" s="55">
        <v>15225</v>
      </c>
      <c r="AC8" s="55"/>
      <c r="AD8" s="55"/>
      <c r="AE8" s="54">
        <v>80</v>
      </c>
      <c r="AF8" s="54">
        <v>0</v>
      </c>
      <c r="AG8" s="54">
        <v>0</v>
      </c>
      <c r="AH8" s="54">
        <v>80</v>
      </c>
      <c r="AI8" s="98">
        <v>44410.283640584923</v>
      </c>
      <c r="AJ8" s="98">
        <v>28848.002338533784</v>
      </c>
      <c r="AK8" s="54">
        <v>117761.27451075841</v>
      </c>
      <c r="AL8" s="54">
        <v>8750</v>
      </c>
      <c r="AM8" s="54"/>
      <c r="AN8" s="54"/>
      <c r="AO8" s="54">
        <v>82250</v>
      </c>
      <c r="AP8" s="54"/>
      <c r="AQ8" s="54"/>
      <c r="AR8" s="55">
        <v>73</v>
      </c>
      <c r="AS8" s="55">
        <v>0</v>
      </c>
      <c r="AT8" s="55">
        <v>2</v>
      </c>
      <c r="AU8" s="55">
        <v>70</v>
      </c>
      <c r="AV8" s="97">
        <v>16741.529570410323</v>
      </c>
      <c r="AW8" s="97">
        <v>13438.185179761194</v>
      </c>
      <c r="AX8" s="55">
        <v>44769.003192193275</v>
      </c>
      <c r="AY8" s="55">
        <v>1679.9999999999998</v>
      </c>
      <c r="AZ8" s="55"/>
      <c r="BA8" s="55"/>
      <c r="BB8" s="55">
        <v>38106.666666666664</v>
      </c>
      <c r="BC8" s="55"/>
      <c r="BD8" s="55"/>
      <c r="BE8" s="74">
        <v>53</v>
      </c>
      <c r="BF8" s="99">
        <v>45</v>
      </c>
      <c r="BG8" s="99">
        <v>49</v>
      </c>
      <c r="BH8" s="57" t="s">
        <v>107</v>
      </c>
      <c r="BI8" s="57" t="s">
        <v>107</v>
      </c>
      <c r="BJ8" s="70">
        <v>160</v>
      </c>
      <c r="BK8" s="70">
        <v>0</v>
      </c>
      <c r="BL8" s="58">
        <v>2</v>
      </c>
      <c r="BM8" s="100">
        <v>1.4346835443037973</v>
      </c>
      <c r="BN8" s="100">
        <v>0.17260126582278482</v>
      </c>
      <c r="BO8" s="100">
        <v>1.2620822784810133</v>
      </c>
      <c r="BP8" s="62">
        <v>154</v>
      </c>
      <c r="BQ8" s="62">
        <v>0</v>
      </c>
      <c r="BR8" s="62">
        <v>0</v>
      </c>
      <c r="BS8" s="101">
        <v>2.9397402597402573</v>
      </c>
      <c r="BT8" s="101">
        <v>0.29012987012987007</v>
      </c>
      <c r="BU8" s="101">
        <v>2.6496103896103902</v>
      </c>
      <c r="BV8" s="93" t="s">
        <v>172</v>
      </c>
      <c r="BW8" s="91">
        <v>19</v>
      </c>
      <c r="BX8" s="102">
        <v>4</v>
      </c>
      <c r="BY8" s="91">
        <v>19</v>
      </c>
      <c r="BZ8" s="103">
        <v>2.131368421052632</v>
      </c>
      <c r="CA8" s="92">
        <v>0</v>
      </c>
      <c r="CB8" s="104">
        <v>1</v>
      </c>
      <c r="CC8" s="91">
        <v>19</v>
      </c>
      <c r="CD8" s="92">
        <v>19</v>
      </c>
      <c r="CE8" s="104">
        <v>1</v>
      </c>
      <c r="CF8" s="91">
        <v>19</v>
      </c>
      <c r="CG8" s="93" t="s">
        <v>172</v>
      </c>
      <c r="CH8" s="91">
        <v>17</v>
      </c>
      <c r="CI8" s="102">
        <v>3.9941176526686726</v>
      </c>
      <c r="CJ8" s="91">
        <v>17</v>
      </c>
      <c r="CK8" s="103">
        <v>2.3529999999999993</v>
      </c>
      <c r="CL8" s="92">
        <v>0</v>
      </c>
      <c r="CM8" s="104">
        <v>1</v>
      </c>
      <c r="CN8" s="91">
        <v>16</v>
      </c>
      <c r="CO8" s="92">
        <v>17</v>
      </c>
      <c r="CP8" s="104">
        <v>0.94117647058800002</v>
      </c>
      <c r="CQ8" s="91">
        <v>17</v>
      </c>
      <c r="CR8" s="93" t="s">
        <v>172</v>
      </c>
      <c r="CS8" s="91">
        <v>20</v>
      </c>
      <c r="CT8" s="102">
        <v>3.9000000953674316</v>
      </c>
      <c r="CU8" s="91">
        <v>20</v>
      </c>
      <c r="CV8" s="103">
        <v>3.0840500000000004</v>
      </c>
      <c r="CW8" s="92">
        <v>0</v>
      </c>
      <c r="CX8" s="104">
        <v>1</v>
      </c>
      <c r="CY8" s="91">
        <v>19</v>
      </c>
      <c r="CZ8" s="92">
        <v>20</v>
      </c>
      <c r="DA8" s="104">
        <v>0.95</v>
      </c>
      <c r="DB8" s="91">
        <v>20</v>
      </c>
      <c r="DC8" s="93" t="s">
        <v>172</v>
      </c>
      <c r="DD8" s="91">
        <v>18</v>
      </c>
      <c r="DE8" s="102">
        <v>4.0999999046325684</v>
      </c>
      <c r="DF8" s="91">
        <v>18</v>
      </c>
      <c r="DG8" s="103">
        <v>2.3074999999999997</v>
      </c>
      <c r="DH8" s="92">
        <v>0</v>
      </c>
      <c r="DI8" s="104">
        <v>1</v>
      </c>
      <c r="DJ8" s="91">
        <v>18</v>
      </c>
      <c r="DK8" s="92">
        <v>18</v>
      </c>
      <c r="DL8" s="104">
        <v>1</v>
      </c>
      <c r="DM8" s="91">
        <v>18</v>
      </c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>
        <v>62</v>
      </c>
      <c r="E9" s="65">
        <v>0</v>
      </c>
      <c r="F9" s="54">
        <v>0</v>
      </c>
      <c r="G9" s="94">
        <v>9939.3562765355018</v>
      </c>
      <c r="H9" s="94">
        <v>4547.4174887542522</v>
      </c>
      <c r="I9" s="95">
        <v>0.95161290322500003</v>
      </c>
      <c r="J9" s="54">
        <v>59</v>
      </c>
      <c r="K9" s="54">
        <v>62</v>
      </c>
      <c r="L9" s="54">
        <v>28218.382625166243</v>
      </c>
      <c r="M9" s="54">
        <v>4400</v>
      </c>
      <c r="N9" s="54"/>
      <c r="O9" s="54"/>
      <c r="P9" s="54">
        <v>14600</v>
      </c>
      <c r="Q9" s="54"/>
      <c r="R9" s="54"/>
      <c r="S9" s="55">
        <v>62</v>
      </c>
      <c r="T9" s="55">
        <v>0</v>
      </c>
      <c r="U9" s="55">
        <v>0</v>
      </c>
      <c r="V9" s="96">
        <v>7062.1000472502483</v>
      </c>
      <c r="W9" s="97">
        <v>3077.1951660399318</v>
      </c>
      <c r="X9" s="55">
        <v>11557.275514860639</v>
      </c>
      <c r="Y9" s="55">
        <v>2516.6666666666665</v>
      </c>
      <c r="Z9" s="55"/>
      <c r="AA9" s="55"/>
      <c r="AB9" s="55">
        <v>10700</v>
      </c>
      <c r="AC9" s="55"/>
      <c r="AD9" s="55"/>
      <c r="AE9" s="54">
        <v>61</v>
      </c>
      <c r="AF9" s="54">
        <v>0</v>
      </c>
      <c r="AG9" s="54">
        <v>0</v>
      </c>
      <c r="AH9" s="54">
        <v>61</v>
      </c>
      <c r="AI9" s="98">
        <v>25564.826240264087</v>
      </c>
      <c r="AJ9" s="98">
        <v>12364.35693452642</v>
      </c>
      <c r="AK9" s="54">
        <v>59295.299760512964</v>
      </c>
      <c r="AL9" s="54">
        <v>10587.5</v>
      </c>
      <c r="AM9" s="54"/>
      <c r="AN9" s="54"/>
      <c r="AO9" s="54">
        <v>45149.999999999993</v>
      </c>
      <c r="AP9" s="54"/>
      <c r="AQ9" s="54"/>
      <c r="AR9" s="55">
        <v>61</v>
      </c>
      <c r="AS9" s="55">
        <v>0</v>
      </c>
      <c r="AT9" s="55">
        <v>0</v>
      </c>
      <c r="AU9" s="55">
        <v>61</v>
      </c>
      <c r="AV9" s="97">
        <v>13261.137929800076</v>
      </c>
      <c r="AW9" s="97">
        <v>9451.3999888182643</v>
      </c>
      <c r="AX9" s="55">
        <v>31287.717141290163</v>
      </c>
      <c r="AY9" s="55">
        <v>2416</v>
      </c>
      <c r="AZ9" s="55"/>
      <c r="BA9" s="55"/>
      <c r="BB9" s="55">
        <v>28720</v>
      </c>
      <c r="BC9" s="55"/>
      <c r="BD9" s="55"/>
      <c r="BE9" s="74">
        <v>48</v>
      </c>
      <c r="BF9" s="99">
        <v>82</v>
      </c>
      <c r="BG9" s="99">
        <v>82</v>
      </c>
      <c r="BH9" s="57" t="s">
        <v>107</v>
      </c>
      <c r="BI9" s="57" t="s">
        <v>107</v>
      </c>
      <c r="BJ9" s="70">
        <v>124</v>
      </c>
      <c r="BK9" s="70">
        <v>2</v>
      </c>
      <c r="BL9" s="58">
        <v>0</v>
      </c>
      <c r="BM9" s="100">
        <v>2.0992950819672145</v>
      </c>
      <c r="BN9" s="100">
        <v>0.39510655737704897</v>
      </c>
      <c r="BO9" s="100">
        <v>1.7041885245901647</v>
      </c>
      <c r="BP9" s="62">
        <v>124</v>
      </c>
      <c r="BQ9" s="62">
        <v>0</v>
      </c>
      <c r="BR9" s="62">
        <v>0</v>
      </c>
      <c r="BS9" s="101">
        <v>3.5788629032258075</v>
      </c>
      <c r="BT9" s="101">
        <v>0.48283064516129032</v>
      </c>
      <c r="BU9" s="101">
        <v>3.096032258064517</v>
      </c>
      <c r="BV9" s="93" t="s">
        <v>172</v>
      </c>
      <c r="BW9" s="91">
        <v>14</v>
      </c>
      <c r="BX9" s="102">
        <v>4</v>
      </c>
      <c r="BY9" s="91">
        <v>14</v>
      </c>
      <c r="BZ9" s="103">
        <v>1.9607857142857141</v>
      </c>
      <c r="CA9" s="92">
        <v>0</v>
      </c>
      <c r="CB9" s="104">
        <v>1</v>
      </c>
      <c r="CC9" s="91">
        <v>14</v>
      </c>
      <c r="CD9" s="92">
        <v>14</v>
      </c>
      <c r="CE9" s="104">
        <v>1</v>
      </c>
      <c r="CF9" s="91">
        <v>14</v>
      </c>
      <c r="CG9" s="93" t="s">
        <v>172</v>
      </c>
      <c r="CH9" s="91">
        <v>14</v>
      </c>
      <c r="CI9" s="102">
        <v>3.9928571496691023</v>
      </c>
      <c r="CJ9" s="91">
        <v>14</v>
      </c>
      <c r="CK9" s="103">
        <v>2.2592857142857139</v>
      </c>
      <c r="CL9" s="92">
        <v>0</v>
      </c>
      <c r="CM9" s="104">
        <v>1</v>
      </c>
      <c r="CN9" s="91">
        <v>13</v>
      </c>
      <c r="CO9" s="92">
        <v>14</v>
      </c>
      <c r="CP9" s="104">
        <v>0.92857142857099995</v>
      </c>
      <c r="CQ9" s="91">
        <v>14</v>
      </c>
      <c r="CR9" s="93" t="s">
        <v>172</v>
      </c>
      <c r="CS9" s="91">
        <v>16</v>
      </c>
      <c r="CT9" s="102">
        <v>3.9000000953674316</v>
      </c>
      <c r="CU9" s="91">
        <v>16</v>
      </c>
      <c r="CV9" s="103">
        <v>2.4016874999999995</v>
      </c>
      <c r="CW9" s="92">
        <v>0</v>
      </c>
      <c r="CX9" s="104">
        <v>1</v>
      </c>
      <c r="CY9" s="91">
        <v>16</v>
      </c>
      <c r="CZ9" s="92">
        <v>16</v>
      </c>
      <c r="DA9" s="104">
        <v>1</v>
      </c>
      <c r="DB9" s="91">
        <v>16</v>
      </c>
      <c r="DC9" s="93" t="s">
        <v>172</v>
      </c>
      <c r="DD9" s="91">
        <v>15</v>
      </c>
      <c r="DE9" s="102">
        <v>4.0999999046325684</v>
      </c>
      <c r="DF9" s="91">
        <v>15</v>
      </c>
      <c r="DG9" s="103">
        <v>2.3917333333333333</v>
      </c>
      <c r="DH9" s="92">
        <v>0</v>
      </c>
      <c r="DI9" s="104">
        <v>1</v>
      </c>
      <c r="DJ9" s="91">
        <v>15</v>
      </c>
      <c r="DK9" s="92">
        <v>15</v>
      </c>
      <c r="DL9" s="104">
        <v>1</v>
      </c>
      <c r="DM9" s="91">
        <v>15</v>
      </c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>
        <v>77</v>
      </c>
      <c r="E12" s="65">
        <v>0</v>
      </c>
      <c r="F12" s="65">
        <v>0</v>
      </c>
      <c r="G12" s="94">
        <v>36295.362547819255</v>
      </c>
      <c r="H12" s="94">
        <v>20907.732726550406</v>
      </c>
      <c r="I12" s="95">
        <v>0.96103896103896103</v>
      </c>
      <c r="J12" s="54">
        <v>74</v>
      </c>
      <c r="K12" s="54">
        <v>76</v>
      </c>
      <c r="L12" s="54">
        <v>83577.215181344814</v>
      </c>
      <c r="M12" s="54">
        <v>9400</v>
      </c>
      <c r="N12" s="54"/>
      <c r="O12" s="54"/>
      <c r="P12" s="54">
        <v>68200</v>
      </c>
      <c r="Q12" s="54"/>
      <c r="R12" s="54"/>
      <c r="S12" s="55">
        <v>77</v>
      </c>
      <c r="T12" s="55">
        <v>0</v>
      </c>
      <c r="U12" s="55">
        <v>0</v>
      </c>
      <c r="V12" s="96">
        <v>12792.196588327724</v>
      </c>
      <c r="W12" s="97">
        <v>6222.9318156938789</v>
      </c>
      <c r="X12" s="55">
        <v>23546.257257066398</v>
      </c>
      <c r="Y12" s="55">
        <v>3175</v>
      </c>
      <c r="Z12" s="55"/>
      <c r="AA12" s="55"/>
      <c r="AB12" s="55">
        <v>21383.333333333332</v>
      </c>
      <c r="AC12" s="55"/>
      <c r="AD12" s="55"/>
      <c r="AE12" s="54">
        <v>78</v>
      </c>
      <c r="AF12" s="54">
        <v>0</v>
      </c>
      <c r="AG12" s="54">
        <v>0</v>
      </c>
      <c r="AH12" s="54">
        <v>78</v>
      </c>
      <c r="AI12" s="98">
        <v>49277.385696594807</v>
      </c>
      <c r="AJ12" s="98">
        <v>31869.594244295567</v>
      </c>
      <c r="AK12" s="54">
        <v>138737.44800447041</v>
      </c>
      <c r="AL12" s="54">
        <v>11900.000000000002</v>
      </c>
      <c r="AM12" s="54"/>
      <c r="AN12" s="54"/>
      <c r="AO12" s="54">
        <v>95200.000000000015</v>
      </c>
      <c r="AP12" s="54"/>
      <c r="AQ12" s="54"/>
      <c r="AR12" s="55">
        <v>76</v>
      </c>
      <c r="AS12" s="55">
        <v>0</v>
      </c>
      <c r="AT12" s="55">
        <v>0</v>
      </c>
      <c r="AU12" s="55">
        <v>76</v>
      </c>
      <c r="AV12" s="97">
        <v>23205.171931645295</v>
      </c>
      <c r="AW12" s="97">
        <v>14514.209855148789</v>
      </c>
      <c r="AX12" s="55">
        <v>47716.985985879124</v>
      </c>
      <c r="AY12" s="55">
        <v>5040</v>
      </c>
      <c r="AZ12" s="55"/>
      <c r="BA12" s="55"/>
      <c r="BB12" s="55">
        <v>44373.333333333336</v>
      </c>
      <c r="BC12" s="55"/>
      <c r="BD12" s="55"/>
      <c r="BE12" s="74">
        <v>58</v>
      </c>
      <c r="BF12" s="99">
        <v>32</v>
      </c>
      <c r="BG12" s="99">
        <v>33</v>
      </c>
      <c r="BH12" s="57"/>
      <c r="BI12" s="57"/>
      <c r="BJ12" s="70">
        <v>157</v>
      </c>
      <c r="BK12" s="70">
        <v>0</v>
      </c>
      <c r="BL12" s="58">
        <v>0</v>
      </c>
      <c r="BM12" s="100">
        <v>1.3492675159235668</v>
      </c>
      <c r="BN12" s="100">
        <v>0.28802547770700643</v>
      </c>
      <c r="BO12" s="100">
        <v>1.0612420382165606</v>
      </c>
      <c r="BP12" s="62">
        <v>162</v>
      </c>
      <c r="BQ12" s="62">
        <v>0</v>
      </c>
      <c r="BR12" s="62">
        <v>0</v>
      </c>
      <c r="BS12" s="101">
        <v>2.8449814814814816</v>
      </c>
      <c r="BT12" s="101">
        <v>0.31713580246913581</v>
      </c>
      <c r="BU12" s="101">
        <v>2.527845679012346</v>
      </c>
      <c r="BV12" s="93">
        <v>1069</v>
      </c>
      <c r="BW12" s="91">
        <v>71</v>
      </c>
      <c r="BX12" s="102">
        <v>3.9746478913535532</v>
      </c>
      <c r="BY12" s="91">
        <v>71</v>
      </c>
      <c r="BZ12" s="103">
        <v>2.4052957746478874</v>
      </c>
      <c r="CA12" s="92">
        <v>0</v>
      </c>
      <c r="CB12" s="104">
        <v>1</v>
      </c>
      <c r="CC12" s="91">
        <v>67</v>
      </c>
      <c r="CD12" s="92">
        <v>71</v>
      </c>
      <c r="CE12" s="104">
        <v>0.94366197183098588</v>
      </c>
      <c r="CF12" s="91">
        <v>71</v>
      </c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>
        <v>71</v>
      </c>
      <c r="E13" s="65">
        <v>0</v>
      </c>
      <c r="F13" s="54">
        <v>0</v>
      </c>
      <c r="G13" s="94">
        <v>30152.816087158528</v>
      </c>
      <c r="H13" s="94">
        <v>19953.870342615221</v>
      </c>
      <c r="I13" s="95">
        <v>1</v>
      </c>
      <c r="J13" s="54">
        <v>71</v>
      </c>
      <c r="K13" s="54">
        <v>71</v>
      </c>
      <c r="L13" s="54">
        <v>77992.469558115205</v>
      </c>
      <c r="M13" s="54">
        <v>8550</v>
      </c>
      <c r="N13" s="54"/>
      <c r="O13" s="54"/>
      <c r="P13" s="54">
        <v>65800</v>
      </c>
      <c r="Q13" s="54"/>
      <c r="R13" s="54"/>
      <c r="S13" s="55">
        <v>70</v>
      </c>
      <c r="T13" s="55">
        <v>0</v>
      </c>
      <c r="U13" s="55">
        <v>0</v>
      </c>
      <c r="V13" s="96">
        <v>10506.496621041841</v>
      </c>
      <c r="W13" s="97">
        <v>5051.5971276787968</v>
      </c>
      <c r="X13" s="55">
        <v>23082.01019787792</v>
      </c>
      <c r="Y13" s="55">
        <v>3750</v>
      </c>
      <c r="Z13" s="55"/>
      <c r="AA13" s="55"/>
      <c r="AB13" s="55">
        <v>15000</v>
      </c>
      <c r="AC13" s="55"/>
      <c r="AD13" s="55"/>
      <c r="AE13" s="54">
        <v>74</v>
      </c>
      <c r="AF13" s="54">
        <v>0</v>
      </c>
      <c r="AG13" s="54">
        <v>0</v>
      </c>
      <c r="AH13" s="54">
        <v>74</v>
      </c>
      <c r="AI13" s="98">
        <v>40387.365955626439</v>
      </c>
      <c r="AJ13" s="98">
        <v>27634.010087454077</v>
      </c>
      <c r="AK13" s="54">
        <v>116819.10198628239</v>
      </c>
      <c r="AL13" s="54">
        <v>9380</v>
      </c>
      <c r="AM13" s="54"/>
      <c r="AN13" s="54"/>
      <c r="AO13" s="54">
        <v>85050.000000000015</v>
      </c>
      <c r="AP13" s="54"/>
      <c r="AQ13" s="54"/>
      <c r="AR13" s="55">
        <v>73</v>
      </c>
      <c r="AS13" s="55">
        <v>0</v>
      </c>
      <c r="AT13" s="55">
        <v>0</v>
      </c>
      <c r="AU13" s="55">
        <v>73</v>
      </c>
      <c r="AV13" s="97">
        <v>18288.062234400484</v>
      </c>
      <c r="AW13" s="97">
        <v>11263.248245289082</v>
      </c>
      <c r="AX13" s="55">
        <v>36815.139859902076</v>
      </c>
      <c r="AY13" s="55">
        <v>3720.0000000000005</v>
      </c>
      <c r="AZ13" s="55"/>
      <c r="BA13" s="55"/>
      <c r="BB13" s="55">
        <v>34853.333333333328</v>
      </c>
      <c r="BC13" s="55"/>
      <c r="BD13" s="55"/>
      <c r="BE13" s="74">
        <v>44</v>
      </c>
      <c r="BF13" s="99">
        <v>45</v>
      </c>
      <c r="BG13" s="99">
        <v>47</v>
      </c>
      <c r="BH13" s="57"/>
      <c r="BI13" s="57"/>
      <c r="BJ13" s="70">
        <v>152</v>
      </c>
      <c r="BK13" s="70">
        <v>0</v>
      </c>
      <c r="BL13" s="58">
        <v>0</v>
      </c>
      <c r="BM13" s="100">
        <v>1.0807894736842103</v>
      </c>
      <c r="BN13" s="100">
        <v>0.15186184210526316</v>
      </c>
      <c r="BO13" s="100">
        <v>0.92892763157894742</v>
      </c>
      <c r="BP13" s="62">
        <v>148</v>
      </c>
      <c r="BQ13" s="62">
        <v>0</v>
      </c>
      <c r="BR13" s="62">
        <v>0</v>
      </c>
      <c r="BS13" s="101">
        <v>3.0008310810810812</v>
      </c>
      <c r="BT13" s="101">
        <v>0.31843243243243241</v>
      </c>
      <c r="BU13" s="101">
        <v>2.6823986486486486</v>
      </c>
      <c r="BV13" s="93">
        <v>1073</v>
      </c>
      <c r="BW13" s="91">
        <v>65</v>
      </c>
      <c r="BX13" s="102">
        <v>3.9772727272727271</v>
      </c>
      <c r="BY13" s="91">
        <v>67</v>
      </c>
      <c r="BZ13" s="103">
        <v>2.6249701492537314</v>
      </c>
      <c r="CA13" s="92">
        <v>0</v>
      </c>
      <c r="CB13" s="104">
        <v>1</v>
      </c>
      <c r="CC13" s="91">
        <v>61</v>
      </c>
      <c r="CD13" s="92">
        <v>65</v>
      </c>
      <c r="CE13" s="104">
        <v>0.91044776119402981</v>
      </c>
      <c r="CF13" s="91">
        <v>66</v>
      </c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>
        <v>75</v>
      </c>
      <c r="E14" s="65">
        <v>0</v>
      </c>
      <c r="F14" s="54">
        <v>0</v>
      </c>
      <c r="G14" s="94">
        <v>16306.599190123836</v>
      </c>
      <c r="H14" s="94">
        <v>7214.799604516631</v>
      </c>
      <c r="I14" s="95">
        <v>1</v>
      </c>
      <c r="J14" s="54">
        <v>75</v>
      </c>
      <c r="K14" s="54">
        <v>75</v>
      </c>
      <c r="L14" s="54">
        <v>37892.038244207361</v>
      </c>
      <c r="M14" s="54">
        <v>7125</v>
      </c>
      <c r="N14" s="54"/>
      <c r="O14" s="54"/>
      <c r="P14" s="54">
        <v>25500</v>
      </c>
      <c r="Q14" s="54"/>
      <c r="R14" s="54"/>
      <c r="S14" s="55">
        <v>73</v>
      </c>
      <c r="T14" s="55">
        <v>0</v>
      </c>
      <c r="U14" s="55">
        <v>2</v>
      </c>
      <c r="V14" s="96">
        <v>8203.9348462114667</v>
      </c>
      <c r="W14" s="97">
        <v>5580.5334982193672</v>
      </c>
      <c r="X14" s="55">
        <v>25606.633099389041</v>
      </c>
      <c r="Y14" s="55">
        <v>1016.6666666666669</v>
      </c>
      <c r="Z14" s="55"/>
      <c r="AA14" s="55"/>
      <c r="AB14" s="55">
        <v>15225</v>
      </c>
      <c r="AC14" s="55"/>
      <c r="AD14" s="55"/>
      <c r="AE14" s="54">
        <v>80</v>
      </c>
      <c r="AF14" s="54">
        <v>0</v>
      </c>
      <c r="AG14" s="54">
        <v>0</v>
      </c>
      <c r="AH14" s="54">
        <v>80</v>
      </c>
      <c r="AI14" s="98">
        <v>44410.283640584945</v>
      </c>
      <c r="AJ14" s="98">
        <v>28848.002338533784</v>
      </c>
      <c r="AK14" s="54">
        <v>117761.27451075841</v>
      </c>
      <c r="AL14" s="54">
        <v>8750</v>
      </c>
      <c r="AM14" s="54"/>
      <c r="AN14" s="54"/>
      <c r="AO14" s="54">
        <v>82250</v>
      </c>
      <c r="AP14" s="54"/>
      <c r="AQ14" s="54"/>
      <c r="AR14" s="55">
        <v>73</v>
      </c>
      <c r="AS14" s="55">
        <v>0</v>
      </c>
      <c r="AT14" s="55">
        <v>2</v>
      </c>
      <c r="AU14" s="55">
        <v>70</v>
      </c>
      <c r="AV14" s="97">
        <v>16741.529570410316</v>
      </c>
      <c r="AW14" s="97">
        <v>13438.185179761191</v>
      </c>
      <c r="AX14" s="55">
        <v>44769.003192193275</v>
      </c>
      <c r="AY14" s="55">
        <v>1680.0000000000007</v>
      </c>
      <c r="AZ14" s="55"/>
      <c r="BA14" s="55"/>
      <c r="BB14" s="55">
        <v>38106.666666666672</v>
      </c>
      <c r="BC14" s="55"/>
      <c r="BD14" s="55"/>
      <c r="BE14" s="74">
        <v>53</v>
      </c>
      <c r="BF14" s="99">
        <v>45</v>
      </c>
      <c r="BG14" s="99">
        <v>49</v>
      </c>
      <c r="BH14" s="57"/>
      <c r="BI14" s="57"/>
      <c r="BJ14" s="70">
        <v>160</v>
      </c>
      <c r="BK14" s="70">
        <v>0</v>
      </c>
      <c r="BL14" s="58">
        <v>2</v>
      </c>
      <c r="BM14" s="100">
        <v>1.4346835443037975</v>
      </c>
      <c r="BN14" s="100">
        <v>0.17260126582278479</v>
      </c>
      <c r="BO14" s="100">
        <v>1.2620822784810126</v>
      </c>
      <c r="BP14" s="62">
        <v>154</v>
      </c>
      <c r="BQ14" s="62">
        <v>0</v>
      </c>
      <c r="BR14" s="62">
        <v>0</v>
      </c>
      <c r="BS14" s="101">
        <v>2.93974025974026</v>
      </c>
      <c r="BT14" s="101">
        <v>0.29012987012987013</v>
      </c>
      <c r="BU14" s="101">
        <v>2.6496103896103897</v>
      </c>
      <c r="BV14" s="93">
        <v>1080</v>
      </c>
      <c r="BW14" s="91">
        <v>74</v>
      </c>
      <c r="BX14" s="102">
        <v>3.9959459498121932</v>
      </c>
      <c r="BY14" s="91">
        <v>74</v>
      </c>
      <c r="BZ14" s="103">
        <v>2.4826081081081086</v>
      </c>
      <c r="CA14" s="92">
        <v>0</v>
      </c>
      <c r="CB14" s="104">
        <v>1</v>
      </c>
      <c r="CC14" s="91">
        <v>72</v>
      </c>
      <c r="CD14" s="92">
        <v>74</v>
      </c>
      <c r="CE14" s="104">
        <v>0.97297297297297303</v>
      </c>
      <c r="CF14" s="91">
        <v>74</v>
      </c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>
        <v>62</v>
      </c>
      <c r="E15" s="65">
        <v>0</v>
      </c>
      <c r="F15" s="54">
        <v>0</v>
      </c>
      <c r="G15" s="94">
        <v>9939.3562765355</v>
      </c>
      <c r="H15" s="94">
        <v>4547.4174887542513</v>
      </c>
      <c r="I15" s="95">
        <v>0.95161290322580649</v>
      </c>
      <c r="J15" s="54">
        <v>59</v>
      </c>
      <c r="K15" s="54">
        <v>62</v>
      </c>
      <c r="L15" s="54">
        <v>28218.382625166243</v>
      </c>
      <c r="M15" s="54">
        <v>4400</v>
      </c>
      <c r="N15" s="54"/>
      <c r="O15" s="54"/>
      <c r="P15" s="54">
        <v>14600.000000000002</v>
      </c>
      <c r="Q15" s="54"/>
      <c r="R15" s="54"/>
      <c r="S15" s="55">
        <v>62</v>
      </c>
      <c r="T15" s="55">
        <v>0</v>
      </c>
      <c r="U15" s="55">
        <v>0</v>
      </c>
      <c r="V15" s="96">
        <v>7062.1000472502483</v>
      </c>
      <c r="W15" s="97">
        <v>3077.1951660399318</v>
      </c>
      <c r="X15" s="55">
        <v>11557.275514860639</v>
      </c>
      <c r="Y15" s="55">
        <v>2516.6666666666665</v>
      </c>
      <c r="Z15" s="55"/>
      <c r="AA15" s="55"/>
      <c r="AB15" s="55">
        <v>10700.000000000002</v>
      </c>
      <c r="AC15" s="55"/>
      <c r="AD15" s="55"/>
      <c r="AE15" s="54">
        <v>61</v>
      </c>
      <c r="AF15" s="54">
        <v>0</v>
      </c>
      <c r="AG15" s="54">
        <v>0</v>
      </c>
      <c r="AH15" s="54">
        <v>61</v>
      </c>
      <c r="AI15" s="98">
        <v>25564.826240264087</v>
      </c>
      <c r="AJ15" s="98">
        <v>12364.35693452642</v>
      </c>
      <c r="AK15" s="54">
        <v>59295.299760512964</v>
      </c>
      <c r="AL15" s="54">
        <v>10587.5</v>
      </c>
      <c r="AM15" s="54"/>
      <c r="AN15" s="54"/>
      <c r="AO15" s="54">
        <v>45149.999999999993</v>
      </c>
      <c r="AP15" s="54"/>
      <c r="AQ15" s="54"/>
      <c r="AR15" s="55">
        <v>61</v>
      </c>
      <c r="AS15" s="55">
        <v>0</v>
      </c>
      <c r="AT15" s="55">
        <v>0</v>
      </c>
      <c r="AU15" s="55">
        <v>61</v>
      </c>
      <c r="AV15" s="97">
        <v>13261.137929800077</v>
      </c>
      <c r="AW15" s="97">
        <v>9451.3999888182625</v>
      </c>
      <c r="AX15" s="55">
        <v>31287.717141290163</v>
      </c>
      <c r="AY15" s="55">
        <v>2416</v>
      </c>
      <c r="AZ15" s="55"/>
      <c r="BA15" s="55"/>
      <c r="BB15" s="55">
        <v>28720</v>
      </c>
      <c r="BC15" s="55"/>
      <c r="BD15" s="55"/>
      <c r="BE15" s="74">
        <v>48</v>
      </c>
      <c r="BF15" s="99">
        <v>82</v>
      </c>
      <c r="BG15" s="99">
        <v>82</v>
      </c>
      <c r="BH15" s="57"/>
      <c r="BI15" s="57"/>
      <c r="BJ15" s="70">
        <v>124</v>
      </c>
      <c r="BK15" s="70">
        <v>2</v>
      </c>
      <c r="BL15" s="58">
        <v>0</v>
      </c>
      <c r="BM15" s="100">
        <v>2.0992950819672136</v>
      </c>
      <c r="BN15" s="100">
        <v>0.39510655737704919</v>
      </c>
      <c r="BO15" s="100">
        <v>1.704188524590164</v>
      </c>
      <c r="BP15" s="62">
        <v>124</v>
      </c>
      <c r="BQ15" s="62">
        <v>0</v>
      </c>
      <c r="BR15" s="62">
        <v>0</v>
      </c>
      <c r="BS15" s="101">
        <v>3.5788629032258061</v>
      </c>
      <c r="BT15" s="101">
        <v>0.48283064516129037</v>
      </c>
      <c r="BU15" s="101">
        <v>3.0960322580645157</v>
      </c>
      <c r="BV15" s="93">
        <v>1080</v>
      </c>
      <c r="BW15" s="91">
        <v>59</v>
      </c>
      <c r="BX15" s="102">
        <v>3.9966101727243197</v>
      </c>
      <c r="BY15" s="91">
        <v>59</v>
      </c>
      <c r="BZ15" s="103">
        <v>2.2607457627118643</v>
      </c>
      <c r="CA15" s="92">
        <v>0</v>
      </c>
      <c r="CB15" s="104">
        <v>1</v>
      </c>
      <c r="CC15" s="91">
        <v>58</v>
      </c>
      <c r="CD15" s="92">
        <v>59</v>
      </c>
      <c r="CE15" s="104">
        <v>0.98305084745762716</v>
      </c>
      <c r="CF15" s="91">
        <v>59</v>
      </c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1</v>
      </c>
      <c r="I18" s="49" t="b">
        <f t="shared" si="0"/>
        <v>0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1</v>
      </c>
      <c r="O18" s="49" t="b">
        <f t="shared" si="0"/>
        <v>1</v>
      </c>
      <c r="P18" s="49" t="b">
        <f t="shared" si="0"/>
        <v>1</v>
      </c>
      <c r="Q18" s="49" t="b">
        <f t="shared" si="0"/>
        <v>1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1</v>
      </c>
      <c r="AA18" s="49" t="b">
        <f t="shared" si="0"/>
        <v>1</v>
      </c>
      <c r="AB18" s="49" t="b">
        <f t="shared" si="0"/>
        <v>1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1</v>
      </c>
      <c r="BA18" s="49" t="b">
        <f t="shared" si="0"/>
        <v>1</v>
      </c>
      <c r="BB18" s="49" t="b">
        <f t="shared" si="0"/>
        <v>1</v>
      </c>
      <c r="BC18" s="49" t="b">
        <f t="shared" si="0"/>
        <v>1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BV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b">
        <f>BV6=BV12</f>
        <v>0</v>
      </c>
      <c r="BW18" s="49" t="b">
        <f>(BW6+CH6+CS6+DD6)=BW12</f>
        <v>1</v>
      </c>
      <c r="BX18" s="49" t="b">
        <f>(BX6+CI6+CT6+DE6)/4=BX12</f>
        <v>0</v>
      </c>
      <c r="BY18" s="49" t="b">
        <f t="shared" ref="BY18:CF21" si="2">(BY6+CJ6+CU6+DF6)=BY12</f>
        <v>1</v>
      </c>
      <c r="BZ18" s="49" t="b">
        <f>(BZ6+CK6+CV6+DG6)/4=BZ12</f>
        <v>0</v>
      </c>
      <c r="CA18" s="49" t="b">
        <f t="shared" si="2"/>
        <v>1</v>
      </c>
      <c r="CB18" s="49" t="b">
        <f>(CB6+CM6+CX6+DI6)/4=CB12</f>
        <v>1</v>
      </c>
      <c r="CC18" s="49" t="b">
        <f t="shared" si="2"/>
        <v>1</v>
      </c>
      <c r="CD18" s="49" t="b">
        <f t="shared" si="2"/>
        <v>1</v>
      </c>
      <c r="CE18" s="49" t="b">
        <f>(CE6+CP6+DA6+DL6)/4=CE12</f>
        <v>0</v>
      </c>
      <c r="CF18" s="49" t="b">
        <f t="shared" si="2"/>
        <v>1</v>
      </c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1</v>
      </c>
      <c r="E19" s="49" t="b">
        <f t="shared" si="3"/>
        <v>1</v>
      </c>
      <c r="F19" s="49" t="b">
        <f t="shared" si="3"/>
        <v>1</v>
      </c>
      <c r="G19" s="49" t="b">
        <f t="shared" si="3"/>
        <v>1</v>
      </c>
      <c r="H19" s="49" t="b">
        <f t="shared" si="3"/>
        <v>1</v>
      </c>
      <c r="I19" s="49" t="b">
        <f t="shared" si="3"/>
        <v>1</v>
      </c>
      <c r="J19" s="49" t="b">
        <f t="shared" si="3"/>
        <v>1</v>
      </c>
      <c r="K19" s="49" t="b">
        <f t="shared" si="3"/>
        <v>1</v>
      </c>
      <c r="L19" s="49" t="b">
        <f t="shared" si="3"/>
        <v>1</v>
      </c>
      <c r="M19" s="49" t="b">
        <f t="shared" si="3"/>
        <v>1</v>
      </c>
      <c r="N19" s="49" t="b">
        <f t="shared" si="3"/>
        <v>1</v>
      </c>
      <c r="O19" s="49" t="b">
        <f t="shared" si="3"/>
        <v>1</v>
      </c>
      <c r="P19" s="49" t="b">
        <f t="shared" si="3"/>
        <v>1</v>
      </c>
      <c r="Q19" s="49" t="b">
        <f t="shared" si="3"/>
        <v>1</v>
      </c>
      <c r="R19" s="49" t="b">
        <f t="shared" si="3"/>
        <v>1</v>
      </c>
      <c r="S19" s="49" t="b">
        <f t="shared" si="3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1</v>
      </c>
      <c r="AA19" s="49" t="b">
        <f t="shared" si="0"/>
        <v>1</v>
      </c>
      <c r="AB19" s="49" t="b">
        <f t="shared" si="0"/>
        <v>1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1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1</v>
      </c>
      <c r="BA19" s="49" t="b">
        <f t="shared" si="0"/>
        <v>1</v>
      </c>
      <c r="BB19" s="49" t="b">
        <f t="shared" si="0"/>
        <v>1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 t="shared" si="1"/>
        <v>0</v>
      </c>
      <c r="BW19" s="49" t="b">
        <f>(BW7+CH7+CS7+DD7)=BW13</f>
        <v>1</v>
      </c>
      <c r="BX19" s="49" t="b">
        <f t="shared" ref="BX19:BX21" si="4">(BX7+CI7+CT7+DE7)/4=BX13</f>
        <v>0</v>
      </c>
      <c r="BY19" s="49" t="b">
        <f t="shared" si="2"/>
        <v>1</v>
      </c>
      <c r="BZ19" s="49" t="b">
        <f t="shared" ref="BZ19:BZ21" si="5">(BZ7+CK7+CV7+DG7)/4=BZ13</f>
        <v>0</v>
      </c>
      <c r="CA19" s="49" t="b">
        <f t="shared" si="2"/>
        <v>1</v>
      </c>
      <c r="CB19" s="49" t="b">
        <f t="shared" ref="CB19:CB21" si="6">(CB7+CM7+CX7+DI7)/4=CB13</f>
        <v>1</v>
      </c>
      <c r="CC19" s="49" t="b">
        <f t="shared" si="2"/>
        <v>1</v>
      </c>
      <c r="CD19" s="49" t="b">
        <f t="shared" si="2"/>
        <v>1</v>
      </c>
      <c r="CE19" s="49" t="b">
        <f>(CE7+CP7+DA7+DL7)/4=CE13</f>
        <v>0</v>
      </c>
      <c r="CF19" s="49" t="b">
        <f t="shared" si="2"/>
        <v>1</v>
      </c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  <c r="DE19" s="49"/>
      <c r="DF19" s="49"/>
      <c r="DG19" s="49"/>
      <c r="DH19" s="49"/>
      <c r="DI19" s="49"/>
      <c r="DJ19" s="49"/>
      <c r="DK19" s="49"/>
      <c r="DL19" s="49"/>
      <c r="DM19" s="49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3"/>
        <v>1</v>
      </c>
      <c r="E20" s="49" t="b">
        <f t="shared" si="3"/>
        <v>1</v>
      </c>
      <c r="F20" s="49" t="b">
        <f t="shared" si="3"/>
        <v>1</v>
      </c>
      <c r="G20" s="49" t="b">
        <f t="shared" si="3"/>
        <v>1</v>
      </c>
      <c r="H20" s="49" t="b">
        <f t="shared" si="3"/>
        <v>1</v>
      </c>
      <c r="I20" s="49" t="b">
        <f t="shared" si="3"/>
        <v>1</v>
      </c>
      <c r="J20" s="49" t="b">
        <f t="shared" si="3"/>
        <v>1</v>
      </c>
      <c r="K20" s="49" t="b">
        <f t="shared" si="3"/>
        <v>1</v>
      </c>
      <c r="L20" s="49" t="b">
        <f t="shared" si="3"/>
        <v>1</v>
      </c>
      <c r="M20" s="49" t="b">
        <f t="shared" si="3"/>
        <v>1</v>
      </c>
      <c r="N20" s="49" t="b">
        <f t="shared" si="3"/>
        <v>1</v>
      </c>
      <c r="O20" s="49" t="b">
        <f t="shared" si="3"/>
        <v>1</v>
      </c>
      <c r="P20" s="49" t="b">
        <f t="shared" si="3"/>
        <v>1</v>
      </c>
      <c r="Q20" s="49" t="b">
        <f t="shared" si="3"/>
        <v>1</v>
      </c>
      <c r="R20" s="49" t="b">
        <f t="shared" si="3"/>
        <v>1</v>
      </c>
      <c r="S20" s="49" t="b">
        <f t="shared" si="3"/>
        <v>1</v>
      </c>
      <c r="T20" s="49" t="b">
        <f t="shared" si="0"/>
        <v>1</v>
      </c>
      <c r="U20" s="49" t="b">
        <f t="shared" si="0"/>
        <v>1</v>
      </c>
      <c r="V20" s="49" t="b">
        <f t="shared" si="0"/>
        <v>1</v>
      </c>
      <c r="W20" s="49" t="b">
        <f t="shared" si="0"/>
        <v>1</v>
      </c>
      <c r="X20" s="49" t="b">
        <f t="shared" si="0"/>
        <v>1</v>
      </c>
      <c r="Y20" s="49" t="b">
        <f t="shared" si="0"/>
        <v>1</v>
      </c>
      <c r="Z20" s="49" t="b">
        <f t="shared" si="0"/>
        <v>1</v>
      </c>
      <c r="AA20" s="49" t="b">
        <f t="shared" si="0"/>
        <v>1</v>
      </c>
      <c r="AB20" s="49" t="b">
        <f t="shared" si="0"/>
        <v>1</v>
      </c>
      <c r="AC20" s="49" t="b">
        <f t="shared" si="0"/>
        <v>1</v>
      </c>
      <c r="AD20" s="49" t="b">
        <f t="shared" si="0"/>
        <v>1</v>
      </c>
      <c r="AE20" s="49" t="b">
        <f t="shared" si="0"/>
        <v>1</v>
      </c>
      <c r="AF20" s="49" t="b">
        <f t="shared" si="0"/>
        <v>1</v>
      </c>
      <c r="AG20" s="49" t="b">
        <f t="shared" si="0"/>
        <v>1</v>
      </c>
      <c r="AH20" s="49" t="b">
        <f t="shared" si="0"/>
        <v>1</v>
      </c>
      <c r="AI20" s="49" t="b">
        <f t="shared" si="0"/>
        <v>1</v>
      </c>
      <c r="AJ20" s="49" t="b">
        <f t="shared" si="0"/>
        <v>1</v>
      </c>
      <c r="AK20" s="49" t="b">
        <f t="shared" si="0"/>
        <v>1</v>
      </c>
      <c r="AL20" s="49" t="b">
        <f t="shared" si="0"/>
        <v>1</v>
      </c>
      <c r="AM20" s="49" t="b">
        <f t="shared" si="0"/>
        <v>1</v>
      </c>
      <c r="AN20" s="49" t="b">
        <f t="shared" si="0"/>
        <v>1</v>
      </c>
      <c r="AO20" s="49" t="b">
        <f t="shared" si="0"/>
        <v>1</v>
      </c>
      <c r="AP20" s="49" t="b">
        <f t="shared" si="0"/>
        <v>1</v>
      </c>
      <c r="AQ20" s="49" t="b">
        <f t="shared" si="0"/>
        <v>1</v>
      </c>
      <c r="AR20" s="49" t="b">
        <f t="shared" si="0"/>
        <v>1</v>
      </c>
      <c r="AS20" s="49" t="b">
        <f t="shared" si="0"/>
        <v>1</v>
      </c>
      <c r="AT20" s="49" t="b">
        <f t="shared" si="0"/>
        <v>1</v>
      </c>
      <c r="AU20" s="49" t="b">
        <f t="shared" si="0"/>
        <v>1</v>
      </c>
      <c r="AV20" s="49" t="b">
        <f t="shared" si="0"/>
        <v>1</v>
      </c>
      <c r="AW20" s="49" t="b">
        <f t="shared" si="0"/>
        <v>1</v>
      </c>
      <c r="AX20" s="49" t="b">
        <f t="shared" si="0"/>
        <v>1</v>
      </c>
      <c r="AY20" s="49" t="b">
        <f t="shared" si="0"/>
        <v>1</v>
      </c>
      <c r="AZ20" s="49" t="b">
        <f t="shared" si="0"/>
        <v>1</v>
      </c>
      <c r="BA20" s="49" t="b">
        <f t="shared" si="0"/>
        <v>1</v>
      </c>
      <c r="BB20" s="49" t="b">
        <f t="shared" si="0"/>
        <v>1</v>
      </c>
      <c r="BC20" s="49" t="b">
        <f t="shared" si="0"/>
        <v>1</v>
      </c>
      <c r="BD20" s="49" t="b">
        <f t="shared" si="0"/>
        <v>1</v>
      </c>
      <c r="BE20" s="49" t="b">
        <f t="shared" si="0"/>
        <v>1</v>
      </c>
      <c r="BF20" s="49" t="b">
        <f t="shared" si="0"/>
        <v>1</v>
      </c>
      <c r="BG20" s="49" t="b">
        <f t="shared" si="0"/>
        <v>1</v>
      </c>
      <c r="BH20" s="49" t="b">
        <f t="shared" si="0"/>
        <v>1</v>
      </c>
      <c r="BI20" s="49" t="b">
        <f t="shared" si="0"/>
        <v>1</v>
      </c>
      <c r="BJ20" s="49" t="b">
        <f t="shared" si="0"/>
        <v>1</v>
      </c>
      <c r="BK20" s="49" t="b">
        <f t="shared" si="0"/>
        <v>1</v>
      </c>
      <c r="BL20" s="49" t="b">
        <f t="shared" si="0"/>
        <v>1</v>
      </c>
      <c r="BM20" s="49" t="b">
        <f t="shared" si="0"/>
        <v>1</v>
      </c>
      <c r="BN20" s="49" t="b">
        <f t="shared" si="0"/>
        <v>1</v>
      </c>
      <c r="BO20" s="49" t="b">
        <f t="shared" si="0"/>
        <v>1</v>
      </c>
      <c r="BP20" s="49" t="b">
        <f t="shared" si="0"/>
        <v>1</v>
      </c>
      <c r="BQ20" s="49" t="b">
        <f t="shared" si="1"/>
        <v>1</v>
      </c>
      <c r="BR20" s="49" t="b">
        <f t="shared" si="1"/>
        <v>1</v>
      </c>
      <c r="BS20" s="49" t="b">
        <f t="shared" si="1"/>
        <v>1</v>
      </c>
      <c r="BT20" s="49" t="b">
        <f t="shared" si="1"/>
        <v>1</v>
      </c>
      <c r="BU20" s="49" t="b">
        <f t="shared" si="1"/>
        <v>1</v>
      </c>
      <c r="BV20" s="49" t="b">
        <f t="shared" si="1"/>
        <v>0</v>
      </c>
      <c r="BW20" s="49" t="b">
        <f>(BW8+CH8+CS8+DD8)=BW14</f>
        <v>1</v>
      </c>
      <c r="BX20" s="49" t="b">
        <f t="shared" si="4"/>
        <v>0</v>
      </c>
      <c r="BY20" s="49" t="b">
        <f t="shared" si="2"/>
        <v>1</v>
      </c>
      <c r="BZ20" s="49" t="b">
        <f t="shared" si="5"/>
        <v>0</v>
      </c>
      <c r="CA20" s="49" t="b">
        <f t="shared" si="2"/>
        <v>1</v>
      </c>
      <c r="CB20" s="49" t="b">
        <f t="shared" si="6"/>
        <v>1</v>
      </c>
      <c r="CC20" s="49" t="b">
        <f t="shared" si="2"/>
        <v>1</v>
      </c>
      <c r="CD20" s="49" t="b">
        <f t="shared" si="2"/>
        <v>1</v>
      </c>
      <c r="CE20" s="49" t="b">
        <f>(CE8+CP8+DA8+DL8)/4=CE14</f>
        <v>0</v>
      </c>
      <c r="CF20" s="49" t="b">
        <f t="shared" si="2"/>
        <v>1</v>
      </c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49"/>
      <c r="CV20" s="49"/>
      <c r="CW20" s="49"/>
      <c r="CX20" s="49"/>
      <c r="CY20" s="49"/>
      <c r="CZ20" s="49"/>
      <c r="DA20" s="49"/>
      <c r="DB20" s="49"/>
      <c r="DC20" s="49"/>
      <c r="DD20" s="49"/>
      <c r="DE20" s="49"/>
      <c r="DF20" s="49"/>
      <c r="DG20" s="49"/>
      <c r="DH20" s="49"/>
      <c r="DI20" s="49"/>
      <c r="DJ20" s="49"/>
      <c r="DK20" s="49"/>
      <c r="DL20" s="49"/>
      <c r="DM20" s="49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3"/>
        <v>1</v>
      </c>
      <c r="E21" s="49" t="b">
        <f t="shared" si="0"/>
        <v>1</v>
      </c>
      <c r="F21" s="49" t="b">
        <f t="shared" si="0"/>
        <v>1</v>
      </c>
      <c r="G21" s="49" t="b">
        <f t="shared" si="0"/>
        <v>1</v>
      </c>
      <c r="H21" s="49" t="b">
        <f t="shared" si="0"/>
        <v>1</v>
      </c>
      <c r="I21" s="49" t="b">
        <f t="shared" si="0"/>
        <v>0</v>
      </c>
      <c r="J21" s="49" t="b">
        <f t="shared" si="0"/>
        <v>1</v>
      </c>
      <c r="K21" s="49" t="b">
        <f t="shared" si="0"/>
        <v>1</v>
      </c>
      <c r="L21" s="49" t="b">
        <f t="shared" si="0"/>
        <v>1</v>
      </c>
      <c r="M21" s="49" t="b">
        <f t="shared" si="0"/>
        <v>1</v>
      </c>
      <c r="N21" s="49" t="b">
        <f t="shared" si="0"/>
        <v>1</v>
      </c>
      <c r="O21" s="49" t="b">
        <f t="shared" si="0"/>
        <v>1</v>
      </c>
      <c r="P21" s="49" t="b">
        <f t="shared" si="0"/>
        <v>1</v>
      </c>
      <c r="Q21" s="49" t="b">
        <f t="shared" si="0"/>
        <v>1</v>
      </c>
      <c r="R21" s="49" t="b">
        <f t="shared" si="0"/>
        <v>1</v>
      </c>
      <c r="S21" s="49" t="b">
        <f t="shared" si="0"/>
        <v>1</v>
      </c>
      <c r="T21" s="49" t="b">
        <f t="shared" si="0"/>
        <v>1</v>
      </c>
      <c r="U21" s="49" t="b">
        <f t="shared" si="0"/>
        <v>1</v>
      </c>
      <c r="V21" s="49" t="b">
        <f t="shared" si="0"/>
        <v>1</v>
      </c>
      <c r="W21" s="49" t="b">
        <f t="shared" si="0"/>
        <v>1</v>
      </c>
      <c r="X21" s="49" t="b">
        <f t="shared" si="0"/>
        <v>1</v>
      </c>
      <c r="Y21" s="49" t="b">
        <f t="shared" si="0"/>
        <v>1</v>
      </c>
      <c r="Z21" s="49" t="b">
        <f t="shared" si="0"/>
        <v>1</v>
      </c>
      <c r="AA21" s="49" t="b">
        <f t="shared" si="0"/>
        <v>1</v>
      </c>
      <c r="AB21" s="49" t="b">
        <f t="shared" si="0"/>
        <v>1</v>
      </c>
      <c r="AC21" s="49" t="b">
        <f t="shared" si="0"/>
        <v>1</v>
      </c>
      <c r="AD21" s="49" t="b">
        <f t="shared" si="0"/>
        <v>1</v>
      </c>
      <c r="AE21" s="49" t="b">
        <f t="shared" si="0"/>
        <v>1</v>
      </c>
      <c r="AF21" s="49" t="b">
        <f t="shared" si="0"/>
        <v>1</v>
      </c>
      <c r="AG21" s="49" t="b">
        <f t="shared" si="0"/>
        <v>1</v>
      </c>
      <c r="AH21" s="49" t="b">
        <f t="shared" si="0"/>
        <v>1</v>
      </c>
      <c r="AI21" s="49" t="b">
        <f t="shared" si="0"/>
        <v>1</v>
      </c>
      <c r="AJ21" s="49" t="b">
        <f t="shared" si="0"/>
        <v>1</v>
      </c>
      <c r="AK21" s="49" t="b">
        <f t="shared" si="0"/>
        <v>1</v>
      </c>
      <c r="AL21" s="49" t="b">
        <f t="shared" si="0"/>
        <v>1</v>
      </c>
      <c r="AM21" s="49" t="b">
        <f t="shared" si="0"/>
        <v>1</v>
      </c>
      <c r="AN21" s="49" t="b">
        <f t="shared" si="0"/>
        <v>1</v>
      </c>
      <c r="AO21" s="49" t="b">
        <f t="shared" si="0"/>
        <v>1</v>
      </c>
      <c r="AP21" s="49" t="b">
        <f t="shared" si="0"/>
        <v>1</v>
      </c>
      <c r="AQ21" s="49" t="b">
        <f t="shared" si="0"/>
        <v>1</v>
      </c>
      <c r="AR21" s="49" t="b">
        <f t="shared" si="0"/>
        <v>1</v>
      </c>
      <c r="AS21" s="49" t="b">
        <f t="shared" si="0"/>
        <v>1</v>
      </c>
      <c r="AT21" s="49" t="b">
        <f t="shared" si="0"/>
        <v>1</v>
      </c>
      <c r="AU21" s="49" t="b">
        <f t="shared" si="0"/>
        <v>1</v>
      </c>
      <c r="AV21" s="49" t="b">
        <f t="shared" si="0"/>
        <v>1</v>
      </c>
      <c r="AW21" s="49" t="b">
        <f t="shared" si="0"/>
        <v>1</v>
      </c>
      <c r="AX21" s="49" t="b">
        <f t="shared" si="0"/>
        <v>1</v>
      </c>
      <c r="AY21" s="49" t="b">
        <f t="shared" si="0"/>
        <v>1</v>
      </c>
      <c r="AZ21" s="49" t="b">
        <f t="shared" si="0"/>
        <v>1</v>
      </c>
      <c r="BA21" s="49" t="b">
        <f t="shared" si="0"/>
        <v>1</v>
      </c>
      <c r="BB21" s="49" t="b">
        <f t="shared" si="0"/>
        <v>1</v>
      </c>
      <c r="BC21" s="49" t="b">
        <f t="shared" si="0"/>
        <v>1</v>
      </c>
      <c r="BD21" s="49" t="b">
        <f t="shared" si="0"/>
        <v>1</v>
      </c>
      <c r="BE21" s="49" t="b">
        <f t="shared" si="0"/>
        <v>1</v>
      </c>
      <c r="BF21" s="49" t="b">
        <f t="shared" si="0"/>
        <v>1</v>
      </c>
      <c r="BG21" s="49" t="b">
        <f t="shared" si="0"/>
        <v>1</v>
      </c>
      <c r="BH21" s="49" t="b">
        <f t="shared" si="0"/>
        <v>1</v>
      </c>
      <c r="BI21" s="49" t="b">
        <f t="shared" si="0"/>
        <v>1</v>
      </c>
      <c r="BJ21" s="49" t="b">
        <f t="shared" si="0"/>
        <v>1</v>
      </c>
      <c r="BK21" s="49" t="b">
        <f t="shared" si="0"/>
        <v>1</v>
      </c>
      <c r="BL21" s="49" t="b">
        <f t="shared" si="0"/>
        <v>1</v>
      </c>
      <c r="BM21" s="49" t="b">
        <f t="shared" si="0"/>
        <v>1</v>
      </c>
      <c r="BN21" s="49" t="b">
        <f t="shared" si="0"/>
        <v>1</v>
      </c>
      <c r="BO21" s="49" t="b">
        <f t="shared" si="0"/>
        <v>1</v>
      </c>
      <c r="BP21" s="49" t="b">
        <f t="shared" si="0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 t="shared" si="1"/>
        <v>0</v>
      </c>
      <c r="BW21" s="49" t="b">
        <f>(BW9+CH9+CS9+DD9)=BW15</f>
        <v>1</v>
      </c>
      <c r="BX21" s="49" t="b">
        <f t="shared" si="4"/>
        <v>0</v>
      </c>
      <c r="BY21" s="49" t="b">
        <f t="shared" si="2"/>
        <v>1</v>
      </c>
      <c r="BZ21" s="49" t="b">
        <f t="shared" si="5"/>
        <v>0</v>
      </c>
      <c r="CA21" s="49" t="b">
        <f t="shared" si="2"/>
        <v>1</v>
      </c>
      <c r="CB21" s="49" t="b">
        <f t="shared" si="6"/>
        <v>1</v>
      </c>
      <c r="CC21" s="49" t="b">
        <f t="shared" si="2"/>
        <v>1</v>
      </c>
      <c r="CD21" s="49" t="b">
        <f t="shared" si="2"/>
        <v>1</v>
      </c>
      <c r="CE21" s="49" t="b">
        <f>(CE9+CP9+DA9+DL9)/4=CE15</f>
        <v>0</v>
      </c>
      <c r="CF21" s="49" t="b">
        <f t="shared" si="2"/>
        <v>1</v>
      </c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49"/>
      <c r="CV21" s="49"/>
      <c r="CW21" s="49"/>
      <c r="CX21" s="49"/>
      <c r="CY21" s="49"/>
      <c r="CZ21" s="49"/>
      <c r="DA21" s="49"/>
      <c r="DB21" s="49"/>
      <c r="DC21" s="49"/>
      <c r="DD21" s="49"/>
      <c r="DE21" s="49"/>
      <c r="DF21" s="49"/>
      <c r="DG21" s="49"/>
      <c r="DH21" s="49"/>
      <c r="DI21" s="49"/>
      <c r="DJ21" s="49"/>
      <c r="DK21" s="49"/>
      <c r="DL21" s="49"/>
      <c r="DM21" s="49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9"/>
      <c r="Z22" s="19"/>
      <c r="AA22" s="18"/>
      <c r="AB22" s="18"/>
      <c r="AC22" s="18"/>
      <c r="AD22" s="34"/>
      <c r="AE22" s="18"/>
      <c r="AF22" s="34"/>
      <c r="AG22" s="18"/>
      <c r="AH22" s="34"/>
      <c r="AI22" s="34"/>
      <c r="AJ22" s="18"/>
      <c r="AK22" s="34"/>
      <c r="AL22" s="34"/>
      <c r="AM22" s="18"/>
      <c r="AN22" s="18"/>
      <c r="AO22" s="18"/>
      <c r="AP22" s="18"/>
      <c r="AQ22" s="18"/>
      <c r="AR22" s="37"/>
      <c r="AS22" s="37"/>
      <c r="AT22" s="19"/>
      <c r="AU22" s="19"/>
      <c r="AV22" s="19"/>
    </row>
    <row r="23" spans="1:16376" customFormat="1" ht="1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9"/>
      <c r="Z23" s="19"/>
      <c r="AA23" s="18"/>
      <c r="AB23" s="18"/>
      <c r="AC23" s="18"/>
      <c r="AD23" s="18"/>
      <c r="AE23" s="18"/>
      <c r="AF23" s="34"/>
      <c r="AG23" s="18"/>
      <c r="AH23" s="18"/>
      <c r="AI23" s="18"/>
      <c r="AJ23" s="18"/>
      <c r="AK23" s="34"/>
      <c r="AL23" s="34"/>
      <c r="AM23" s="18"/>
      <c r="AN23" s="18"/>
      <c r="AO23" s="18"/>
      <c r="AP23" s="18"/>
      <c r="AQ23" s="18"/>
      <c r="AR23" s="38"/>
      <c r="AS23" s="38"/>
      <c r="AT23" s="19"/>
      <c r="AU23" s="19"/>
      <c r="AV23" s="19"/>
    </row>
    <row r="24" spans="1:16376">
      <c r="A24" s="6"/>
      <c r="B24" s="7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6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33"/>
      <c r="E27" s="33"/>
      <c r="F27" s="33"/>
      <c r="G27" s="33"/>
      <c r="H27" s="33"/>
      <c r="I27" s="33"/>
      <c r="J27" s="3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33"/>
      <c r="E28" s="33"/>
      <c r="F28" s="33"/>
      <c r="G28" s="33"/>
      <c r="H28" s="33"/>
      <c r="I28" s="33"/>
      <c r="J28" s="33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</sheetData>
  <mergeCells count="10">
    <mergeCell ref="F17:I17"/>
    <mergeCell ref="F11:I11"/>
    <mergeCell ref="D2:R2"/>
    <mergeCell ref="S2:AD2"/>
    <mergeCell ref="AE2:AQ2"/>
    <mergeCell ref="AR2:BD2"/>
    <mergeCell ref="BE2:BI2"/>
    <mergeCell ref="BJ2:BO2"/>
    <mergeCell ref="BP2:BU2"/>
    <mergeCell ref="BV2:CF2"/>
  </mergeCells>
  <conditionalFormatting sqref="AT6:AV9">
    <cfRule type="cellIs" dxfId="43" priority="22" operator="lessThan">
      <formula>0</formula>
    </cfRule>
  </conditionalFormatting>
  <conditionalFormatting sqref="AP6:AQ9">
    <cfRule type="cellIs" dxfId="42" priority="21" operator="greaterThan">
      <formula>0</formula>
    </cfRule>
  </conditionalFormatting>
  <conditionalFormatting sqref="AV11">
    <cfRule type="cellIs" dxfId="41" priority="20" operator="lessThan">
      <formula>0</formula>
    </cfRule>
  </conditionalFormatting>
  <conditionalFormatting sqref="AQ11">
    <cfRule type="cellIs" dxfId="40" priority="19" operator="lessThan">
      <formula>0</formula>
    </cfRule>
  </conditionalFormatting>
  <conditionalFormatting sqref="AR6:AR9">
    <cfRule type="cellIs" dxfId="39" priority="18" operator="greaterThan">
      <formula>0</formula>
    </cfRule>
  </conditionalFormatting>
  <conditionalFormatting sqref="AD6:AD9">
    <cfRule type="cellIs" dxfId="38" priority="17" operator="lessThan">
      <formula>3.25</formula>
    </cfRule>
  </conditionalFormatting>
  <conditionalFormatting sqref="AV17">
    <cfRule type="cellIs" dxfId="37" priority="16" operator="lessThan">
      <formula>0</formula>
    </cfRule>
  </conditionalFormatting>
  <conditionalFormatting sqref="AQ17">
    <cfRule type="cellIs" dxfId="36" priority="15" operator="lessThan">
      <formula>0</formula>
    </cfRule>
  </conditionalFormatting>
  <conditionalFormatting sqref="AT12:AV15">
    <cfRule type="cellIs" dxfId="35" priority="14" operator="lessThan">
      <formula>0</formula>
    </cfRule>
  </conditionalFormatting>
  <conditionalFormatting sqref="AP12:AQ15">
    <cfRule type="cellIs" dxfId="34" priority="13" operator="greaterThan">
      <formula>0</formula>
    </cfRule>
  </conditionalFormatting>
  <conditionalFormatting sqref="AR12:AR15">
    <cfRule type="cellIs" dxfId="33" priority="12" operator="greaterThan">
      <formula>0</formula>
    </cfRule>
  </conditionalFormatting>
  <conditionalFormatting sqref="AD12:AD15">
    <cfRule type="cellIs" dxfId="32" priority="11" operator="lessThan">
      <formula>3.25</formula>
    </cfRule>
  </conditionalFormatting>
  <conditionalFormatting sqref="D18:BU21">
    <cfRule type="cellIs" dxfId="31" priority="9" operator="equal">
      <formula>TRUE</formula>
    </cfRule>
    <cfRule type="cellIs" dxfId="30" priority="10" operator="equal">
      <formula>FALSE</formula>
    </cfRule>
  </conditionalFormatting>
  <conditionalFormatting sqref="CG18:CQ21">
    <cfRule type="cellIs" dxfId="29" priority="7" operator="equal">
      <formula>TRUE</formula>
    </cfRule>
    <cfRule type="cellIs" dxfId="28" priority="8" operator="equal">
      <formula>FALSE</formula>
    </cfRule>
  </conditionalFormatting>
  <conditionalFormatting sqref="CR18:DB21">
    <cfRule type="cellIs" dxfId="27" priority="5" operator="equal">
      <formula>TRUE</formula>
    </cfRule>
    <cfRule type="cellIs" dxfId="26" priority="6" operator="equal">
      <formula>FALSE</formula>
    </cfRule>
  </conditionalFormatting>
  <conditionalFormatting sqref="DC18:DM21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BV18:CF21">
    <cfRule type="cellIs" dxfId="23" priority="1" operator="equal">
      <formula>TRUE</formula>
    </cfRule>
    <cfRule type="cellIs" dxfId="2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XEV100"/>
  <sheetViews>
    <sheetView showGridLines="0" topLeftCell="BO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6" bestFit="1" customWidth="1"/>
    <col min="46" max="84" width="16.28515625" style="3" bestFit="1" customWidth="1"/>
    <col min="85" max="88" width="5.42578125" style="3" bestFit="1" customWidth="1"/>
    <col min="89" max="89" width="8.5703125" style="3" bestFit="1" customWidth="1"/>
    <col min="90" max="90" width="5.42578125" style="3" bestFit="1" customWidth="1"/>
    <col min="91" max="91" width="8.42578125" style="3" bestFit="1" customWidth="1"/>
    <col min="92" max="93" width="5.42578125" style="3" bestFit="1" customWidth="1"/>
    <col min="94" max="94" width="6.28515625" style="3" bestFit="1" customWidth="1"/>
    <col min="95" max="95" width="5.42578125" style="3" bestFit="1" customWidth="1"/>
    <col min="96" max="96" width="7.140625" style="3" bestFit="1" customWidth="1"/>
    <col min="97" max="97" width="5.42578125" style="3" bestFit="1" customWidth="1"/>
    <col min="98" max="98" width="5.7109375" style="3" bestFit="1" customWidth="1"/>
    <col min="99" max="99" width="5.42578125" style="3" bestFit="1" customWidth="1"/>
    <col min="100" max="100" width="8.5703125" style="3" bestFit="1" customWidth="1"/>
    <col min="101" max="101" width="5.42578125" style="3" bestFit="1" customWidth="1"/>
    <col min="102" max="102" width="8.42578125" style="3" bestFit="1" customWidth="1"/>
    <col min="103" max="104" width="5.42578125" style="3" bestFit="1" customWidth="1"/>
    <col min="105" max="105" width="8.42578125" style="3" bestFit="1" customWidth="1"/>
    <col min="106" max="106" width="5.42578125" style="3" bestFit="1" customWidth="1"/>
    <col min="107" max="107" width="7.140625" style="3" bestFit="1" customWidth="1"/>
    <col min="108" max="110" width="5.42578125" style="3" bestFit="1" customWidth="1"/>
    <col min="111" max="111" width="8.42578125" style="3" bestFit="1" customWidth="1"/>
    <col min="112" max="112" width="5.42578125" style="3" bestFit="1" customWidth="1"/>
    <col min="113" max="113" width="8.42578125" style="3" bestFit="1" customWidth="1"/>
    <col min="114" max="115" width="5.42578125" style="3" bestFit="1" customWidth="1"/>
    <col min="116" max="116" width="8.42578125" style="3" bestFit="1" customWidth="1"/>
    <col min="117" max="117" width="5.425781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8" t="s">
        <v>106</v>
      </c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8" t="s">
        <v>106</v>
      </c>
      <c r="CS2" s="119"/>
      <c r="CT2" s="119"/>
      <c r="CU2" s="119"/>
      <c r="CV2" s="119"/>
      <c r="CW2" s="119"/>
      <c r="CX2" s="119"/>
      <c r="CY2" s="119"/>
      <c r="CZ2" s="119"/>
      <c r="DA2" s="119"/>
      <c r="DB2" s="119"/>
      <c r="DC2" s="118" t="s">
        <v>106</v>
      </c>
      <c r="DD2" s="119"/>
      <c r="DE2" s="119"/>
      <c r="DF2" s="119"/>
      <c r="DG2" s="119"/>
      <c r="DH2" s="119"/>
      <c r="DI2" s="119"/>
      <c r="DJ2" s="119"/>
      <c r="DK2" s="119"/>
      <c r="DL2" s="119"/>
      <c r="DM2" s="119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>
        <v>3</v>
      </c>
      <c r="E6" s="65">
        <v>0</v>
      </c>
      <c r="F6" s="65">
        <v>0</v>
      </c>
      <c r="G6" s="94">
        <v>6392.7398798710137</v>
      </c>
      <c r="H6" s="94">
        <v>4130.6779104645766</v>
      </c>
      <c r="I6" s="95">
        <v>0.66666666666600005</v>
      </c>
      <c r="J6" s="54">
        <v>2</v>
      </c>
      <c r="K6" s="54">
        <v>3</v>
      </c>
      <c r="L6" s="54">
        <v>9198.4279152072795</v>
      </c>
      <c r="M6" s="54">
        <v>1725</v>
      </c>
      <c r="N6" s="54"/>
      <c r="O6" s="54"/>
      <c r="P6" s="54">
        <v>9525</v>
      </c>
      <c r="Q6" s="54"/>
      <c r="R6" s="54"/>
      <c r="S6" s="55">
        <v>4</v>
      </c>
      <c r="T6" s="55">
        <v>0</v>
      </c>
      <c r="U6" s="55">
        <v>1</v>
      </c>
      <c r="V6" s="96">
        <v>2483.0924017757766</v>
      </c>
      <c r="W6" s="97">
        <v>1587.7132402714708</v>
      </c>
      <c r="X6" s="55">
        <v>3417.0568763810879</v>
      </c>
      <c r="Y6" s="55">
        <v>575</v>
      </c>
      <c r="Z6" s="55"/>
      <c r="AA6" s="55"/>
      <c r="AB6" s="55">
        <v>3462.5</v>
      </c>
      <c r="AC6" s="55"/>
      <c r="AD6" s="55"/>
      <c r="AE6" s="54">
        <v>5</v>
      </c>
      <c r="AF6" s="54">
        <v>0</v>
      </c>
      <c r="AG6" s="54">
        <v>0</v>
      </c>
      <c r="AH6" s="54">
        <v>5</v>
      </c>
      <c r="AI6" s="98">
        <v>3525.5463900565251</v>
      </c>
      <c r="AJ6" s="98">
        <v>1341.6407864998739</v>
      </c>
      <c r="AK6" s="54">
        <v>5695.8092037788801</v>
      </c>
      <c r="AL6" s="54">
        <v>1875</v>
      </c>
      <c r="AM6" s="54"/>
      <c r="AN6" s="54"/>
      <c r="AO6" s="54">
        <v>5625</v>
      </c>
      <c r="AP6" s="54"/>
      <c r="AQ6" s="54"/>
      <c r="AR6" s="55">
        <v>8</v>
      </c>
      <c r="AS6" s="55">
        <v>1</v>
      </c>
      <c r="AT6" s="55">
        <v>0</v>
      </c>
      <c r="AU6" s="55">
        <v>5</v>
      </c>
      <c r="AV6" s="97">
        <v>2022.22789289872</v>
      </c>
      <c r="AW6" s="97">
        <v>1320.6239506565141</v>
      </c>
      <c r="AX6" s="55">
        <v>3270.6267809907922</v>
      </c>
      <c r="AY6" s="55">
        <v>175</v>
      </c>
      <c r="AZ6" s="55"/>
      <c r="BA6" s="55"/>
      <c r="BB6" s="55">
        <v>3325</v>
      </c>
      <c r="BC6" s="55"/>
      <c r="BD6" s="55"/>
      <c r="BE6" s="74">
        <v>3</v>
      </c>
      <c r="BF6" s="99">
        <v>43</v>
      </c>
      <c r="BG6" s="99">
        <v>70</v>
      </c>
      <c r="BH6" s="57" t="s">
        <v>107</v>
      </c>
      <c r="BI6" s="57" t="s">
        <v>107</v>
      </c>
      <c r="BJ6" s="70">
        <v>7</v>
      </c>
      <c r="BK6" s="70">
        <v>0</v>
      </c>
      <c r="BL6" s="58">
        <v>0</v>
      </c>
      <c r="BM6" s="100">
        <v>3.2645714285714287</v>
      </c>
      <c r="BN6" s="100">
        <v>0.48042857142857148</v>
      </c>
      <c r="BO6" s="100">
        <v>2.7841428571428573</v>
      </c>
      <c r="BP6" s="62">
        <v>5</v>
      </c>
      <c r="BQ6" s="62">
        <v>0</v>
      </c>
      <c r="BR6" s="62">
        <v>0</v>
      </c>
      <c r="BS6" s="101">
        <v>4.3768000000000002</v>
      </c>
      <c r="BT6" s="101">
        <v>0.45219999999999994</v>
      </c>
      <c r="BU6" s="101">
        <v>3.9246000000000003</v>
      </c>
      <c r="BV6" s="93"/>
      <c r="BW6" s="91"/>
      <c r="BX6" s="102"/>
      <c r="BY6" s="91">
        <v>0</v>
      </c>
      <c r="BZ6" s="103"/>
      <c r="CA6" s="92">
        <v>0</v>
      </c>
      <c r="CB6" s="104"/>
      <c r="CC6" s="91">
        <v>0</v>
      </c>
      <c r="CD6" s="92">
        <v>0</v>
      </c>
      <c r="CE6" s="104"/>
      <c r="CF6" s="91">
        <v>0</v>
      </c>
      <c r="CG6" s="93" t="s">
        <v>172</v>
      </c>
      <c r="CH6" s="91">
        <v>1</v>
      </c>
      <c r="CI6" s="102">
        <v>3.9000000953674316</v>
      </c>
      <c r="CJ6" s="91">
        <v>1</v>
      </c>
      <c r="CK6" s="103">
        <v>3.7530000000000001</v>
      </c>
      <c r="CL6" s="92">
        <v>0</v>
      </c>
      <c r="CM6" s="104">
        <v>1</v>
      </c>
      <c r="CN6" s="91">
        <v>0</v>
      </c>
      <c r="CO6" s="92">
        <v>1</v>
      </c>
      <c r="CP6" s="104">
        <v>0</v>
      </c>
      <c r="CQ6" s="91">
        <v>1</v>
      </c>
      <c r="CR6" s="93"/>
      <c r="CS6" s="91">
        <v>0</v>
      </c>
      <c r="CT6" s="102"/>
      <c r="CU6" s="91">
        <v>0</v>
      </c>
      <c r="CV6" s="103"/>
      <c r="CW6" s="92">
        <v>0</v>
      </c>
      <c r="CX6" s="104"/>
      <c r="CY6" s="91">
        <v>0</v>
      </c>
      <c r="CZ6" s="92">
        <v>0</v>
      </c>
      <c r="DA6" s="104"/>
      <c r="DB6" s="91">
        <v>0</v>
      </c>
      <c r="DC6" s="93" t="s">
        <v>171</v>
      </c>
      <c r="DD6" s="91">
        <v>1</v>
      </c>
      <c r="DE6" s="102">
        <v>3.5499999523162842</v>
      </c>
      <c r="DF6" s="91">
        <v>2</v>
      </c>
      <c r="DG6" s="103">
        <v>6.2629999999999999</v>
      </c>
      <c r="DH6" s="92">
        <v>0</v>
      </c>
      <c r="DI6" s="104">
        <v>1</v>
      </c>
      <c r="DJ6" s="91">
        <v>0</v>
      </c>
      <c r="DK6" s="92">
        <v>1</v>
      </c>
      <c r="DL6" s="104">
        <v>0</v>
      </c>
      <c r="DM6" s="91">
        <v>2</v>
      </c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>
        <v>6</v>
      </c>
      <c r="E7" s="65">
        <v>0</v>
      </c>
      <c r="F7" s="54">
        <v>0</v>
      </c>
      <c r="G7" s="94">
        <v>5138.9373836835512</v>
      </c>
      <c r="H7" s="94">
        <v>4543.5393692582875</v>
      </c>
      <c r="I7" s="95">
        <v>0.5</v>
      </c>
      <c r="J7" s="54">
        <v>3</v>
      </c>
      <c r="K7" s="54">
        <v>5</v>
      </c>
      <c r="L7" s="54">
        <v>11504.67036344016</v>
      </c>
      <c r="M7" s="54">
        <v>450</v>
      </c>
      <c r="N7" s="54"/>
      <c r="O7" s="54"/>
      <c r="P7" s="54">
        <v>11550</v>
      </c>
      <c r="Q7" s="54"/>
      <c r="R7" s="54"/>
      <c r="S7" s="55">
        <v>7</v>
      </c>
      <c r="T7" s="55">
        <v>0</v>
      </c>
      <c r="U7" s="55">
        <v>0</v>
      </c>
      <c r="V7" s="96">
        <v>1423.1888739848905</v>
      </c>
      <c r="W7" s="97">
        <v>929.02919119650812</v>
      </c>
      <c r="X7" s="55">
        <v>2973.1872951261603</v>
      </c>
      <c r="Y7" s="55">
        <v>425</v>
      </c>
      <c r="Z7" s="55"/>
      <c r="AA7" s="55"/>
      <c r="AB7" s="55">
        <v>2825</v>
      </c>
      <c r="AC7" s="55"/>
      <c r="AD7" s="55"/>
      <c r="AE7" s="54">
        <v>3</v>
      </c>
      <c r="AF7" s="54">
        <v>0</v>
      </c>
      <c r="AG7" s="54">
        <v>0</v>
      </c>
      <c r="AH7" s="54">
        <v>3</v>
      </c>
      <c r="AI7" s="98">
        <v>4303.4335953051468</v>
      </c>
      <c r="AJ7" s="98">
        <v>2410.912690248239</v>
      </c>
      <c r="AK7" s="54">
        <v>7098.7516585099365</v>
      </c>
      <c r="AL7" s="54">
        <v>2475</v>
      </c>
      <c r="AM7" s="54"/>
      <c r="AN7" s="54"/>
      <c r="AO7" s="54">
        <v>7275</v>
      </c>
      <c r="AP7" s="54"/>
      <c r="AQ7" s="54"/>
      <c r="AR7" s="55">
        <v>5</v>
      </c>
      <c r="AS7" s="55">
        <v>0</v>
      </c>
      <c r="AT7" s="55">
        <v>1</v>
      </c>
      <c r="AU7" s="55">
        <v>3</v>
      </c>
      <c r="AV7" s="97">
        <v>1654.7729381786946</v>
      </c>
      <c r="AW7" s="97">
        <v>1375</v>
      </c>
      <c r="AX7" s="55">
        <v>3673.2728990479122</v>
      </c>
      <c r="AY7" s="55">
        <v>350</v>
      </c>
      <c r="AZ7" s="55"/>
      <c r="BA7" s="55"/>
      <c r="BB7" s="55">
        <v>3650</v>
      </c>
      <c r="BC7" s="55"/>
      <c r="BD7" s="55"/>
      <c r="BE7" s="74">
        <v>8</v>
      </c>
      <c r="BF7" s="99">
        <v>45</v>
      </c>
      <c r="BG7" s="99">
        <v>251</v>
      </c>
      <c r="BH7" s="57" t="s">
        <v>107</v>
      </c>
      <c r="BI7" s="57" t="s">
        <v>107</v>
      </c>
      <c r="BJ7" s="70">
        <v>7</v>
      </c>
      <c r="BK7" s="70">
        <v>0</v>
      </c>
      <c r="BL7" s="58">
        <v>0</v>
      </c>
      <c r="BM7" s="100">
        <v>3.5984285714285713</v>
      </c>
      <c r="BN7" s="100">
        <v>1.1767142857142858</v>
      </c>
      <c r="BO7" s="100">
        <v>2.4217142857142853</v>
      </c>
      <c r="BP7" s="62">
        <v>9</v>
      </c>
      <c r="BQ7" s="62">
        <v>0</v>
      </c>
      <c r="BR7" s="62">
        <v>1</v>
      </c>
      <c r="BS7" s="101">
        <v>5.0376250000000002</v>
      </c>
      <c r="BT7" s="101">
        <v>1.464375</v>
      </c>
      <c r="BU7" s="101">
        <v>3.5732500000000007</v>
      </c>
      <c r="BV7" s="93"/>
      <c r="BW7" s="91"/>
      <c r="BX7" s="102"/>
      <c r="BY7" s="91">
        <v>0</v>
      </c>
      <c r="BZ7" s="103"/>
      <c r="CA7" s="92">
        <v>0</v>
      </c>
      <c r="CB7" s="104"/>
      <c r="CC7" s="91">
        <v>0</v>
      </c>
      <c r="CD7" s="92">
        <v>0</v>
      </c>
      <c r="CE7" s="104"/>
      <c r="CF7" s="91">
        <v>0</v>
      </c>
      <c r="CG7" s="93"/>
      <c r="CH7" s="91">
        <v>0</v>
      </c>
      <c r="CI7" s="102"/>
      <c r="CJ7" s="91">
        <v>0</v>
      </c>
      <c r="CK7" s="103"/>
      <c r="CL7" s="92">
        <v>0</v>
      </c>
      <c r="CM7" s="104"/>
      <c r="CN7" s="91">
        <v>0</v>
      </c>
      <c r="CO7" s="92">
        <v>0</v>
      </c>
      <c r="CP7" s="104"/>
      <c r="CQ7" s="91">
        <v>0</v>
      </c>
      <c r="CR7" s="93"/>
      <c r="CS7" s="91">
        <v>0</v>
      </c>
      <c r="CT7" s="102"/>
      <c r="CU7" s="91">
        <v>0</v>
      </c>
      <c r="CV7" s="103"/>
      <c r="CW7" s="92">
        <v>0</v>
      </c>
      <c r="CX7" s="104"/>
      <c r="CY7" s="91">
        <v>0</v>
      </c>
      <c r="CZ7" s="92">
        <v>0</v>
      </c>
      <c r="DA7" s="104"/>
      <c r="DB7" s="91">
        <v>0</v>
      </c>
      <c r="DC7" s="93"/>
      <c r="DD7" s="91">
        <v>0</v>
      </c>
      <c r="DE7" s="102"/>
      <c r="DF7" s="91">
        <v>0</v>
      </c>
      <c r="DG7" s="103"/>
      <c r="DH7" s="92">
        <v>0</v>
      </c>
      <c r="DI7" s="104"/>
      <c r="DJ7" s="91">
        <v>0</v>
      </c>
      <c r="DK7" s="92">
        <v>0</v>
      </c>
      <c r="DL7" s="104"/>
      <c r="DM7" s="91">
        <v>0</v>
      </c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>
        <v>7</v>
      </c>
      <c r="E8" s="65">
        <v>0</v>
      </c>
      <c r="F8" s="54">
        <v>0</v>
      </c>
      <c r="G8" s="94">
        <v>5209.7673198846314</v>
      </c>
      <c r="H8" s="94">
        <v>3087.9951887453267</v>
      </c>
      <c r="I8" s="95">
        <v>0.857142857142</v>
      </c>
      <c r="J8" s="54">
        <v>6</v>
      </c>
      <c r="K8" s="54">
        <v>6</v>
      </c>
      <c r="L8" s="54">
        <v>11081.244669673679</v>
      </c>
      <c r="M8" s="54">
        <v>1275</v>
      </c>
      <c r="N8" s="54"/>
      <c r="O8" s="54"/>
      <c r="P8" s="54">
        <v>10725</v>
      </c>
      <c r="Q8" s="54"/>
      <c r="R8" s="54"/>
      <c r="S8" s="55">
        <v>8</v>
      </c>
      <c r="T8" s="55">
        <v>0</v>
      </c>
      <c r="U8" s="55">
        <v>0</v>
      </c>
      <c r="V8" s="96">
        <v>2204.085360146456</v>
      </c>
      <c r="W8" s="97">
        <v>1251.7844405944202</v>
      </c>
      <c r="X8" s="55">
        <v>3795.33018628124</v>
      </c>
      <c r="Y8" s="55">
        <v>950</v>
      </c>
      <c r="Z8" s="55"/>
      <c r="AA8" s="55"/>
      <c r="AB8" s="55">
        <v>3800</v>
      </c>
      <c r="AC8" s="55"/>
      <c r="AD8" s="55"/>
      <c r="AE8" s="54">
        <v>4</v>
      </c>
      <c r="AF8" s="54">
        <v>0</v>
      </c>
      <c r="AG8" s="54">
        <v>0</v>
      </c>
      <c r="AH8" s="54">
        <v>4</v>
      </c>
      <c r="AI8" s="98">
        <v>4577.4013689991498</v>
      </c>
      <c r="AJ8" s="98">
        <v>3992.1798556678282</v>
      </c>
      <c r="AK8" s="54">
        <v>8624.1962264716803</v>
      </c>
      <c r="AL8" s="54">
        <v>300</v>
      </c>
      <c r="AM8" s="54"/>
      <c r="AN8" s="54"/>
      <c r="AO8" s="54">
        <v>8700</v>
      </c>
      <c r="AP8" s="54"/>
      <c r="AQ8" s="54"/>
      <c r="AR8" s="55">
        <v>8</v>
      </c>
      <c r="AS8" s="55">
        <v>0</v>
      </c>
      <c r="AT8" s="55">
        <v>0</v>
      </c>
      <c r="AU8" s="55">
        <v>6</v>
      </c>
      <c r="AV8" s="97">
        <v>2140.2768723000586</v>
      </c>
      <c r="AW8" s="97">
        <v>1529.4723646688469</v>
      </c>
      <c r="AX8" s="55">
        <v>4088.1505467050802</v>
      </c>
      <c r="AY8" s="55">
        <v>100</v>
      </c>
      <c r="AZ8" s="55"/>
      <c r="BA8" s="55"/>
      <c r="BB8" s="55">
        <v>4050</v>
      </c>
      <c r="BC8" s="55"/>
      <c r="BD8" s="55"/>
      <c r="BE8" s="74">
        <v>8</v>
      </c>
      <c r="BF8" s="99">
        <v>65</v>
      </c>
      <c r="BG8" s="99">
        <v>80</v>
      </c>
      <c r="BH8" s="57" t="s">
        <v>107</v>
      </c>
      <c r="BI8" s="57" t="s">
        <v>107</v>
      </c>
      <c r="BJ8" s="70">
        <v>8</v>
      </c>
      <c r="BK8" s="70">
        <v>0</v>
      </c>
      <c r="BL8" s="58">
        <v>1</v>
      </c>
      <c r="BM8" s="100">
        <v>3.3577142857142861</v>
      </c>
      <c r="BN8" s="100">
        <v>0.13614285714285715</v>
      </c>
      <c r="BO8" s="100">
        <v>3.221571428571429</v>
      </c>
      <c r="BP8" s="62">
        <v>14</v>
      </c>
      <c r="BQ8" s="62">
        <v>1</v>
      </c>
      <c r="BR8" s="62">
        <v>0</v>
      </c>
      <c r="BS8" s="101">
        <v>4.1286923076923081</v>
      </c>
      <c r="BT8" s="101">
        <v>1.1285384615384615</v>
      </c>
      <c r="BU8" s="101">
        <v>3.0001538461538471</v>
      </c>
      <c r="BV8" s="93"/>
      <c r="BW8" s="91"/>
      <c r="BX8" s="102"/>
      <c r="BY8" s="91">
        <v>0</v>
      </c>
      <c r="BZ8" s="103"/>
      <c r="CA8" s="92">
        <v>0</v>
      </c>
      <c r="CB8" s="104"/>
      <c r="CC8" s="91">
        <v>0</v>
      </c>
      <c r="CD8" s="92">
        <v>0</v>
      </c>
      <c r="CE8" s="104"/>
      <c r="CF8" s="91">
        <v>0</v>
      </c>
      <c r="CG8" s="93"/>
      <c r="CH8" s="91">
        <v>0</v>
      </c>
      <c r="CI8" s="102"/>
      <c r="CJ8" s="91">
        <v>1</v>
      </c>
      <c r="CK8" s="103">
        <v>11.291</v>
      </c>
      <c r="CL8" s="92">
        <v>0</v>
      </c>
      <c r="CM8" s="104">
        <v>1</v>
      </c>
      <c r="CN8" s="91">
        <v>0</v>
      </c>
      <c r="CO8" s="92">
        <v>0</v>
      </c>
      <c r="CP8" s="104">
        <v>0</v>
      </c>
      <c r="CQ8" s="91">
        <v>0</v>
      </c>
      <c r="CR8" s="93" t="s">
        <v>172</v>
      </c>
      <c r="CS8" s="91">
        <v>1</v>
      </c>
      <c r="CT8" s="102">
        <v>3.9000000953674316</v>
      </c>
      <c r="CU8" s="91">
        <v>1</v>
      </c>
      <c r="CV8" s="103">
        <v>2.7909999999999999</v>
      </c>
      <c r="CW8" s="92">
        <v>0</v>
      </c>
      <c r="CX8" s="104">
        <v>1</v>
      </c>
      <c r="CY8" s="91">
        <v>1</v>
      </c>
      <c r="CZ8" s="92">
        <v>1</v>
      </c>
      <c r="DA8" s="104">
        <v>1</v>
      </c>
      <c r="DB8" s="91">
        <v>1</v>
      </c>
      <c r="DC8" s="93"/>
      <c r="DD8" s="91">
        <v>0</v>
      </c>
      <c r="DE8" s="102"/>
      <c r="DF8" s="91">
        <v>0</v>
      </c>
      <c r="DG8" s="103"/>
      <c r="DH8" s="92">
        <v>0</v>
      </c>
      <c r="DI8" s="104"/>
      <c r="DJ8" s="91">
        <v>0</v>
      </c>
      <c r="DK8" s="92">
        <v>0</v>
      </c>
      <c r="DL8" s="104"/>
      <c r="DM8" s="91">
        <v>0</v>
      </c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>
        <v>2</v>
      </c>
      <c r="E9" s="65">
        <v>0</v>
      </c>
      <c r="F9" s="54">
        <v>0</v>
      </c>
      <c r="G9" s="94">
        <v>3994.5513823793804</v>
      </c>
      <c r="H9" s="94">
        <v>2121.3203435596424</v>
      </c>
      <c r="I9" s="95">
        <v>0.5</v>
      </c>
      <c r="J9" s="54">
        <v>1</v>
      </c>
      <c r="K9" s="54">
        <v>2</v>
      </c>
      <c r="L9" s="54">
        <v>5515.7213586275284</v>
      </c>
      <c r="M9" s="54">
        <v>2400</v>
      </c>
      <c r="N9" s="54"/>
      <c r="O9" s="54"/>
      <c r="P9" s="54">
        <v>5850</v>
      </c>
      <c r="Q9" s="54"/>
      <c r="R9" s="54"/>
      <c r="S9" s="55">
        <v>2</v>
      </c>
      <c r="T9" s="55">
        <v>0</v>
      </c>
      <c r="U9" s="55">
        <v>1</v>
      </c>
      <c r="V9" s="96">
        <v>1835.185750185288</v>
      </c>
      <c r="W9" s="97">
        <v>0</v>
      </c>
      <c r="X9" s="55">
        <v>1835.185750185288</v>
      </c>
      <c r="Y9" s="55">
        <v>1775</v>
      </c>
      <c r="Z9" s="55"/>
      <c r="AA9" s="55"/>
      <c r="AB9" s="55">
        <v>1975</v>
      </c>
      <c r="AC9" s="55"/>
      <c r="AD9" s="55"/>
      <c r="AE9" s="54">
        <v>3</v>
      </c>
      <c r="AF9" s="54">
        <v>0</v>
      </c>
      <c r="AG9" s="54">
        <v>0</v>
      </c>
      <c r="AH9" s="54">
        <v>2</v>
      </c>
      <c r="AI9" s="98">
        <v>5524.0851049841194</v>
      </c>
      <c r="AJ9" s="98">
        <v>7232.7380707447164</v>
      </c>
      <c r="AK9" s="54">
        <v>13993.25125853968</v>
      </c>
      <c r="AL9" s="54">
        <v>225</v>
      </c>
      <c r="AM9" s="54"/>
      <c r="AN9" s="54"/>
      <c r="AO9" s="54">
        <v>14025</v>
      </c>
      <c r="AP9" s="54"/>
      <c r="AQ9" s="54"/>
      <c r="AR9" s="55">
        <v>3</v>
      </c>
      <c r="AS9" s="55">
        <v>1</v>
      </c>
      <c r="AT9" s="55">
        <v>0</v>
      </c>
      <c r="AU9" s="55">
        <v>2</v>
      </c>
      <c r="AV9" s="97">
        <v>1723.1390105595183</v>
      </c>
      <c r="AW9" s="97">
        <v>1767.7669529663688</v>
      </c>
      <c r="AX9" s="55">
        <v>2982.3856622203439</v>
      </c>
      <c r="AY9" s="55">
        <v>300</v>
      </c>
      <c r="AZ9" s="55"/>
      <c r="BA9" s="55"/>
      <c r="BB9" s="55">
        <v>2950</v>
      </c>
      <c r="BC9" s="55"/>
      <c r="BD9" s="55"/>
      <c r="BE9" s="74">
        <v>2</v>
      </c>
      <c r="BF9" s="99">
        <v>75</v>
      </c>
      <c r="BG9" s="99">
        <v>92</v>
      </c>
      <c r="BH9" s="57" t="s">
        <v>107</v>
      </c>
      <c r="BI9" s="57" t="s">
        <v>107</v>
      </c>
      <c r="BJ9" s="70">
        <v>3</v>
      </c>
      <c r="BK9" s="70">
        <v>0</v>
      </c>
      <c r="BL9" s="58">
        <v>1</v>
      </c>
      <c r="BM9" s="100">
        <v>1.3875</v>
      </c>
      <c r="BN9" s="100">
        <v>0.22949999999999998</v>
      </c>
      <c r="BO9" s="100">
        <v>1.1579999999999999</v>
      </c>
      <c r="BP9" s="62">
        <v>3</v>
      </c>
      <c r="BQ9" s="62">
        <v>0</v>
      </c>
      <c r="BR9" s="62">
        <v>0</v>
      </c>
      <c r="BS9" s="101">
        <v>5.1126666666666667</v>
      </c>
      <c r="BT9" s="101">
        <v>0.17300000000000001</v>
      </c>
      <c r="BU9" s="101">
        <v>4.9396666666666667</v>
      </c>
      <c r="BV9" s="93"/>
      <c r="BW9" s="91"/>
      <c r="BX9" s="102"/>
      <c r="BY9" s="91">
        <v>0</v>
      </c>
      <c r="BZ9" s="103"/>
      <c r="CA9" s="92">
        <v>0</v>
      </c>
      <c r="CB9" s="104"/>
      <c r="CC9" s="91">
        <v>0</v>
      </c>
      <c r="CD9" s="92">
        <v>0</v>
      </c>
      <c r="CE9" s="104"/>
      <c r="CF9" s="91">
        <v>0</v>
      </c>
      <c r="CG9" s="93" t="s">
        <v>172</v>
      </c>
      <c r="CH9" s="91">
        <v>1</v>
      </c>
      <c r="CI9" s="102">
        <v>3.9000000953674316</v>
      </c>
      <c r="CJ9" s="91">
        <v>1</v>
      </c>
      <c r="CK9" s="103">
        <v>3.7749999999999999</v>
      </c>
      <c r="CL9" s="92">
        <v>0</v>
      </c>
      <c r="CM9" s="104">
        <v>1</v>
      </c>
      <c r="CN9" s="91">
        <v>0</v>
      </c>
      <c r="CO9" s="92">
        <v>1</v>
      </c>
      <c r="CP9" s="104">
        <v>0</v>
      </c>
      <c r="CQ9" s="91">
        <v>1</v>
      </c>
      <c r="CR9" s="93"/>
      <c r="CS9" s="91">
        <v>0</v>
      </c>
      <c r="CT9" s="102"/>
      <c r="CU9" s="91">
        <v>0</v>
      </c>
      <c r="CV9" s="103"/>
      <c r="CW9" s="92">
        <v>0</v>
      </c>
      <c r="CX9" s="104"/>
      <c r="CY9" s="91">
        <v>0</v>
      </c>
      <c r="CZ9" s="92">
        <v>0</v>
      </c>
      <c r="DA9" s="104"/>
      <c r="DB9" s="91">
        <v>0</v>
      </c>
      <c r="DC9" s="93"/>
      <c r="DD9" s="91">
        <v>0</v>
      </c>
      <c r="DE9" s="102"/>
      <c r="DF9" s="91">
        <v>0</v>
      </c>
      <c r="DG9" s="103"/>
      <c r="DH9" s="92">
        <v>0</v>
      </c>
      <c r="DI9" s="104"/>
      <c r="DJ9" s="91">
        <v>0</v>
      </c>
      <c r="DK9" s="92">
        <v>0</v>
      </c>
      <c r="DL9" s="104"/>
      <c r="DM9" s="91">
        <v>0</v>
      </c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0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0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1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V21" si="1">BQ6=BQ12</f>
        <v>1</v>
      </c>
      <c r="BR18" s="49" t="b">
        <f t="shared" si="1"/>
        <v>1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>BV6=BV12</f>
        <v>1</v>
      </c>
      <c r="BW18" s="49" t="b">
        <f>(BW6+CH6+CS6+DD6)=BW12</f>
        <v>0</v>
      </c>
      <c r="BX18" s="49" t="b">
        <f>(BX6+CI6+CT6+DE6)/4=BX12</f>
        <v>0</v>
      </c>
      <c r="BY18" s="49" t="b">
        <f t="shared" ref="BY18:CF21" si="2">(BY6+CJ6+CU6+DF6)=BY12</f>
        <v>0</v>
      </c>
      <c r="BZ18" s="49" t="b">
        <f>(BZ6+CK6+CV6+DG6)/4=BZ12</f>
        <v>0</v>
      </c>
      <c r="CA18" s="49" t="b">
        <f t="shared" si="2"/>
        <v>1</v>
      </c>
      <c r="CB18" s="49" t="b">
        <f>(CB6+CM6+CX6+DI6)/4=CB12</f>
        <v>0</v>
      </c>
      <c r="CC18" s="49" t="b">
        <f t="shared" si="2"/>
        <v>1</v>
      </c>
      <c r="CD18" s="49" t="b">
        <f t="shared" si="2"/>
        <v>0</v>
      </c>
      <c r="CE18" s="49" t="b">
        <f>(CE6+CP6+DA6+DL6)/4=CE12</f>
        <v>1</v>
      </c>
      <c r="CF18" s="49" t="b">
        <f t="shared" si="2"/>
        <v>0</v>
      </c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0</v>
      </c>
      <c r="E19" s="49" t="b">
        <f t="shared" si="3"/>
        <v>1</v>
      </c>
      <c r="F19" s="49" t="b">
        <f t="shared" si="3"/>
        <v>1</v>
      </c>
      <c r="G19" s="49" t="b">
        <f t="shared" si="3"/>
        <v>0</v>
      </c>
      <c r="H19" s="49" t="b">
        <f t="shared" si="3"/>
        <v>0</v>
      </c>
      <c r="I19" s="49" t="b">
        <f t="shared" si="3"/>
        <v>0</v>
      </c>
      <c r="J19" s="49" t="b">
        <f t="shared" si="3"/>
        <v>0</v>
      </c>
      <c r="K19" s="49" t="b">
        <f t="shared" si="3"/>
        <v>0</v>
      </c>
      <c r="L19" s="49" t="b">
        <f t="shared" si="3"/>
        <v>0</v>
      </c>
      <c r="M19" s="49" t="b">
        <f t="shared" si="3"/>
        <v>0</v>
      </c>
      <c r="N19" s="49" t="b">
        <f t="shared" si="3"/>
        <v>1</v>
      </c>
      <c r="O19" s="49" t="b">
        <f t="shared" si="3"/>
        <v>1</v>
      </c>
      <c r="P19" s="49" t="b">
        <f t="shared" si="3"/>
        <v>0</v>
      </c>
      <c r="Q19" s="49" t="b">
        <f t="shared" si="3"/>
        <v>1</v>
      </c>
      <c r="R19" s="49" t="b">
        <f t="shared" si="3"/>
        <v>1</v>
      </c>
      <c r="S19" s="49" t="b">
        <f t="shared" si="3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0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1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1</v>
      </c>
      <c r="BR19" s="49" t="b">
        <f t="shared" si="1"/>
        <v>0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si="1"/>
        <v>1</v>
      </c>
      <c r="BW19" s="49" t="b">
        <f>(BW7+CH7+CS7+DD7)=BW13</f>
        <v>1</v>
      </c>
      <c r="BX19" s="49" t="b">
        <f t="shared" ref="BX19:BX21" si="4">(BX7+CI7+CT7+DE7)/4=BX13</f>
        <v>1</v>
      </c>
      <c r="BY19" s="49" t="b">
        <f t="shared" si="2"/>
        <v>1</v>
      </c>
      <c r="BZ19" s="49" t="b">
        <f t="shared" ref="BZ19:BZ21" si="5">(BZ7+CK7+CV7+DG7)/4=BZ13</f>
        <v>1</v>
      </c>
      <c r="CA19" s="49" t="b">
        <f t="shared" si="2"/>
        <v>1</v>
      </c>
      <c r="CB19" s="49" t="b">
        <f t="shared" ref="CB19:CB21" si="6">(CB7+CM7+CX7+DI7)/4=CB13</f>
        <v>1</v>
      </c>
      <c r="CC19" s="49" t="b">
        <f t="shared" si="2"/>
        <v>1</v>
      </c>
      <c r="CD19" s="49" t="b">
        <f t="shared" si="2"/>
        <v>1</v>
      </c>
      <c r="CE19" s="49" t="b">
        <f>(CE7+CP7+DA7+DL7)/4=CE13</f>
        <v>1</v>
      </c>
      <c r="CF19" s="49" t="b">
        <f t="shared" si="2"/>
        <v>1</v>
      </c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  <c r="DE19" s="49"/>
      <c r="DF19" s="49"/>
      <c r="DG19" s="49"/>
      <c r="DH19" s="49"/>
      <c r="DI19" s="49"/>
      <c r="DJ19" s="49"/>
      <c r="DK19" s="49"/>
      <c r="DL19" s="49"/>
      <c r="DM19" s="49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3"/>
        <v>0</v>
      </c>
      <c r="E20" s="49" t="b">
        <f t="shared" si="3"/>
        <v>1</v>
      </c>
      <c r="F20" s="49" t="b">
        <f t="shared" si="3"/>
        <v>1</v>
      </c>
      <c r="G20" s="49" t="b">
        <f t="shared" si="3"/>
        <v>0</v>
      </c>
      <c r="H20" s="49" t="b">
        <f t="shared" si="3"/>
        <v>0</v>
      </c>
      <c r="I20" s="49" t="b">
        <f t="shared" si="3"/>
        <v>0</v>
      </c>
      <c r="J20" s="49" t="b">
        <f t="shared" si="3"/>
        <v>0</v>
      </c>
      <c r="K20" s="49" t="b">
        <f t="shared" si="3"/>
        <v>0</v>
      </c>
      <c r="L20" s="49" t="b">
        <f t="shared" si="3"/>
        <v>0</v>
      </c>
      <c r="M20" s="49" t="b">
        <f t="shared" si="3"/>
        <v>0</v>
      </c>
      <c r="N20" s="49" t="b">
        <f t="shared" si="3"/>
        <v>1</v>
      </c>
      <c r="O20" s="49" t="b">
        <f t="shared" si="3"/>
        <v>1</v>
      </c>
      <c r="P20" s="49" t="b">
        <f t="shared" si="3"/>
        <v>0</v>
      </c>
      <c r="Q20" s="49" t="b">
        <f t="shared" si="3"/>
        <v>1</v>
      </c>
      <c r="R20" s="49" t="b">
        <f t="shared" si="3"/>
        <v>1</v>
      </c>
      <c r="S20" s="49" t="b">
        <f t="shared" si="3"/>
        <v>0</v>
      </c>
      <c r="T20" s="49" t="b">
        <f t="shared" si="0"/>
        <v>1</v>
      </c>
      <c r="U20" s="49" t="b">
        <f t="shared" si="0"/>
        <v>1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1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0</v>
      </c>
      <c r="AS20" s="49" t="b">
        <f t="shared" si="0"/>
        <v>1</v>
      </c>
      <c r="AT20" s="49" t="b">
        <f t="shared" si="0"/>
        <v>1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1</v>
      </c>
      <c r="BA20" s="49" t="b">
        <f t="shared" si="0"/>
        <v>1</v>
      </c>
      <c r="BB20" s="49" t="b">
        <f t="shared" si="0"/>
        <v>0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0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0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si="1"/>
        <v>1</v>
      </c>
      <c r="BW20" s="49" t="b">
        <f>(BW8+CH8+CS8+DD8)=BW14</f>
        <v>0</v>
      </c>
      <c r="BX20" s="49" t="b">
        <f t="shared" si="4"/>
        <v>0</v>
      </c>
      <c r="BY20" s="49" t="b">
        <f t="shared" si="2"/>
        <v>0</v>
      </c>
      <c r="BZ20" s="49" t="b">
        <f t="shared" si="5"/>
        <v>0</v>
      </c>
      <c r="CA20" s="49" t="b">
        <f t="shared" si="2"/>
        <v>1</v>
      </c>
      <c r="CB20" s="49" t="b">
        <f t="shared" si="6"/>
        <v>0</v>
      </c>
      <c r="CC20" s="49" t="b">
        <f t="shared" si="2"/>
        <v>0</v>
      </c>
      <c r="CD20" s="49" t="b">
        <f t="shared" si="2"/>
        <v>0</v>
      </c>
      <c r="CE20" s="49" t="b">
        <f>(CE8+CP8+DA8+DL8)/4=CE14</f>
        <v>0</v>
      </c>
      <c r="CF20" s="49" t="b">
        <f t="shared" si="2"/>
        <v>0</v>
      </c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49"/>
      <c r="CV20" s="49"/>
      <c r="CW20" s="49"/>
      <c r="CX20" s="49"/>
      <c r="CY20" s="49"/>
      <c r="CZ20" s="49"/>
      <c r="DA20" s="49"/>
      <c r="DB20" s="49"/>
      <c r="DC20" s="49"/>
      <c r="DD20" s="49"/>
      <c r="DE20" s="49"/>
      <c r="DF20" s="49"/>
      <c r="DG20" s="49"/>
      <c r="DH20" s="49"/>
      <c r="DI20" s="49"/>
      <c r="DJ20" s="49"/>
      <c r="DK20" s="49"/>
      <c r="DL20" s="49"/>
      <c r="DM20" s="49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3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1</v>
      </c>
      <c r="O21" s="49" t="b">
        <f t="shared" si="0"/>
        <v>1</v>
      </c>
      <c r="P21" s="49" t="b">
        <f t="shared" si="0"/>
        <v>0</v>
      </c>
      <c r="Q21" s="49" t="b">
        <f t="shared" si="0"/>
        <v>1</v>
      </c>
      <c r="R21" s="49" t="b">
        <f t="shared" si="0"/>
        <v>1</v>
      </c>
      <c r="S21" s="49" t="b">
        <f t="shared" si="0"/>
        <v>0</v>
      </c>
      <c r="T21" s="49" t="b">
        <f t="shared" si="0"/>
        <v>1</v>
      </c>
      <c r="U21" s="49" t="b">
        <f t="shared" si="0"/>
        <v>0</v>
      </c>
      <c r="V21" s="49" t="b">
        <f t="shared" si="0"/>
        <v>0</v>
      </c>
      <c r="W21" s="49" t="b">
        <f t="shared" si="0"/>
        <v>1</v>
      </c>
      <c r="X21" s="49" t="b">
        <f t="shared" si="0"/>
        <v>0</v>
      </c>
      <c r="Y21" s="49" t="b">
        <f t="shared" si="0"/>
        <v>0</v>
      </c>
      <c r="Z21" s="49" t="b">
        <f t="shared" si="0"/>
        <v>1</v>
      </c>
      <c r="AA21" s="49" t="b">
        <f t="shared" si="0"/>
        <v>1</v>
      </c>
      <c r="AB21" s="49" t="b">
        <f t="shared" si="0"/>
        <v>0</v>
      </c>
      <c r="AC21" s="49" t="b">
        <f t="shared" si="0"/>
        <v>1</v>
      </c>
      <c r="AD21" s="49" t="b">
        <f t="shared" si="0"/>
        <v>1</v>
      </c>
      <c r="AE21" s="49" t="b">
        <f t="shared" si="0"/>
        <v>0</v>
      </c>
      <c r="AF21" s="49" t="b">
        <f t="shared" si="0"/>
        <v>1</v>
      </c>
      <c r="AG21" s="49" t="b">
        <f t="shared" si="0"/>
        <v>1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1</v>
      </c>
      <c r="AN21" s="49" t="b">
        <f t="shared" si="0"/>
        <v>1</v>
      </c>
      <c r="AO21" s="49" t="b">
        <f t="shared" si="0"/>
        <v>0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0</v>
      </c>
      <c r="AT21" s="49" t="b">
        <f t="shared" si="0"/>
        <v>1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1</v>
      </c>
      <c r="BI21" s="49" t="b">
        <f t="shared" si="0"/>
        <v>1</v>
      </c>
      <c r="BJ21" s="49" t="b">
        <f t="shared" si="0"/>
        <v>0</v>
      </c>
      <c r="BK21" s="49" t="b">
        <f t="shared" si="0"/>
        <v>1</v>
      </c>
      <c r="BL21" s="49" t="b">
        <f t="shared" si="0"/>
        <v>0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1</v>
      </c>
      <c r="BR21" s="49" t="b">
        <f t="shared" si="1"/>
        <v>1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 t="shared" si="1"/>
        <v>1</v>
      </c>
      <c r="BW21" s="49" t="b">
        <f>(BW9+CH9+CS9+DD9)=BW15</f>
        <v>0</v>
      </c>
      <c r="BX21" s="49" t="b">
        <f t="shared" si="4"/>
        <v>0</v>
      </c>
      <c r="BY21" s="49" t="b">
        <f t="shared" si="2"/>
        <v>0</v>
      </c>
      <c r="BZ21" s="49" t="b">
        <f t="shared" si="5"/>
        <v>0</v>
      </c>
      <c r="CA21" s="49" t="b">
        <f t="shared" si="2"/>
        <v>1</v>
      </c>
      <c r="CB21" s="49" t="b">
        <f t="shared" si="6"/>
        <v>0</v>
      </c>
      <c r="CC21" s="49" t="b">
        <f t="shared" si="2"/>
        <v>1</v>
      </c>
      <c r="CD21" s="49" t="b">
        <f t="shared" si="2"/>
        <v>0</v>
      </c>
      <c r="CE21" s="49" t="b">
        <f>(CE9+CP9+DA9+DL9)/4=CE15</f>
        <v>1</v>
      </c>
      <c r="CF21" s="49" t="b">
        <f t="shared" si="2"/>
        <v>0</v>
      </c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49"/>
      <c r="CV21" s="49"/>
      <c r="CW21" s="49"/>
      <c r="CX21" s="49"/>
      <c r="CY21" s="49"/>
      <c r="CZ21" s="49"/>
      <c r="DA21" s="49"/>
      <c r="DB21" s="49"/>
      <c r="DC21" s="49"/>
      <c r="DD21" s="49"/>
      <c r="DE21" s="49"/>
      <c r="DF21" s="49"/>
      <c r="DG21" s="49"/>
      <c r="DH21" s="49"/>
      <c r="DI21" s="49"/>
      <c r="DJ21" s="49"/>
      <c r="DK21" s="49"/>
      <c r="DL21" s="49"/>
      <c r="DM21" s="49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26"/>
      <c r="B22" s="27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1"/>
      <c r="AB22" s="21"/>
      <c r="AC22" s="21"/>
      <c r="AD22" s="34"/>
      <c r="AE22" s="21"/>
      <c r="AF22" s="21"/>
      <c r="AG22" s="21"/>
      <c r="AH22" s="34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6"/>
      <c r="AU22" s="26"/>
      <c r="AV22" s="26"/>
    </row>
    <row r="23" spans="1:16376" customFormat="1" ht="15">
      <c r="A23" s="26"/>
      <c r="B23" s="27"/>
      <c r="C23" s="26"/>
      <c r="D23" s="26"/>
      <c r="E23" s="33"/>
      <c r="F23" s="33"/>
      <c r="G23" s="33"/>
      <c r="H23" s="33"/>
      <c r="I23" s="33"/>
      <c r="J23" s="3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1"/>
      <c r="AB23" s="21"/>
      <c r="AC23" s="21"/>
      <c r="AD23" s="21"/>
      <c r="AE23" s="21"/>
      <c r="AF23" s="21"/>
      <c r="AG23" s="21"/>
      <c r="AH23" s="34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6"/>
      <c r="AU23" s="26"/>
      <c r="AV23" s="26"/>
    </row>
    <row r="24" spans="1:16376">
      <c r="A24" s="6"/>
      <c r="B24" s="7"/>
      <c r="C24" s="6"/>
      <c r="D24" s="33"/>
      <c r="E24" s="33"/>
      <c r="F24" s="33"/>
      <c r="G24" s="33"/>
      <c r="H24" s="33"/>
      <c r="I24" s="33"/>
      <c r="J24" s="33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33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7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7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7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7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7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7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7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7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7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7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7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7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</sheetData>
  <mergeCells count="13">
    <mergeCell ref="F17:I17"/>
    <mergeCell ref="F11:I11"/>
    <mergeCell ref="D2:R2"/>
    <mergeCell ref="S2:AD2"/>
    <mergeCell ref="AE2:AQ2"/>
    <mergeCell ref="CG2:CQ2"/>
    <mergeCell ref="CR2:DB2"/>
    <mergeCell ref="DC2:DM2"/>
    <mergeCell ref="AR2:BD2"/>
    <mergeCell ref="BE2:BI2"/>
    <mergeCell ref="BJ2:BO2"/>
    <mergeCell ref="BP2:BU2"/>
    <mergeCell ref="BV2:CF2"/>
  </mergeCells>
  <conditionalFormatting sqref="AT6:AV9">
    <cfRule type="cellIs" dxfId="21" priority="22" operator="lessThan">
      <formula>0</formula>
    </cfRule>
  </conditionalFormatting>
  <conditionalFormatting sqref="AP6:AQ9">
    <cfRule type="cellIs" dxfId="20" priority="21" operator="greaterThan">
      <formula>0</formula>
    </cfRule>
  </conditionalFormatting>
  <conditionalFormatting sqref="AV11">
    <cfRule type="cellIs" dxfId="19" priority="20" operator="lessThan">
      <formula>0</formula>
    </cfRule>
  </conditionalFormatting>
  <conditionalFormatting sqref="AQ11">
    <cfRule type="cellIs" dxfId="18" priority="19" operator="lessThan">
      <formula>0</formula>
    </cfRule>
  </conditionalFormatting>
  <conditionalFormatting sqref="AR6:AR9">
    <cfRule type="cellIs" dxfId="17" priority="18" operator="greaterThan">
      <formula>0</formula>
    </cfRule>
  </conditionalFormatting>
  <conditionalFormatting sqref="AD6:AD9">
    <cfRule type="cellIs" dxfId="16" priority="17" operator="lessThan">
      <formula>3.25</formula>
    </cfRule>
  </conditionalFormatting>
  <conditionalFormatting sqref="AV17">
    <cfRule type="cellIs" dxfId="15" priority="16" operator="lessThan">
      <formula>0</formula>
    </cfRule>
  </conditionalFormatting>
  <conditionalFormatting sqref="AQ17">
    <cfRule type="cellIs" dxfId="14" priority="15" operator="lessThan">
      <formula>0</formula>
    </cfRule>
  </conditionalFormatting>
  <conditionalFormatting sqref="AT12:AV15">
    <cfRule type="cellIs" dxfId="13" priority="14" operator="lessThan">
      <formula>0</formula>
    </cfRule>
  </conditionalFormatting>
  <conditionalFormatting sqref="AP12:AQ15">
    <cfRule type="cellIs" dxfId="12" priority="13" operator="greaterThan">
      <formula>0</formula>
    </cfRule>
  </conditionalFormatting>
  <conditionalFormatting sqref="AR12:AR15">
    <cfRule type="cellIs" dxfId="11" priority="12" operator="greaterThan">
      <formula>0</formula>
    </cfRule>
  </conditionalFormatting>
  <conditionalFormatting sqref="AD12:AD15">
    <cfRule type="cellIs" dxfId="10" priority="11" operator="lessThan">
      <formula>3.25</formula>
    </cfRule>
  </conditionalFormatting>
  <conditionalFormatting sqref="D18:BU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CG18:CQ2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CR18:DB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DC18:DM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BV18:CF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3"/>
  <sheetViews>
    <sheetView workbookViewId="0"/>
  </sheetViews>
  <sheetFormatPr baseColWidth="10" defaultRowHeight="15"/>
  <cols>
    <col min="1" max="1" width="23.5703125" bestFit="1" customWidth="1"/>
    <col min="2" max="2" width="25.85546875" bestFit="1" customWidth="1"/>
    <col min="3" max="3" width="17.42578125" bestFit="1" customWidth="1"/>
    <col min="4" max="4" width="20.28515625" bestFit="1" customWidth="1"/>
  </cols>
  <sheetData>
    <row r="1" spans="1:4">
      <c r="A1" s="51" t="s">
        <v>17</v>
      </c>
      <c r="B1" s="51" t="s">
        <v>18</v>
      </c>
      <c r="C1" s="51" t="s">
        <v>19</v>
      </c>
      <c r="D1" s="51" t="s">
        <v>108</v>
      </c>
    </row>
    <row r="2" spans="1:4">
      <c r="A2" s="109" t="s">
        <v>182</v>
      </c>
      <c r="B2" t="s">
        <v>169</v>
      </c>
      <c r="D2" t="s">
        <v>183</v>
      </c>
    </row>
    <row r="3" spans="1:4">
      <c r="A3" s="109" t="s">
        <v>184</v>
      </c>
      <c r="B3" t="s">
        <v>169</v>
      </c>
      <c r="D3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6"/>
  <sheetViews>
    <sheetView topLeftCell="A25" workbookViewId="0">
      <selection activeCell="G45" sqref="G45"/>
    </sheetView>
  </sheetViews>
  <sheetFormatPr baseColWidth="10" defaultRowHeight="15"/>
  <cols>
    <col min="1" max="1" width="32.7109375" bestFit="1" customWidth="1"/>
    <col min="2" max="2" width="34.140625" bestFit="1" customWidth="1"/>
    <col min="3" max="3" width="7" bestFit="1" customWidth="1"/>
  </cols>
  <sheetData>
    <row r="1" spans="1:4">
      <c r="A1" s="105" t="s">
        <v>108</v>
      </c>
      <c r="B1" s="105" t="s">
        <v>121</v>
      </c>
      <c r="C1" s="105" t="s">
        <v>119</v>
      </c>
      <c r="D1" s="107" t="s">
        <v>141</v>
      </c>
    </row>
    <row r="2" spans="1:4">
      <c r="A2" s="105" t="s">
        <v>113</v>
      </c>
      <c r="B2" s="108" t="s">
        <v>144</v>
      </c>
      <c r="C2" s="105" t="s">
        <v>120</v>
      </c>
      <c r="D2" t="s">
        <v>4</v>
      </c>
    </row>
    <row r="3" spans="1:4">
      <c r="A3" s="105" t="s">
        <v>113</v>
      </c>
      <c r="B3" s="108" t="s">
        <v>145</v>
      </c>
      <c r="C3" s="105" t="s">
        <v>120</v>
      </c>
      <c r="D3" t="s">
        <v>143</v>
      </c>
    </row>
    <row r="4" spans="1:4">
      <c r="A4" s="105" t="s">
        <v>112</v>
      </c>
      <c r="B4" s="108" t="s">
        <v>146</v>
      </c>
      <c r="C4" s="105" t="s">
        <v>120</v>
      </c>
      <c r="D4" t="s">
        <v>4</v>
      </c>
    </row>
    <row r="5" spans="1:4">
      <c r="A5" s="105" t="s">
        <v>112</v>
      </c>
      <c r="B5" s="108" t="s">
        <v>147</v>
      </c>
      <c r="C5" s="105" t="s">
        <v>120</v>
      </c>
      <c r="D5" t="s">
        <v>143</v>
      </c>
    </row>
    <row r="6" spans="1:4">
      <c r="A6" s="105" t="s">
        <v>118</v>
      </c>
      <c r="B6" s="108" t="s">
        <v>148</v>
      </c>
      <c r="C6" s="105" t="s">
        <v>120</v>
      </c>
      <c r="D6" t="s">
        <v>142</v>
      </c>
    </row>
    <row r="7" spans="1:4">
      <c r="A7" s="105" t="s">
        <v>118</v>
      </c>
      <c r="B7" s="108" t="s">
        <v>149</v>
      </c>
      <c r="C7" s="105" t="s">
        <v>120</v>
      </c>
      <c r="D7" t="s">
        <v>4</v>
      </c>
    </row>
    <row r="8" spans="1:4">
      <c r="A8" s="105" t="s">
        <v>117</v>
      </c>
      <c r="B8" s="108" t="s">
        <v>150</v>
      </c>
      <c r="C8" s="105" t="s">
        <v>120</v>
      </c>
      <c r="D8" t="s">
        <v>142</v>
      </c>
    </row>
    <row r="9" spans="1:4">
      <c r="A9" s="105" t="s">
        <v>117</v>
      </c>
      <c r="B9" s="108" t="s">
        <v>151</v>
      </c>
      <c r="C9" s="105" t="s">
        <v>120</v>
      </c>
      <c r="D9" t="s">
        <v>4</v>
      </c>
    </row>
    <row r="10" spans="1:4">
      <c r="A10" s="105" t="s">
        <v>116</v>
      </c>
      <c r="B10" s="108" t="s">
        <v>152</v>
      </c>
      <c r="C10" s="105" t="s">
        <v>120</v>
      </c>
      <c r="D10" t="s">
        <v>142</v>
      </c>
    </row>
    <row r="11" spans="1:4">
      <c r="A11" s="105" t="s">
        <v>116</v>
      </c>
      <c r="B11" s="108" t="s">
        <v>153</v>
      </c>
      <c r="C11" s="105" t="s">
        <v>120</v>
      </c>
      <c r="D11" t="s">
        <v>4</v>
      </c>
    </row>
    <row r="12" spans="1:4">
      <c r="A12" s="105" t="s">
        <v>115</v>
      </c>
      <c r="B12" s="108" t="s">
        <v>154</v>
      </c>
      <c r="C12" s="105" t="s">
        <v>120</v>
      </c>
      <c r="D12" t="s">
        <v>142</v>
      </c>
    </row>
    <row r="13" spans="1:4">
      <c r="A13" s="105" t="s">
        <v>115</v>
      </c>
      <c r="B13" s="108" t="s">
        <v>155</v>
      </c>
      <c r="C13" s="105" t="s">
        <v>120</v>
      </c>
      <c r="D13" s="107" t="s">
        <v>4</v>
      </c>
    </row>
    <row r="14" spans="1:4">
      <c r="A14" s="105" t="s">
        <v>111</v>
      </c>
      <c r="B14" s="108" t="s">
        <v>156</v>
      </c>
      <c r="C14" s="105" t="s">
        <v>120</v>
      </c>
      <c r="D14" t="s">
        <v>142</v>
      </c>
    </row>
    <row r="15" spans="1:4">
      <c r="A15" s="105" t="s">
        <v>111</v>
      </c>
      <c r="B15" s="108" t="s">
        <v>157</v>
      </c>
      <c r="C15" s="105" t="s">
        <v>120</v>
      </c>
      <c r="D15" s="107" t="s">
        <v>4</v>
      </c>
    </row>
    <row r="16" spans="1:4">
      <c r="A16" s="105" t="s">
        <v>115</v>
      </c>
      <c r="B16" s="108" t="s">
        <v>158</v>
      </c>
      <c r="C16" s="105" t="s">
        <v>120</v>
      </c>
      <c r="D16" t="s">
        <v>143</v>
      </c>
    </row>
    <row r="17" spans="1:4">
      <c r="A17" s="105" t="s">
        <v>109</v>
      </c>
      <c r="B17" s="108" t="s">
        <v>159</v>
      </c>
      <c r="C17" s="105" t="s">
        <v>120</v>
      </c>
      <c r="D17" s="107" t="s">
        <v>4</v>
      </c>
    </row>
    <row r="18" spans="1:4">
      <c r="A18" s="105" t="s">
        <v>109</v>
      </c>
      <c r="B18" s="108" t="s">
        <v>160</v>
      </c>
      <c r="C18" s="105" t="s">
        <v>120</v>
      </c>
      <c r="D18" t="s">
        <v>143</v>
      </c>
    </row>
    <row r="19" spans="1:4">
      <c r="A19" s="105" t="s">
        <v>114</v>
      </c>
      <c r="B19" s="108" t="s">
        <v>161</v>
      </c>
      <c r="C19" s="105" t="s">
        <v>120</v>
      </c>
      <c r="D19" s="107" t="s">
        <v>4</v>
      </c>
    </row>
    <row r="20" spans="1:4">
      <c r="A20" s="105" t="s">
        <v>109</v>
      </c>
      <c r="B20" s="108" t="s">
        <v>162</v>
      </c>
      <c r="C20" s="105" t="s">
        <v>120</v>
      </c>
      <c r="D20" t="s">
        <v>142</v>
      </c>
    </row>
    <row r="21" spans="1:4">
      <c r="A21" s="105" t="s">
        <v>114</v>
      </c>
      <c r="B21" s="108" t="s">
        <v>163</v>
      </c>
      <c r="C21" s="105" t="s">
        <v>120</v>
      </c>
      <c r="D21" t="s">
        <v>142</v>
      </c>
    </row>
    <row r="22" spans="1:4">
      <c r="A22" s="105" t="s">
        <v>113</v>
      </c>
      <c r="B22" s="108" t="s">
        <v>164</v>
      </c>
      <c r="C22" s="105" t="s">
        <v>120</v>
      </c>
      <c r="D22" t="s">
        <v>142</v>
      </c>
    </row>
    <row r="23" spans="1:4">
      <c r="A23" s="105" t="s">
        <v>112</v>
      </c>
      <c r="B23" s="108" t="s">
        <v>165</v>
      </c>
      <c r="C23" s="105" t="s">
        <v>120</v>
      </c>
      <c r="D23" t="s">
        <v>142</v>
      </c>
    </row>
    <row r="24" spans="1:4">
      <c r="A24" s="105" t="s">
        <v>111</v>
      </c>
      <c r="B24" s="108" t="s">
        <v>166</v>
      </c>
      <c r="C24" s="105" t="s">
        <v>120</v>
      </c>
      <c r="D24" t="s">
        <v>143</v>
      </c>
    </row>
    <row r="25" spans="1:4">
      <c r="A25" s="105" t="s">
        <v>110</v>
      </c>
      <c r="B25" s="108" t="s">
        <v>167</v>
      </c>
      <c r="C25" s="105" t="s">
        <v>120</v>
      </c>
      <c r="D25" t="s">
        <v>142</v>
      </c>
    </row>
    <row r="26" spans="1:4">
      <c r="A26" s="105" t="s">
        <v>110</v>
      </c>
      <c r="B26" s="108" t="s">
        <v>168</v>
      </c>
      <c r="C26" s="105" t="s">
        <v>120</v>
      </c>
      <c r="D26" s="107" t="s">
        <v>4</v>
      </c>
    </row>
    <row r="27" spans="1:4">
      <c r="A27" t="s">
        <v>113</v>
      </c>
      <c r="B27" t="s">
        <v>122</v>
      </c>
      <c r="C27" t="s">
        <v>140</v>
      </c>
      <c r="D27" s="107" t="s">
        <v>4</v>
      </c>
    </row>
    <row r="28" spans="1:4">
      <c r="A28" t="s">
        <v>113</v>
      </c>
      <c r="B28" t="s">
        <v>123</v>
      </c>
      <c r="C28" s="105" t="s">
        <v>140</v>
      </c>
      <c r="D28" t="s">
        <v>143</v>
      </c>
    </row>
    <row r="29" spans="1:4">
      <c r="A29" t="s">
        <v>112</v>
      </c>
      <c r="B29" t="s">
        <v>124</v>
      </c>
      <c r="C29" s="105" t="s">
        <v>140</v>
      </c>
      <c r="D29" s="107" t="s">
        <v>4</v>
      </c>
    </row>
    <row r="30" spans="1:4">
      <c r="A30" t="s">
        <v>112</v>
      </c>
      <c r="B30" t="s">
        <v>125</v>
      </c>
      <c r="C30" s="105" t="s">
        <v>140</v>
      </c>
      <c r="D30" t="s">
        <v>143</v>
      </c>
    </row>
    <row r="31" spans="1:4">
      <c r="A31" t="s">
        <v>118</v>
      </c>
      <c r="B31" t="s">
        <v>126</v>
      </c>
      <c r="C31" s="105" t="s">
        <v>140</v>
      </c>
      <c r="D31" t="s">
        <v>142</v>
      </c>
    </row>
    <row r="32" spans="1:4">
      <c r="A32" t="s">
        <v>118</v>
      </c>
      <c r="B32" t="s">
        <v>127</v>
      </c>
      <c r="C32" s="105" t="s">
        <v>140</v>
      </c>
      <c r="D32" s="107" t="s">
        <v>4</v>
      </c>
    </row>
    <row r="33" spans="1:4">
      <c r="A33" t="s">
        <v>117</v>
      </c>
      <c r="B33" t="s">
        <v>128</v>
      </c>
      <c r="C33" s="105" t="s">
        <v>140</v>
      </c>
      <c r="D33" t="s">
        <v>142</v>
      </c>
    </row>
    <row r="34" spans="1:4">
      <c r="A34" t="s">
        <v>117</v>
      </c>
      <c r="B34" t="s">
        <v>129</v>
      </c>
      <c r="C34" s="105" t="s">
        <v>140</v>
      </c>
      <c r="D34" s="107" t="s">
        <v>4</v>
      </c>
    </row>
    <row r="35" spans="1:4">
      <c r="A35" t="s">
        <v>116</v>
      </c>
      <c r="B35" t="s">
        <v>130</v>
      </c>
      <c r="C35" s="105" t="s">
        <v>140</v>
      </c>
      <c r="D35" t="s">
        <v>142</v>
      </c>
    </row>
    <row r="36" spans="1:4">
      <c r="A36" t="s">
        <v>116</v>
      </c>
      <c r="B36" t="s">
        <v>131</v>
      </c>
      <c r="C36" s="105" t="s">
        <v>140</v>
      </c>
      <c r="D36" s="107" t="s">
        <v>4</v>
      </c>
    </row>
    <row r="37" spans="1:4">
      <c r="A37" t="s">
        <v>115</v>
      </c>
      <c r="B37" t="s">
        <v>132</v>
      </c>
      <c r="C37" s="105" t="s">
        <v>140</v>
      </c>
      <c r="D37" t="s">
        <v>142</v>
      </c>
    </row>
    <row r="38" spans="1:4">
      <c r="A38" t="s">
        <v>115</v>
      </c>
      <c r="B38" t="s">
        <v>133</v>
      </c>
      <c r="C38" s="105" t="s">
        <v>140</v>
      </c>
      <c r="D38" s="107" t="s">
        <v>4</v>
      </c>
    </row>
    <row r="39" spans="1:4">
      <c r="A39" t="s">
        <v>111</v>
      </c>
      <c r="B39" t="s">
        <v>134</v>
      </c>
      <c r="C39" s="105" t="s">
        <v>140</v>
      </c>
      <c r="D39" t="s">
        <v>142</v>
      </c>
    </row>
    <row r="40" spans="1:4">
      <c r="A40" t="s">
        <v>111</v>
      </c>
      <c r="B40" t="s">
        <v>135</v>
      </c>
      <c r="C40" s="105" t="s">
        <v>140</v>
      </c>
      <c r="D40" s="107" t="s">
        <v>4</v>
      </c>
    </row>
    <row r="41" spans="1:4">
      <c r="A41" t="s">
        <v>115</v>
      </c>
      <c r="B41" t="s">
        <v>136</v>
      </c>
      <c r="C41" s="105" t="s">
        <v>140</v>
      </c>
      <c r="D41" t="s">
        <v>143</v>
      </c>
    </row>
    <row r="42" spans="1:4">
      <c r="A42" t="s">
        <v>113</v>
      </c>
      <c r="B42" t="s">
        <v>137</v>
      </c>
      <c r="C42" s="105" t="s">
        <v>140</v>
      </c>
      <c r="D42" t="s">
        <v>142</v>
      </c>
    </row>
    <row r="43" spans="1:4">
      <c r="A43" t="s">
        <v>112</v>
      </c>
      <c r="B43" t="s">
        <v>138</v>
      </c>
      <c r="C43" s="105" t="s">
        <v>140</v>
      </c>
      <c r="D43" t="s">
        <v>142</v>
      </c>
    </row>
    <row r="44" spans="1:4">
      <c r="A44" t="s">
        <v>111</v>
      </c>
      <c r="B44" t="s">
        <v>139</v>
      </c>
      <c r="C44" s="105" t="s">
        <v>140</v>
      </c>
      <c r="D44" t="s">
        <v>143</v>
      </c>
    </row>
    <row r="45" spans="1:4">
      <c r="A45" t="s">
        <v>183</v>
      </c>
      <c r="B45" t="s">
        <v>185</v>
      </c>
      <c r="C45" s="108" t="s">
        <v>140</v>
      </c>
      <c r="D45" s="108" t="s">
        <v>4</v>
      </c>
    </row>
    <row r="46" spans="1:4">
      <c r="A46" s="108" t="s">
        <v>183</v>
      </c>
      <c r="B46" t="s">
        <v>186</v>
      </c>
      <c r="C46" s="108" t="s">
        <v>140</v>
      </c>
      <c r="D46" s="108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717</vt:i4>
      </vt:variant>
    </vt:vector>
  </HeadingPairs>
  <TitlesOfParts>
    <vt:vector size="723" baseType="lpstr">
      <vt:lpstr>Principal</vt:lpstr>
      <vt:lpstr>RESUMEN_KPI_ALL</vt:lpstr>
      <vt:lpstr>RESUMEN_KPI_4G</vt:lpstr>
      <vt:lpstr>RESUMEN_KPI_3G</vt:lpstr>
      <vt:lpstr>check</vt:lpstr>
      <vt:lpstr>aux</vt:lpstr>
      <vt:lpstr>Principal!CallEnd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Principal!CallEnd_780</vt:lpstr>
      <vt:lpstr>Principal!CallEnd_781</vt:lpstr>
      <vt:lpstr>Principal!CallEnd_782</vt:lpstr>
      <vt:lpstr>Principal!CallEnd_783</vt:lpstr>
      <vt:lpstr>Principal!CallEnd_97</vt:lpstr>
      <vt:lpstr>Principal!CallEnd_98</vt:lpstr>
      <vt:lpstr>Principal!CallEnd_99</vt:lpstr>
      <vt:lpstr>rng_CE_DL_3G</vt:lpstr>
      <vt:lpstr>rng_CE_DL_4G</vt:lpstr>
      <vt:lpstr>rng_CE_DL_ALL</vt:lpstr>
      <vt:lpstr>rng_CE_UL_3G</vt:lpstr>
      <vt:lpstr>rng_CE_UL_4G</vt:lpstr>
      <vt:lpstr>rng_CE_UL_ALL</vt:lpstr>
      <vt:lpstr>rng_DL_1</vt:lpstr>
      <vt:lpstr>rng_DL_2</vt:lpstr>
      <vt:lpstr>rng_HTTP_3G</vt:lpstr>
      <vt:lpstr>rng_HTTP_4G</vt:lpstr>
      <vt:lpstr>rng_HTTP_ALL</vt:lpstr>
      <vt:lpstr>rng_HTTPS_3G</vt:lpstr>
      <vt:lpstr>rng_HTTPS_4G</vt:lpstr>
      <vt:lpstr>rng_HTTPS_ALL</vt:lpstr>
      <vt:lpstr>rng_LATENCIA_3G</vt:lpstr>
      <vt:lpstr>rng_LATENCIA_4G</vt:lpstr>
      <vt:lpstr>rng_LATENCIA_ALL</vt:lpstr>
      <vt:lpstr>rng_Lista_3G</vt:lpstr>
      <vt:lpstr>rng_NC_DL_3G</vt:lpstr>
      <vt:lpstr>rng_NC_DL_4G</vt:lpstr>
      <vt:lpstr>rng_NC_DL_ALL</vt:lpstr>
      <vt:lpstr>rng_NC_UL_3G</vt:lpstr>
      <vt:lpstr>rng_NC_UL_4G</vt:lpstr>
      <vt:lpstr>rng_NC_UL_ALL</vt:lpstr>
      <vt:lpstr>rng_UL_1</vt:lpstr>
      <vt:lpstr>rng_UL_2</vt:lpstr>
      <vt:lpstr>rng_Youtube_3G</vt:lpstr>
      <vt:lpstr>rng_Youtube_4G</vt:lpstr>
      <vt:lpstr>rng_Youtube_ALL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2017-09-15T10:13:30Z</dcterms:modified>
</cp:coreProperties>
</file>