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75" windowWidth="20115" windowHeight="7995" activeTab="3"/>
  </bookViews>
  <sheets>
    <sheet name="Call Attempts" sheetId="1" r:id="rId1"/>
    <sheet name="Info_Zona" sheetId="4" r:id="rId2"/>
    <sheet name="Nomenclatura" sheetId="5" r:id="rId3"/>
    <sheet name="Entidades" sheetId="6" r:id="rId4"/>
  </sheets>
  <definedNames>
    <definedName name="_xlnm._FilterDatabase" localSheetId="0" hidden="1">'Call Attempts'!$A$1:$J$189</definedName>
    <definedName name="_xlnm._FilterDatabase" localSheetId="1" hidden="1">Info_Zona!$A$1:$C$53</definedName>
    <definedName name="_xlnm._FilterDatabase" localSheetId="2" hidden="1">Nomenclatura!$A$1:$C$892</definedName>
  </definedNames>
  <calcPr calcId="145621"/>
  <pivotCaches>
    <pivotCache cacheId="0" r:id="rId5"/>
  </pivotCaches>
</workbook>
</file>

<file path=xl/calcChain.xml><?xml version="1.0" encoding="utf-8"?>
<calcChain xmlns="http://schemas.openxmlformats.org/spreadsheetml/2006/main">
  <c r="C5" i="6" l="1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4" i="6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2" i="1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2" i="1"/>
  <c r="J55" i="1" l="1"/>
  <c r="J56" i="1"/>
  <c r="J57" i="1"/>
  <c r="J58" i="1"/>
  <c r="J59" i="1"/>
  <c r="J60" i="1"/>
  <c r="J61" i="1"/>
  <c r="J114" i="1"/>
  <c r="J115" i="1"/>
  <c r="J116" i="1"/>
  <c r="J117" i="1"/>
  <c r="J2" i="1"/>
  <c r="J3" i="1"/>
  <c r="J4" i="1"/>
  <c r="J5" i="1"/>
  <c r="J6" i="1"/>
  <c r="J7" i="1"/>
  <c r="J8" i="1"/>
  <c r="J9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30" i="1"/>
  <c r="J31" i="1"/>
  <c r="J32" i="1"/>
  <c r="J33" i="1"/>
  <c r="J78" i="1"/>
  <c r="J79" i="1"/>
  <c r="J80" i="1"/>
  <c r="J81" i="1"/>
  <c r="J82" i="1"/>
  <c r="J83" i="1"/>
  <c r="J84" i="1"/>
  <c r="J85" i="1"/>
  <c r="J182" i="1"/>
  <c r="J183" i="1"/>
  <c r="J184" i="1"/>
  <c r="J185" i="1"/>
  <c r="J118" i="1"/>
  <c r="J119" i="1"/>
  <c r="J120" i="1"/>
  <c r="J121" i="1"/>
  <c r="J122" i="1"/>
  <c r="J123" i="1"/>
  <c r="J124" i="1"/>
  <c r="J125" i="1"/>
  <c r="J10" i="1"/>
  <c r="J11" i="1"/>
  <c r="J12" i="1"/>
  <c r="J13" i="1"/>
  <c r="J186" i="1"/>
  <c r="J187" i="1"/>
  <c r="J188" i="1"/>
  <c r="J189" i="1"/>
  <c r="J126" i="1"/>
  <c r="J127" i="1"/>
  <c r="J128" i="1"/>
  <c r="J129" i="1"/>
  <c r="J86" i="1"/>
  <c r="J87" i="1"/>
  <c r="J88" i="1"/>
  <c r="J89" i="1"/>
  <c r="J90" i="1"/>
  <c r="J91" i="1"/>
  <c r="J92" i="1"/>
  <c r="J93" i="1"/>
  <c r="J34" i="1"/>
  <c r="J35" i="1"/>
  <c r="J36" i="1"/>
  <c r="J37" i="1"/>
  <c r="J130" i="1"/>
  <c r="J131" i="1"/>
  <c r="J132" i="1"/>
  <c r="J133" i="1"/>
  <c r="J134" i="1"/>
  <c r="J135" i="1"/>
  <c r="J136" i="1"/>
  <c r="J137" i="1"/>
  <c r="J38" i="1"/>
  <c r="J39" i="1"/>
  <c r="J40" i="1"/>
  <c r="J41" i="1"/>
  <c r="J138" i="1"/>
  <c r="J139" i="1"/>
  <c r="J140" i="1"/>
  <c r="J141" i="1"/>
  <c r="J94" i="1"/>
  <c r="J95" i="1"/>
  <c r="J96" i="1"/>
  <c r="J97" i="1"/>
  <c r="J98" i="1"/>
  <c r="J99" i="1"/>
  <c r="J100" i="1"/>
  <c r="J101" i="1"/>
  <c r="J42" i="1"/>
  <c r="J43" i="1"/>
  <c r="J44" i="1"/>
  <c r="J45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46" i="1"/>
  <c r="J47" i="1"/>
  <c r="J48" i="1"/>
  <c r="J49" i="1"/>
  <c r="J102" i="1"/>
  <c r="J103" i="1"/>
  <c r="J104" i="1"/>
  <c r="J105" i="1"/>
  <c r="J106" i="1"/>
  <c r="J107" i="1"/>
  <c r="J108" i="1"/>
  <c r="J109" i="1"/>
  <c r="J162" i="1"/>
  <c r="J163" i="1"/>
  <c r="J164" i="1"/>
  <c r="J165" i="1"/>
  <c r="J50" i="1"/>
  <c r="J51" i="1"/>
  <c r="J52" i="1"/>
  <c r="J53" i="1"/>
  <c r="J166" i="1"/>
  <c r="J167" i="1"/>
  <c r="J168" i="1"/>
  <c r="J169" i="1"/>
  <c r="J170" i="1"/>
  <c r="J171" i="1"/>
  <c r="J172" i="1"/>
  <c r="J173" i="1"/>
  <c r="J110" i="1"/>
  <c r="J111" i="1"/>
  <c r="J112" i="1"/>
  <c r="J113" i="1"/>
  <c r="J174" i="1"/>
  <c r="J175" i="1"/>
  <c r="J176" i="1"/>
  <c r="J177" i="1"/>
  <c r="J178" i="1"/>
  <c r="J179" i="1"/>
  <c r="J180" i="1"/>
  <c r="J181" i="1"/>
  <c r="J54" i="1"/>
</calcChain>
</file>

<file path=xl/sharedStrings.xml><?xml version="1.0" encoding="utf-8"?>
<sst xmlns="http://schemas.openxmlformats.org/spreadsheetml/2006/main" count="4254" uniqueCount="815">
  <si>
    <t>TARGET ON SCOPE</t>
  </si>
  <si>
    <t>CITIES ROUTE LINES PLACE</t>
  </si>
  <si>
    <t>ADD-ON CITIES</t>
  </si>
  <si>
    <t>ALGEMESI</t>
  </si>
  <si>
    <t>AZUQUECA DE HENARES</t>
  </si>
  <si>
    <t>BASAURI</t>
  </si>
  <si>
    <t>ELDA</t>
  </si>
  <si>
    <t>LOS REALEJOS</t>
  </si>
  <si>
    <t>MANACOR</t>
  </si>
  <si>
    <t>SAN CRISTOBAL DE LA LAGUNA</t>
  </si>
  <si>
    <t>SANT ANDREU DE LA BARCA</t>
  </si>
  <si>
    <t>SANTA EULALIA DEL RIO</t>
  </si>
  <si>
    <t>SESTAO</t>
  </si>
  <si>
    <t>UTIEL</t>
  </si>
  <si>
    <t>ADD-ON CITIES OSP</t>
  </si>
  <si>
    <t>MOGUER</t>
  </si>
  <si>
    <t>SMALLER CITIES</t>
  </si>
  <si>
    <t>LAS PALMAS</t>
  </si>
  <si>
    <t>PALMA DE MALLORCA</t>
  </si>
  <si>
    <t>SUMMER</t>
  </si>
  <si>
    <t>IBIZA</t>
  </si>
  <si>
    <t>LLANES</t>
  </si>
  <si>
    <t>MOGAN</t>
  </si>
  <si>
    <t>PUERTO DE SANTA MARIA</t>
  </si>
  <si>
    <t>SAN BARTOLOME DE TIRAJANA</t>
  </si>
  <si>
    <t>TIAS</t>
  </si>
  <si>
    <t>YAIZA</t>
  </si>
  <si>
    <t>ALCUDIA</t>
  </si>
  <si>
    <t>ARROYO MOLINOS</t>
  </si>
  <si>
    <t>IGUALADA</t>
  </si>
  <si>
    <t>LA VALL DUIXO</t>
  </si>
  <si>
    <t>LA VILLAJOYOSA</t>
  </si>
  <si>
    <t>LANGREO</t>
  </si>
  <si>
    <t>LEGANES</t>
  </si>
  <si>
    <t>MANRESA</t>
  </si>
  <si>
    <t>MONTCADA i REIXAC</t>
  </si>
  <si>
    <t>PORTUGALETE</t>
  </si>
  <si>
    <t>SANTA LUCIA DE TIRAJANA</t>
  </si>
  <si>
    <t>ALMONTE</t>
  </si>
  <si>
    <t>MAIN CITIES</t>
  </si>
  <si>
    <t>BARCELONA</t>
  </si>
  <si>
    <t>BILBAO</t>
  </si>
  <si>
    <t>CARTAGENA</t>
  </si>
  <si>
    <t>S.C. TENERIFE</t>
  </si>
  <si>
    <t>PAJARA</t>
  </si>
  <si>
    <t>LAST ACQUISITION TIMING [YYYY_MM]</t>
  </si>
  <si>
    <t>2016_11</t>
  </si>
  <si>
    <t>2017_01</t>
  </si>
  <si>
    <t>2016_12</t>
  </si>
  <si>
    <t>2016_06</t>
  </si>
  <si>
    <t>2016_10</t>
  </si>
  <si>
    <t>2016_08</t>
  </si>
  <si>
    <t>2016_07</t>
  </si>
  <si>
    <t>2016_09</t>
  </si>
  <si>
    <t>2016_05</t>
  </si>
  <si>
    <t>PROVINCIA</t>
  </si>
  <si>
    <t>VALENCIA</t>
  </si>
  <si>
    <t>GUADALAJARA</t>
  </si>
  <si>
    <t>VIZCAYA</t>
  </si>
  <si>
    <t>ALICANTE</t>
  </si>
  <si>
    <t>SANTA_CRUZ_DE_TENERIFE</t>
  </si>
  <si>
    <t>ISLAS_BALEARES</t>
  </si>
  <si>
    <t>HUELVA</t>
  </si>
  <si>
    <t>LAS_PALMAS</t>
  </si>
  <si>
    <t>ASTURIAS</t>
  </si>
  <si>
    <t>CADIZ</t>
  </si>
  <si>
    <t>MADRID</t>
  </si>
  <si>
    <t>CASTELLON</t>
  </si>
  <si>
    <t>MURCIA</t>
  </si>
  <si>
    <t>TECHNOLOGY</t>
  </si>
  <si>
    <t>4G</t>
  </si>
  <si>
    <t>H1</t>
  </si>
  <si>
    <t xml:space="preserve">Zona </t>
  </si>
  <si>
    <t>Zona 3</t>
  </si>
  <si>
    <t>Zona 1</t>
  </si>
  <si>
    <t>Zona 2</t>
  </si>
  <si>
    <t>Zona 4</t>
  </si>
  <si>
    <t>Zona 5</t>
  </si>
  <si>
    <t>Subdirectorio</t>
  </si>
  <si>
    <t>CCAA</t>
  </si>
  <si>
    <t>ALAVA</t>
  </si>
  <si>
    <t>País Vasco</t>
  </si>
  <si>
    <t>ALBACETE</t>
  </si>
  <si>
    <t>Castilla La Mancha</t>
  </si>
  <si>
    <t>Comunidad Valenciana</t>
  </si>
  <si>
    <t>ALMERIA</t>
  </si>
  <si>
    <t>Andalucía</t>
  </si>
  <si>
    <t>Asturias</t>
  </si>
  <si>
    <t>AVILA</t>
  </si>
  <si>
    <t>Castilla y León</t>
  </si>
  <si>
    <t>BADAJOZ</t>
  </si>
  <si>
    <t>Extremadura</t>
  </si>
  <si>
    <t>Baleares</t>
  </si>
  <si>
    <t>Cataluña</t>
  </si>
  <si>
    <t>BURGOS</t>
  </si>
  <si>
    <t>CACERES</t>
  </si>
  <si>
    <t>CANTABRIA</t>
  </si>
  <si>
    <t>Cantabria</t>
  </si>
  <si>
    <t>CEUTA</t>
  </si>
  <si>
    <t>Ciudad Autónoma</t>
  </si>
  <si>
    <t>CIUDAD_REAL</t>
  </si>
  <si>
    <t>CORDOBA</t>
  </si>
  <si>
    <t>LA_CORUÑA</t>
  </si>
  <si>
    <t>Galicia</t>
  </si>
  <si>
    <t>CUENCA</t>
  </si>
  <si>
    <t>GIRONA</t>
  </si>
  <si>
    <t>GRANADA</t>
  </si>
  <si>
    <t>GUIPUZCOA</t>
  </si>
  <si>
    <t>HUESCA</t>
  </si>
  <si>
    <t>Aragón</t>
  </si>
  <si>
    <t>JAEN</t>
  </si>
  <si>
    <t>LEON</t>
  </si>
  <si>
    <t>LLEIDA</t>
  </si>
  <si>
    <t>LUGO</t>
  </si>
  <si>
    <t>Comunidad de Madrid</t>
  </si>
  <si>
    <t>MALAGA</t>
  </si>
  <si>
    <t>MELILLA</t>
  </si>
  <si>
    <t>Murcia</t>
  </si>
  <si>
    <t>NAVARRA</t>
  </si>
  <si>
    <t>Navarra</t>
  </si>
  <si>
    <t>OURENSE</t>
  </si>
  <si>
    <t>PALENCIA</t>
  </si>
  <si>
    <t>Canarias</t>
  </si>
  <si>
    <t>PONTEVEDRA</t>
  </si>
  <si>
    <t>LA_RIOJA</t>
  </si>
  <si>
    <t>La Rioja</t>
  </si>
  <si>
    <t>SALAMANCA</t>
  </si>
  <si>
    <t>SEGOVIA</t>
  </si>
  <si>
    <t>SEVILLA</t>
  </si>
  <si>
    <t>SORIA</t>
  </si>
  <si>
    <t>TARRAGONA</t>
  </si>
  <si>
    <t>TERUEL</t>
  </si>
  <si>
    <t>TOLEDO</t>
  </si>
  <si>
    <t>VALLADOLID</t>
  </si>
  <si>
    <t>ZAMORA</t>
  </si>
  <si>
    <t>ZARAGOZA</t>
  </si>
  <si>
    <t>Entities_Dashboard</t>
  </si>
  <si>
    <t>Entities_BBDD</t>
  </si>
  <si>
    <t>SAGUNTO</t>
  </si>
  <si>
    <t>SAGUNTOSAGUNT</t>
  </si>
  <si>
    <t>CREVILLENT</t>
  </si>
  <si>
    <t>HOSPITALET DE LLOBREGAT</t>
  </si>
  <si>
    <t>LHOSPITALETDELLOBREGAT</t>
  </si>
  <si>
    <t>TOTANA</t>
  </si>
  <si>
    <t>LORCA</t>
  </si>
  <si>
    <t>VALDEPEÑAS</t>
  </si>
  <si>
    <t>VALDEPENAS</t>
  </si>
  <si>
    <t>ORIHUELA</t>
  </si>
  <si>
    <t>CASTRO URDIALES</t>
  </si>
  <si>
    <t>CASTROURDIALES</t>
  </si>
  <si>
    <t>CALATAYUD</t>
  </si>
  <si>
    <t>PLASENCIA</t>
  </si>
  <si>
    <t>SUECA</t>
  </si>
  <si>
    <t>NIJAR</t>
  </si>
  <si>
    <t>MOTRIL</t>
  </si>
  <si>
    <t>ARANDA DE DUERO</t>
  </si>
  <si>
    <t>ARANDADEDUERO</t>
  </si>
  <si>
    <t>CAMBRILS</t>
  </si>
  <si>
    <t>VILANOVA I LA GELTRU</t>
  </si>
  <si>
    <t>VILANOVAILAGELTRU</t>
  </si>
  <si>
    <t>AMES</t>
  </si>
  <si>
    <t>CARBALLO</t>
  </si>
  <si>
    <t>FERROL</t>
  </si>
  <si>
    <t>MARIN</t>
  </si>
  <si>
    <t>NARON</t>
  </si>
  <si>
    <t>RIBEIRA</t>
  </si>
  <si>
    <t>ESTEPONA</t>
  </si>
  <si>
    <t>SANTOÑA</t>
  </si>
  <si>
    <t>SANTONA</t>
  </si>
  <si>
    <t>MIERES</t>
  </si>
  <si>
    <t>ALGECIRAS</t>
  </si>
  <si>
    <t>ANDUJAR</t>
  </si>
  <si>
    <t>LINARES</t>
  </si>
  <si>
    <t>VILAFRANCA DEL PENEDES</t>
  </si>
  <si>
    <t>VILAFRANCADELPENEDES</t>
  </si>
  <si>
    <t>TARANCON</t>
  </si>
  <si>
    <t>TELDE</t>
  </si>
  <si>
    <t>TORRELAVEGA</t>
  </si>
  <si>
    <t>DURANGO</t>
  </si>
  <si>
    <t>EIBAR</t>
  </si>
  <si>
    <t>TUDELA</t>
  </si>
  <si>
    <t>MARTORELL</t>
  </si>
  <si>
    <t>RUBI</t>
  </si>
  <si>
    <t>SANCRISTOBALDELALAGUNA</t>
  </si>
  <si>
    <t>ARTEIXO</t>
  </si>
  <si>
    <t>VINAROZ</t>
  </si>
  <si>
    <t>VINAROS</t>
  </si>
  <si>
    <t>XATIVA</t>
  </si>
  <si>
    <t>MARRATXI</t>
  </si>
  <si>
    <t>LA CORUÑA</t>
  </si>
  <si>
    <t>CORUNA</t>
  </si>
  <si>
    <t>ELCHE</t>
  </si>
  <si>
    <t>GIJON</t>
  </si>
  <si>
    <t>JEREZ DE LA FRONTERA</t>
  </si>
  <si>
    <t>JEREZ</t>
  </si>
  <si>
    <t>PALMAS</t>
  </si>
  <si>
    <t>LOGROÑO</t>
  </si>
  <si>
    <t>LOGRONO</t>
  </si>
  <si>
    <t>OVIEDO</t>
  </si>
  <si>
    <t>MALLORCA</t>
  </si>
  <si>
    <t>PAMPLONA</t>
  </si>
  <si>
    <t>TENERIFE</t>
  </si>
  <si>
    <t>SAN SEBASTIAN</t>
  </si>
  <si>
    <t>DONOSTI</t>
  </si>
  <si>
    <t>SANTANDER</t>
  </si>
  <si>
    <t>VIGO</t>
  </si>
  <si>
    <t>VITORIA</t>
  </si>
  <si>
    <t>ADEJE</t>
  </si>
  <si>
    <t>ARONA</t>
  </si>
  <si>
    <t>ARRECIFE</t>
  </si>
  <si>
    <t>BAIONA</t>
  </si>
  <si>
    <t>BENICASIM</t>
  </si>
  <si>
    <t>BENIDORM</t>
  </si>
  <si>
    <t>CALAFELL</t>
  </si>
  <si>
    <t>CALELLA DE MAR</t>
  </si>
  <si>
    <t>CALELLA</t>
  </si>
  <si>
    <t>CARREÑO</t>
  </si>
  <si>
    <t>CARRENO</t>
  </si>
  <si>
    <t>CHICLANA</t>
  </si>
  <si>
    <t>CHIPIONA</t>
  </si>
  <si>
    <t>CULLERA</t>
  </si>
  <si>
    <t>FUENGIROLA</t>
  </si>
  <si>
    <t>GOZON</t>
  </si>
  <si>
    <t>LAREDO</t>
  </si>
  <si>
    <t>LLORET DE MAR</t>
  </si>
  <si>
    <t>LLORET</t>
  </si>
  <si>
    <t>MARBELLA</t>
  </si>
  <si>
    <t>NIGRAN</t>
  </si>
  <si>
    <t>NOJA</t>
  </si>
  <si>
    <t>O GROVE</t>
  </si>
  <si>
    <t>OGROVE</t>
  </si>
  <si>
    <t>LA OLIVA</t>
  </si>
  <si>
    <t>LAOLIVA</t>
  </si>
  <si>
    <t>OROPESA</t>
  </si>
  <si>
    <t>PALAMOS</t>
  </si>
  <si>
    <t>PLAYA DE GANDIA</t>
  </si>
  <si>
    <t>GANDIAPLAYA</t>
  </si>
  <si>
    <t>PUERTO DE LA CRUZ</t>
  </si>
  <si>
    <t>PTODELACRUZ</t>
  </si>
  <si>
    <t>PTOSANTAMARIA</t>
  </si>
  <si>
    <t>ROQUETAS DE MAR</t>
  </si>
  <si>
    <t>ROQUETAS</t>
  </si>
  <si>
    <t>ROSES</t>
  </si>
  <si>
    <t>SADA</t>
  </si>
  <si>
    <t>SALOU</t>
  </si>
  <si>
    <t>TIRAJANA</t>
  </si>
  <si>
    <t>SANT CARLES DE LA RAPITA</t>
  </si>
  <si>
    <t>SANTCARLES</t>
  </si>
  <si>
    <t>SANTIAGO DE COMPOSTELA</t>
  </si>
  <si>
    <t>SANTIAGO</t>
  </si>
  <si>
    <t>SANTIAGO DEL TEIDE</t>
  </si>
  <si>
    <t>TEIDE</t>
  </si>
  <si>
    <t>SANXENXO</t>
  </si>
  <si>
    <t>SITGES</t>
  </si>
  <si>
    <t>SOTOGRANDE</t>
  </si>
  <si>
    <t>TORREVIEJA</t>
  </si>
  <si>
    <t>TOSSA DE MAR</t>
  </si>
  <si>
    <t>TOSSA</t>
  </si>
  <si>
    <t>VENDRELL</t>
  </si>
  <si>
    <t>VILAGARCIA DE AROUSA</t>
  </si>
  <si>
    <t>VILAGARCIA</t>
  </si>
  <si>
    <t>ZARAUTZ</t>
  </si>
  <si>
    <t> A-1  MADRID - IRUN</t>
  </si>
  <si>
    <t>A1-IRUN</t>
  </si>
  <si>
    <t> A-2  MADRID - ZARAGOZA - BARCELONA</t>
  </si>
  <si>
    <t>A2-BCN</t>
  </si>
  <si>
    <t> A-3  MADRID - VALENCIA</t>
  </si>
  <si>
    <t>A3-VLC</t>
  </si>
  <si>
    <t> A-4  MADRID - CADIZ</t>
  </si>
  <si>
    <t>A4-CAD</t>
  </si>
  <si>
    <t> A-5  MADRID - BADAJOZ</t>
  </si>
  <si>
    <t>A5-BAD</t>
  </si>
  <si>
    <t> A-6  MADRID - LA CORUÑA</t>
  </si>
  <si>
    <t>A6-COR</t>
  </si>
  <si>
    <t> A-7 LA JONQUERA - ALGECIRAS</t>
  </si>
  <si>
    <t>A7-ALG</t>
  </si>
  <si>
    <t>AVE MADRID-CORDOBA-SEVILLA</t>
  </si>
  <si>
    <t>MAD-SEV</t>
  </si>
  <si>
    <t>AVE MADRID-VALENCIA</t>
  </si>
  <si>
    <t>MAD-VLC</t>
  </si>
  <si>
    <t>AVE MADRID-ZARAGOZA-BARCELONA</t>
  </si>
  <si>
    <t>MAD-BCN</t>
  </si>
  <si>
    <t>ALICANTE AIRPORT</t>
  </si>
  <si>
    <t>ALI-APT</t>
  </si>
  <si>
    <t>BARCELONA EL PRAT AIRPORT</t>
  </si>
  <si>
    <t>BCN-APT</t>
  </si>
  <si>
    <t>BARCELONA SANTS STATION</t>
  </si>
  <si>
    <t>BCN-RLW</t>
  </si>
  <si>
    <t>BERNABEU STADIUM</t>
  </si>
  <si>
    <t>RM-STD</t>
  </si>
  <si>
    <t>CALDERON STADIUM</t>
  </si>
  <si>
    <t>ATM-STD</t>
  </si>
  <si>
    <t>CAMP NOU STADIUM</t>
  </si>
  <si>
    <t>FCB-STD</t>
  </si>
  <si>
    <t>CORDOBA STATION</t>
  </si>
  <si>
    <t>COR-RLW</t>
  </si>
  <si>
    <t>LAS PALMAS AIRPORT</t>
  </si>
  <si>
    <t>LP-APT</t>
  </si>
  <si>
    <t>MADRID ATOCHA STATION</t>
  </si>
  <si>
    <t>MAD-RLW</t>
  </si>
  <si>
    <t>MADRID BARAJAS AIRPORT</t>
  </si>
  <si>
    <t>MAD-APT</t>
  </si>
  <si>
    <t>MÁLAGA AIRPORT</t>
  </si>
  <si>
    <t>MAL-APT</t>
  </si>
  <si>
    <t>MALAGA MARIA ZAMBRANO STATION</t>
  </si>
  <si>
    <t>MAL-RLW</t>
  </si>
  <si>
    <t>MESTALLA STADIUM</t>
  </si>
  <si>
    <t>VCF-STD</t>
  </si>
  <si>
    <t>PALMA DE MALLORCA AIRPORT</t>
  </si>
  <si>
    <t>PM-APT</t>
  </si>
  <si>
    <t>RIAZOR STADIUM</t>
  </si>
  <si>
    <t>DEP-STD</t>
  </si>
  <si>
    <t>ROSALEDA STADIUM</t>
  </si>
  <si>
    <t>MAL-STD</t>
  </si>
  <si>
    <t>SAN MAMES STADIUM</t>
  </si>
  <si>
    <t>ATH-STD</t>
  </si>
  <si>
    <t>SEVILLA AIRPORT</t>
  </si>
  <si>
    <t>SEV-APT</t>
  </si>
  <si>
    <t>SEVILLA SANTA JUSTA STATION</t>
  </si>
  <si>
    <t>SEV-RLW</t>
  </si>
  <si>
    <t>VALENCIA AIRPORT</t>
  </si>
  <si>
    <t>VLC-APT</t>
  </si>
  <si>
    <t>VALENCIA JOAQUIN SOROLLA STATION</t>
  </si>
  <si>
    <t>VLC-RLW</t>
  </si>
  <si>
    <t>ZARAGOZA DELICIAS STATION</t>
  </si>
  <si>
    <t>ZAR-RLW</t>
  </si>
  <si>
    <t>JACA</t>
  </si>
  <si>
    <t>ALCOY</t>
  </si>
  <si>
    <t>ALMENDRALEJO</t>
  </si>
  <si>
    <t>ANTEQUERA</t>
  </si>
  <si>
    <t>ARANJUEZ</t>
  </si>
  <si>
    <t>AVILES</t>
  </si>
  <si>
    <t>BAILEN</t>
  </si>
  <si>
    <t>BETANZOS</t>
  </si>
  <si>
    <t>CALAHORRA</t>
  </si>
  <si>
    <t>CARMONA</t>
  </si>
  <si>
    <t>CHIVA</t>
  </si>
  <si>
    <t>COLLADO VILLALBA</t>
  </si>
  <si>
    <t>COLLADOVILLALBA</t>
  </si>
  <si>
    <t>ECIJA</t>
  </si>
  <si>
    <t>FRAGA</t>
  </si>
  <si>
    <t>GALDAR</t>
  </si>
  <si>
    <t>LA CAROLINA</t>
  </si>
  <si>
    <t>LACAROLINA</t>
  </si>
  <si>
    <t>LA OROTAVA</t>
  </si>
  <si>
    <t>LAOROTAVA</t>
  </si>
  <si>
    <t>LOJA</t>
  </si>
  <si>
    <t>LOSREALEJOS</t>
  </si>
  <si>
    <t>MADRIDEJOS</t>
  </si>
  <si>
    <t>MAZARRON</t>
  </si>
  <si>
    <t>MERIDA</t>
  </si>
  <si>
    <t>MIRANDA DE EBRO</t>
  </si>
  <si>
    <t>MIRANDADEEBRO</t>
  </si>
  <si>
    <t>ALCALA DE HENARES</t>
  </si>
  <si>
    <t>ALCALADEHENARES</t>
  </si>
  <si>
    <t>ALCOBENDAS</t>
  </si>
  <si>
    <t>ALCORCON</t>
  </si>
  <si>
    <t>BOADILLA DEL MONTE</t>
  </si>
  <si>
    <t>BOADILLADELMONTE</t>
  </si>
  <si>
    <t>COLMENAR VIEJO</t>
  </si>
  <si>
    <t>COLMENARVIEJO</t>
  </si>
  <si>
    <t>COSLADA</t>
  </si>
  <si>
    <t>FUENLABRADA</t>
  </si>
  <si>
    <t>GETAFE</t>
  </si>
  <si>
    <t>LAS ROZAS DE MADRID</t>
  </si>
  <si>
    <t>LASROZASDEMADRID</t>
  </si>
  <si>
    <t>CANGAS</t>
  </si>
  <si>
    <t>REDONDELA</t>
  </si>
  <si>
    <t>VILLAVICIOSA</t>
  </si>
  <si>
    <t>EL CAMPELLO</t>
  </si>
  <si>
    <t>ELCAMPELLO</t>
  </si>
  <si>
    <t>SAN VICENTE DEL RASPEIG</t>
  </si>
  <si>
    <t>SANVICENTEDELRASPEIG</t>
  </si>
  <si>
    <t>BADALONA</t>
  </si>
  <si>
    <t>BARBERA DEL VALLES</t>
  </si>
  <si>
    <t>BARBERADELVALLES</t>
  </si>
  <si>
    <t>CASTELLDEFELS</t>
  </si>
  <si>
    <t>CERDANOLA DEL VALLES</t>
  </si>
  <si>
    <t>CERDANOLADELVALLES</t>
  </si>
  <si>
    <t>CORNELLA DE LLOBREGAT</t>
  </si>
  <si>
    <t>CORNELLADELLOBREGAT</t>
  </si>
  <si>
    <t>EL PRAT DE LLOBREGAT</t>
  </si>
  <si>
    <t>ELPRATDELLOBREGAT</t>
  </si>
  <si>
    <t>ESPLUGUES DE LLOBREGAT</t>
  </si>
  <si>
    <t>ESPLUGUESDELLOBREGAT</t>
  </si>
  <si>
    <t>GAVA</t>
  </si>
  <si>
    <t>GRANOLLERS</t>
  </si>
  <si>
    <t>MATARO</t>
  </si>
  <si>
    <t>MOLLET DEL VALLES</t>
  </si>
  <si>
    <t>MOLLETDELVALLES</t>
  </si>
  <si>
    <t>MONTCADAIREIXAC</t>
  </si>
  <si>
    <t>PREMIA DE MAR</t>
  </si>
  <si>
    <t>PREMIADEMAR</t>
  </si>
  <si>
    <t>RIPOLLET</t>
  </si>
  <si>
    <t>SABADELL</t>
  </si>
  <si>
    <t>SANTA COLOMA DE GRAMENET</t>
  </si>
  <si>
    <t>SANTACOLOMADEGRAMENET</t>
  </si>
  <si>
    <t>SANT ADRIA DE BESOS</t>
  </si>
  <si>
    <t>SANTADRIADEBESOS</t>
  </si>
  <si>
    <t>SANTANDREUDELABARCA</t>
  </si>
  <si>
    <t>SANTA PERPETUA DE MOGODA</t>
  </si>
  <si>
    <t>SANTAPERPETUADEMOGODA</t>
  </si>
  <si>
    <t>SANT BOI DE LLOBREGAT</t>
  </si>
  <si>
    <t>SANTBOIDELLOBREGAT</t>
  </si>
  <si>
    <t>SANT CUGAT DEL VALLES</t>
  </si>
  <si>
    <t>SANTCUGATDELVALLES</t>
  </si>
  <si>
    <t>SANT FELIU DE LLOBREGAT</t>
  </si>
  <si>
    <t>SANTFELIUDELLOBREGAT</t>
  </si>
  <si>
    <t>SANT JOAN DESPI</t>
  </si>
  <si>
    <t>SANTJOANDESPI</t>
  </si>
  <si>
    <t>SANT VICENC DELS HORTS</t>
  </si>
  <si>
    <t>SANTVICENCDELSHORTS</t>
  </si>
  <si>
    <t>VILADECANS</t>
  </si>
  <si>
    <t>BARAKALDO</t>
  </si>
  <si>
    <t>GALDAKAO</t>
  </si>
  <si>
    <t>GETXO</t>
  </si>
  <si>
    <t>LEIOA</t>
  </si>
  <si>
    <t>SANTURTZI</t>
  </si>
  <si>
    <t>CULLEREDO</t>
  </si>
  <si>
    <t>TERRASSA</t>
  </si>
  <si>
    <t>OLEIROS</t>
  </si>
  <si>
    <t>ALMAZORA/ALMASSORA</t>
  </si>
  <si>
    <t>ALMAZORAALMASSORA</t>
  </si>
  <si>
    <t>ONDA</t>
  </si>
  <si>
    <t>VILAREAL</t>
  </si>
  <si>
    <t>ARUCAS</t>
  </si>
  <si>
    <t>BAZA</t>
  </si>
  <si>
    <t>GUADIX</t>
  </si>
  <si>
    <t>MOLLERUSSA</t>
  </si>
  <si>
    <t>TARREGA</t>
  </si>
  <si>
    <t>BEMBIBRE</t>
  </si>
  <si>
    <t>SAHAGÚN</t>
  </si>
  <si>
    <t>SAHAGUN</t>
  </si>
  <si>
    <t>MAJADAHONDA</t>
  </si>
  <si>
    <t>MOSTOLES</t>
  </si>
  <si>
    <t>PARLA</t>
  </si>
  <si>
    <t>PINTO</t>
  </si>
  <si>
    <t>POZUELO DE ALARCON</t>
  </si>
  <si>
    <t>POZUELODEALARCON</t>
  </si>
  <si>
    <t>RIVAS VACIA-MADRID</t>
  </si>
  <si>
    <t>RIVASVACIAMADRID</t>
  </si>
  <si>
    <t>SAN FERNANDO DE HENARES</t>
  </si>
  <si>
    <t>SANFERNANDODEHENARES</t>
  </si>
  <si>
    <t>SAN SEBASTIAN DE LOS REYES</t>
  </si>
  <si>
    <t>SANSEBASTIANDELOSREYES</t>
  </si>
  <si>
    <t>TORREJON DE ARDOZ</t>
  </si>
  <si>
    <t>TORREJONDEARDOZ</t>
  </si>
  <si>
    <t>TRESCANTOS</t>
  </si>
  <si>
    <t>VALDEMORO</t>
  </si>
  <si>
    <t>VILLA VICIOSA DE ODON</t>
  </si>
  <si>
    <t>VILLAVICIOSADEODON</t>
  </si>
  <si>
    <t>BENALMADENA</t>
  </si>
  <si>
    <t>RINCON DE LA VICTORIA</t>
  </si>
  <si>
    <t>RINCONDELAVICTORIA</t>
  </si>
  <si>
    <t>TORREMOLINOS</t>
  </si>
  <si>
    <t>ALCANTARILLA</t>
  </si>
  <si>
    <t>MOLINA DE SEGURA</t>
  </si>
  <si>
    <t>MOLINADESEGURA</t>
  </si>
  <si>
    <t>ALCALA DE GUADAIRA</t>
  </si>
  <si>
    <t>ALCALADEGUADAIRA</t>
  </si>
  <si>
    <t>CAMAS</t>
  </si>
  <si>
    <t>CORIA DEL RIO</t>
  </si>
  <si>
    <t>CORIADELRIO</t>
  </si>
  <si>
    <t>DOS HERMANAS</t>
  </si>
  <si>
    <t>DOSHERMANAS</t>
  </si>
  <si>
    <t>MAIRENA DEL ALJARAFE</t>
  </si>
  <si>
    <t>MAIRENADELALJARAFE</t>
  </si>
  <si>
    <t>OSUNA</t>
  </si>
  <si>
    <t>ERRENTERIA</t>
  </si>
  <si>
    <t>IRUN</t>
  </si>
  <si>
    <t>AMPOSTA</t>
  </si>
  <si>
    <t>ALAQUAS</t>
  </si>
  <si>
    <t>ALDAIA</t>
  </si>
  <si>
    <t>BURJASSOT</t>
  </si>
  <si>
    <t>CATARROJA</t>
  </si>
  <si>
    <t>MANISES</t>
  </si>
  <si>
    <t>MISLATA</t>
  </si>
  <si>
    <t>PATERNA</t>
  </si>
  <si>
    <t>QUART DE POBLET</t>
  </si>
  <si>
    <t>QUARTDEPOBLET</t>
  </si>
  <si>
    <t>TORRENT</t>
  </si>
  <si>
    <t>SIERO</t>
  </si>
  <si>
    <t>VALDES</t>
  </si>
  <si>
    <t>XIRIVELLA</t>
  </si>
  <si>
    <t>PENAFIEL</t>
  </si>
  <si>
    <t>CAMARGO</t>
  </si>
  <si>
    <t>ARGANDA DEL REY</t>
  </si>
  <si>
    <t>ARGANDADELREY</t>
  </si>
  <si>
    <t>ARROYOMOLINOS</t>
  </si>
  <si>
    <t>GALAPAGAR</t>
  </si>
  <si>
    <t>EL EJIDO</t>
  </si>
  <si>
    <t>ELEJIDO</t>
  </si>
  <si>
    <t>CALP</t>
  </si>
  <si>
    <t>DENIA</t>
  </si>
  <si>
    <t>LAVILLAJOYOSA</t>
  </si>
  <si>
    <t>NOVELDA</t>
  </si>
  <si>
    <t>PETRER</t>
  </si>
  <si>
    <t>SANTA POLA</t>
  </si>
  <si>
    <t>SANTAPOLA</t>
  </si>
  <si>
    <t>VILLENA</t>
  </si>
  <si>
    <t>XABIA</t>
  </si>
  <si>
    <t>ALMANSA</t>
  </si>
  <si>
    <t>HELLIN</t>
  </si>
  <si>
    <t>VILLARROBLEDO</t>
  </si>
  <si>
    <t>MOLINSDEREI</t>
  </si>
  <si>
    <t>PINEDA DE MAR</t>
  </si>
  <si>
    <t>PINEDADEMAR</t>
  </si>
  <si>
    <t>SANT PERE DE RIBES</t>
  </si>
  <si>
    <t>SANTPEREDERIBES</t>
  </si>
  <si>
    <t>VIC</t>
  </si>
  <si>
    <t>DON BENITO</t>
  </si>
  <si>
    <t>DONBENITO</t>
  </si>
  <si>
    <t>VILLANUEVA DE LA SERENA</t>
  </si>
  <si>
    <t>VILLANUEVADELASERENA</t>
  </si>
  <si>
    <t>PUERTO REAL</t>
  </si>
  <si>
    <t>PUERTOREAL</t>
  </si>
  <si>
    <t>ARCOS DE LA FRONTERA</t>
  </si>
  <si>
    <t>ARCOSDELAFRONTERA</t>
  </si>
  <si>
    <t>LA LINEA DE LA CONCEPCION</t>
  </si>
  <si>
    <t>LALINEADELACONCEPCION</t>
  </si>
  <si>
    <t>LUCENA</t>
  </si>
  <si>
    <t>PUENTE GENIL</t>
  </si>
  <si>
    <t>PUENTEGENIL</t>
  </si>
  <si>
    <t>ALCAZAR DE SAN JUAN</t>
  </si>
  <si>
    <t>ALCAZARDESANJUAN</t>
  </si>
  <si>
    <t>CIUDAD REAL</t>
  </si>
  <si>
    <t>CIUDADREAL</t>
  </si>
  <si>
    <t>PUERTOLLANO</t>
  </si>
  <si>
    <t>ROTA</t>
  </si>
  <si>
    <t>SAN FERNANDO</t>
  </si>
  <si>
    <t>SANFERNANDO</t>
  </si>
  <si>
    <t>TOMELLOSO</t>
  </si>
  <si>
    <t>SAN LUCAR DE BARRAMEDA</t>
  </si>
  <si>
    <t>SANLUCARDEBARRAMEDA</t>
  </si>
  <si>
    <t>CALVIA</t>
  </si>
  <si>
    <t>INCA</t>
  </si>
  <si>
    <t>CANDELARIA</t>
  </si>
  <si>
    <t>BENICARLO</t>
  </si>
  <si>
    <t>LLUCMAJOR</t>
  </si>
  <si>
    <t>GRANADILLA DE ABONA</t>
  </si>
  <si>
    <t>GRANADILLADEABONA</t>
  </si>
  <si>
    <t>BORRIANABURRIANA</t>
  </si>
  <si>
    <t>LAVALLDUIXO</t>
  </si>
  <si>
    <t>BLANES</t>
  </si>
  <si>
    <t>FIGUERES</t>
  </si>
  <si>
    <t>OLOT</t>
  </si>
  <si>
    <t>SALT</t>
  </si>
  <si>
    <t>ALMUÑECAR</t>
  </si>
  <si>
    <t>ALMUNECAR</t>
  </si>
  <si>
    <t>CIUTADELLA DE MENORCA</t>
  </si>
  <si>
    <t>CIUTADELLADEMENORCA</t>
  </si>
  <si>
    <t>MAO</t>
  </si>
  <si>
    <t>AGUIMES</t>
  </si>
  <si>
    <t>INGENIO</t>
  </si>
  <si>
    <t>SANTALUCIADETIRAJANA</t>
  </si>
  <si>
    <t>SANT JOSEP DE SA TALAIA</t>
  </si>
  <si>
    <t>SANTJOSEPDESATALAIA</t>
  </si>
  <si>
    <t>AZUQUECADEHENARES</t>
  </si>
  <si>
    <t>LEPE</t>
  </si>
  <si>
    <t>SANTAEULALIADELRIO</t>
  </si>
  <si>
    <t>PUERTO DEL ROSARIO</t>
  </si>
  <si>
    <t>PUERTODELROSARIO</t>
  </si>
  <si>
    <t>UBEDA</t>
  </si>
  <si>
    <t>PONFERRADA</t>
  </si>
  <si>
    <t>SAN ANDRES DEL RABANEDO</t>
  </si>
  <si>
    <t>SANANDRESDELRABANEDO</t>
  </si>
  <si>
    <t>NAVALCARNERO</t>
  </si>
  <si>
    <t>ALHAURIN DE LA TORRE</t>
  </si>
  <si>
    <t>ALHAURINDELATORRE</t>
  </si>
  <si>
    <t>RONDA</t>
  </si>
  <si>
    <t>VELEZ-MALAGA</t>
  </si>
  <si>
    <t>VELEZMALAGA</t>
  </si>
  <si>
    <t>AGUILAS</t>
  </si>
  <si>
    <t>CARAVACA DE LA CRUZ</t>
  </si>
  <si>
    <t>CARAVACADELACRUZ</t>
  </si>
  <si>
    <t>CIEZA</t>
  </si>
  <si>
    <t>JUMILLA</t>
  </si>
  <si>
    <t>SAN JAVIER</t>
  </si>
  <si>
    <t>SANJAVIER</t>
  </si>
  <si>
    <t>TORRE-PACHECO</t>
  </si>
  <si>
    <t>TORREPACHECO</t>
  </si>
  <si>
    <t>YECLA</t>
  </si>
  <si>
    <t>LA RINCONADA</t>
  </si>
  <si>
    <t>LARINCONADA</t>
  </si>
  <si>
    <t>LEBRIJA</t>
  </si>
  <si>
    <t>LOS PALACIOS Y VILLAFRANCA</t>
  </si>
  <si>
    <t>LOSPALACIOSYVILLAFRANCA</t>
  </si>
  <si>
    <t>MORON DE LA FRONTERA</t>
  </si>
  <si>
    <t>MORONDELAFRONTERA</t>
  </si>
  <si>
    <t>UTRERA</t>
  </si>
  <si>
    <t>REUS</t>
  </si>
  <si>
    <t>TORTOSA</t>
  </si>
  <si>
    <t>VALLS</t>
  </si>
  <si>
    <t>ILLESCAS</t>
  </si>
  <si>
    <t>TALAVERA DE LA REINA</t>
  </si>
  <si>
    <t>TALAVERADELAREINA</t>
  </si>
  <si>
    <t>ALZIRA</t>
  </si>
  <si>
    <t>OLIVA</t>
  </si>
  <si>
    <t>ONTINENT</t>
  </si>
  <si>
    <t>MIJAS</t>
  </si>
  <si>
    <t>AVE ALBACETE-ALICANTE</t>
  </si>
  <si>
    <t>AVE-ALBACETE-ALICANTE</t>
  </si>
  <si>
    <t>AVE BARCELONA-FIGUERAS</t>
  </si>
  <si>
    <t>AVE-BARCELONA-FIGUERAS</t>
  </si>
  <si>
    <t>AVE CORDOBA-MALAGA</t>
  </si>
  <si>
    <t>AVE-CORDOBA-MALAGA</t>
  </si>
  <si>
    <t>AVE MADRID-VALLADOLID</t>
  </si>
  <si>
    <t>AVE-MADRID-VALLADOLID</t>
  </si>
  <si>
    <t>AVE MOTILLA-ALBACETE</t>
  </si>
  <si>
    <t>AVE-MOTILLA-ALBACETE</t>
  </si>
  <si>
    <t>AVE SANTIAGO-OURENSE</t>
  </si>
  <si>
    <t>AVE-SANTIAGO-ORENSE</t>
  </si>
  <si>
    <t>AVE VALLADOLID-LEON</t>
  </si>
  <si>
    <t>AVE-VALLADOLID-LEON</t>
  </si>
  <si>
    <t>ALB-ALI</t>
  </si>
  <si>
    <t>BCN-FIG</t>
  </si>
  <si>
    <t>COR-MAL</t>
  </si>
  <si>
    <t>MAD-VALLA</t>
  </si>
  <si>
    <t>MOT-ALB</t>
  </si>
  <si>
    <t>SGO-OUR</t>
  </si>
  <si>
    <t>VALLA-LEO</t>
  </si>
  <si>
    <t>NAVALMORAL DE LA MATA</t>
  </si>
  <si>
    <t>NAVALMORALDELAMATA</t>
  </si>
  <si>
    <t>BARAÑAIN</t>
  </si>
  <si>
    <t>BARANAIN</t>
  </si>
  <si>
    <t>BURLADA/BURLATA</t>
  </si>
  <si>
    <t>BURLADABURLATA</t>
  </si>
  <si>
    <t>ESPARREGUERA</t>
  </si>
  <si>
    <t>UTEBO</t>
  </si>
  <si>
    <t>SAN BARTOLOME</t>
  </si>
  <si>
    <t>SANBARTOLOME</t>
  </si>
  <si>
    <t>SANT ANTONI DE PORTMAN</t>
  </si>
  <si>
    <t>SANTANTONIDEPORTMAN</t>
  </si>
  <si>
    <t>CASTRILLON</t>
  </si>
  <si>
    <t>IBI</t>
  </si>
  <si>
    <t>MUTXAMEL</t>
  </si>
  <si>
    <t>PILAR DE LA HORADADA</t>
  </si>
  <si>
    <t>PILARDELAHORADADA</t>
  </si>
  <si>
    <t>SANT JOAN DALACANT</t>
  </si>
  <si>
    <t>SANTJOANDALACANT</t>
  </si>
  <si>
    <t>CANOVELLES</t>
  </si>
  <si>
    <t>EL MASNOU</t>
  </si>
  <si>
    <t>ELMASNOU</t>
  </si>
  <si>
    <t>LES FRANQUESES DEL VALLES</t>
  </si>
  <si>
    <t>LESFRANQUESESDELVALLES</t>
  </si>
  <si>
    <t>MONTORNES DEL VALLES</t>
  </si>
  <si>
    <t>MONTORNESDELVALLES</t>
  </si>
  <si>
    <t>PARETS DEL VALLES</t>
  </si>
  <si>
    <t>PARETSDELVALLES</t>
  </si>
  <si>
    <t>SANT JUST DES VERN</t>
  </si>
  <si>
    <t>SANTJUSTDESVERN</t>
  </si>
  <si>
    <t>VILASSAR DE MAR</t>
  </si>
  <si>
    <t>VILASSARDEMAR</t>
  </si>
  <si>
    <t>AMOREBIETA ETXANO</t>
  </si>
  <si>
    <t>AMOREBIETAETXANO</t>
  </si>
  <si>
    <t>ERANDIO</t>
  </si>
  <si>
    <t>ERMUA</t>
  </si>
  <si>
    <t>LOS BARRIOS</t>
  </si>
  <si>
    <t>LOSBARRIOS</t>
  </si>
  <si>
    <t>CABRA</t>
  </si>
  <si>
    <t>MONTILLA</t>
  </si>
  <si>
    <t>PALMA DEL RIO</t>
  </si>
  <si>
    <t>PALMADELRIO</t>
  </si>
  <si>
    <t>PRIEGO DE CORDOBA</t>
  </si>
  <si>
    <t>PRIEGODECORDOBA</t>
  </si>
  <si>
    <t>DAIMIEL</t>
  </si>
  <si>
    <t>LA SOLANA</t>
  </si>
  <si>
    <t>LASOLANA</t>
  </si>
  <si>
    <t>MANZANARES</t>
  </si>
  <si>
    <t>PALAFRUGELL</t>
  </si>
  <si>
    <t>SANT FELIU DE GUIXOLS</t>
  </si>
  <si>
    <t>SANTFELIUDEGUIXOLS</t>
  </si>
  <si>
    <t>ALBOLOTE</t>
  </si>
  <si>
    <t>ARMILLA</t>
  </si>
  <si>
    <t>ATARFE</t>
  </si>
  <si>
    <t>LAS GABIAS</t>
  </si>
  <si>
    <t>LASGABIAS</t>
  </si>
  <si>
    <t>LA ZUBIA</t>
  </si>
  <si>
    <t>LAZUBIA</t>
  </si>
  <si>
    <t>MARACENA</t>
  </si>
  <si>
    <t>SANTA FE</t>
  </si>
  <si>
    <t>SANTAFE</t>
  </si>
  <si>
    <t>ALJARAQUE</t>
  </si>
  <si>
    <t>ALCALA LA REAL</t>
  </si>
  <si>
    <t>ALCALALAREAL</t>
  </si>
  <si>
    <t>BAEZA</t>
  </si>
  <si>
    <t>MARTOS</t>
  </si>
  <si>
    <t>ALGETE</t>
  </si>
  <si>
    <t>ALHAURIN EL GRANDE</t>
  </si>
  <si>
    <t>ALHAURINELGRANDE</t>
  </si>
  <si>
    <t>CARTAMA</t>
  </si>
  <si>
    <t>COIN</t>
  </si>
  <si>
    <t>NERJA</t>
  </si>
  <si>
    <t>TORROX</t>
  </si>
  <si>
    <t>LAS TORRES DE COTILLAS</t>
  </si>
  <si>
    <t>LASTORRESDECOTILLAS</t>
  </si>
  <si>
    <t>LA UNION</t>
  </si>
  <si>
    <t>LAUNION</t>
  </si>
  <si>
    <t>LOS ALCAZARES</t>
  </si>
  <si>
    <t>LOSALCAZARES</t>
  </si>
  <si>
    <t>SAN PEDRO DEL PINATAR</t>
  </si>
  <si>
    <t>SANPEDRODELPINATAR</t>
  </si>
  <si>
    <t>ARAHAL</t>
  </si>
  <si>
    <t>BORMUJOS</t>
  </si>
  <si>
    <t>CASTILLEJA DE LA CUESTA</t>
  </si>
  <si>
    <t>CASTILLEJADELACUESTA</t>
  </si>
  <si>
    <t>EL VISO DEL ALCOR</t>
  </si>
  <si>
    <t>ELVISODELALCOR</t>
  </si>
  <si>
    <t>LA ALGABA</t>
  </si>
  <si>
    <t>LAALGABA</t>
  </si>
  <si>
    <t>LORA DEL RIO</t>
  </si>
  <si>
    <t>LORADELRIO</t>
  </si>
  <si>
    <t>MAIRENA DEL ALCOR</t>
  </si>
  <si>
    <t>MAIRENADELALCOR</t>
  </si>
  <si>
    <t>SAN JUAN DE AZNALFARACHE</t>
  </si>
  <si>
    <t>SANJUANDEAZNALFARACHE</t>
  </si>
  <si>
    <t>TOMARES</t>
  </si>
  <si>
    <t>ARRASATE/MONDRAGON</t>
  </si>
  <si>
    <t>ARRASATEMONDRAGON</t>
  </si>
  <si>
    <t>HONDARRIBIA</t>
  </si>
  <si>
    <t>PASAIA</t>
  </si>
  <si>
    <t>VILASECA</t>
  </si>
  <si>
    <t>ALBAL</t>
  </si>
  <si>
    <t>ALBORAYA</t>
  </si>
  <si>
    <t>ALFAFAR</t>
  </si>
  <si>
    <t>MONCADA</t>
  </si>
  <si>
    <t>PAIPORTA</t>
  </si>
  <si>
    <t>RIBAROJA DE TURIA</t>
  </si>
  <si>
    <t>RIBAROJADETURIA</t>
  </si>
  <si>
    <t>SILLA</t>
  </si>
  <si>
    <t>ARROYO DE LA ENCOMIENDA</t>
  </si>
  <si>
    <t>ARROYODELAENCOMIENDA</t>
  </si>
  <si>
    <t>LAGUNA DE DUERO</t>
  </si>
  <si>
    <t>LAGUNADEDUERO</t>
  </si>
  <si>
    <t>MEDINA DEL CAMPO</t>
  </si>
  <si>
    <t>MEDINADELCAMPO</t>
  </si>
  <si>
    <t>SANT QUIRZE DEL VALLES</t>
  </si>
  <si>
    <t>SANTQUIRZEDELVALLES</t>
  </si>
  <si>
    <t>ADRA</t>
  </si>
  <si>
    <t>HUERCAL DE ALMERIA</t>
  </si>
  <si>
    <t>HUERCALDEALMERIA</t>
  </si>
  <si>
    <t>VICAR</t>
  </si>
  <si>
    <t>CIEMPOZUELOS</t>
  </si>
  <si>
    <t>HUMANES DE MADRID</t>
  </si>
  <si>
    <t>HUMANESDEMADRID</t>
  </si>
  <si>
    <t>MEJORADA DEL CAMPO</t>
  </si>
  <si>
    <t>MEJORADADELCAMPO</t>
  </si>
  <si>
    <t>PARACUELLOS DE JARAMA</t>
  </si>
  <si>
    <t>PARACUELLOSDEJARAMA</t>
  </si>
  <si>
    <t>TORRELODONES</t>
  </si>
  <si>
    <t>VILLANUEVA DEL PARDILLO</t>
  </si>
  <si>
    <t>VILLANUEVADELPARDILLO</t>
  </si>
  <si>
    <t>AVE OLMEDO-ZAMORA</t>
  </si>
  <si>
    <t>OLM-ZAM</t>
  </si>
  <si>
    <t>Nombre BD</t>
  </si>
  <si>
    <t>3G</t>
  </si>
  <si>
    <t>H2</t>
  </si>
  <si>
    <t>FTP</t>
  </si>
  <si>
    <t>H1\NO_LA</t>
  </si>
  <si>
    <t>Dash_automatico</t>
  </si>
  <si>
    <t>Dash</t>
  </si>
  <si>
    <t>Entidad</t>
  </si>
  <si>
    <t>Etiquetas de fila</t>
  </si>
  <si>
    <t>ALCUDIA_4G</t>
  </si>
  <si>
    <t>ALGEMESI_3G</t>
  </si>
  <si>
    <t>ALMONTE_4G</t>
  </si>
  <si>
    <t>ARROYOMOLINOS_4G</t>
  </si>
  <si>
    <t>AZUQUECADEHENARES_3G</t>
  </si>
  <si>
    <t>BARCELONA_4G</t>
  </si>
  <si>
    <t>BASAURI_3G</t>
  </si>
  <si>
    <t>BASAURI_4G</t>
  </si>
  <si>
    <t>BILBAO_4G</t>
  </si>
  <si>
    <t>CARTAGENA_4G</t>
  </si>
  <si>
    <t>ELDA_3G</t>
  </si>
  <si>
    <t>IBIZA_3G</t>
  </si>
  <si>
    <t>IBIZA_4G</t>
  </si>
  <si>
    <t>IGUALADA_4G</t>
  </si>
  <si>
    <t>LANGREO_4G</t>
  </si>
  <si>
    <t>LAVALLDUIXO_4G</t>
  </si>
  <si>
    <t>LAVILLAJOYOSA_4G</t>
  </si>
  <si>
    <t>LEGANES_4G</t>
  </si>
  <si>
    <t>LLANES_3G</t>
  </si>
  <si>
    <t>LOSREALEJOS_3G</t>
  </si>
  <si>
    <t>MALLORCA_3G</t>
  </si>
  <si>
    <t>MALLORCA_4G</t>
  </si>
  <si>
    <t>MANACOR_3G</t>
  </si>
  <si>
    <t>MANACOR_4G</t>
  </si>
  <si>
    <t>MANRESA_4G</t>
  </si>
  <si>
    <t>MOGAN_3G</t>
  </si>
  <si>
    <t>MOGUER_3G</t>
  </si>
  <si>
    <t>MONTCADAIREIXAC_4G</t>
  </si>
  <si>
    <t>PAJARA_4G</t>
  </si>
  <si>
    <t>PALMAS_3G</t>
  </si>
  <si>
    <t>PALMAS_4G</t>
  </si>
  <si>
    <t>PORTUGALETE_4G</t>
  </si>
  <si>
    <t>PTOSANTAMARIA_3G</t>
  </si>
  <si>
    <t>SANCRISTOBALDELALAGUNA_3G</t>
  </si>
  <si>
    <t>SANTAEULALIADELRIO_3G</t>
  </si>
  <si>
    <t>SANTAEULALIADELRIO_4G</t>
  </si>
  <si>
    <t>SANTALUCIADETIRAJANA_4G</t>
  </si>
  <si>
    <t>SANTANDREUDELABARCA_3G</t>
  </si>
  <si>
    <t>SESTAO_3G</t>
  </si>
  <si>
    <t>TENERIFE_4G</t>
  </si>
  <si>
    <t>TIAS_3G</t>
  </si>
  <si>
    <t>TIAS_4G</t>
  </si>
  <si>
    <t>TIRAJANA_3G</t>
  </si>
  <si>
    <t>TIRAJANA_4G</t>
  </si>
  <si>
    <t>UTIEL_3G</t>
  </si>
  <si>
    <t>YAIZA_3G</t>
  </si>
  <si>
    <t>YAIZA_4G</t>
  </si>
  <si>
    <t>(en blanco)</t>
  </si>
  <si>
    <t>Total general</t>
  </si>
  <si>
    <t>Dash Auto</t>
  </si>
  <si>
    <t>OK</t>
  </si>
  <si>
    <t>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</si>
</sst>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\ _€_-;\-* #,##0.00\ _€_-;_-* &quot;-&quot;??\ _€_-;_-@_-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0"/>
      <name val="Arial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0"/>
      <color theme="1"/>
      <name val="Tahoma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0"/>
      <color indexed="8"/>
      <name val="Tahoma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6036">
    <xf numFmtId="0" fontId="0" fillId="0" borderId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3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1" fillId="47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17" fillId="12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7" fillId="1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7" fillId="24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17" fillId="28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7" fillId="32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51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48" borderId="0" applyNumberFormat="0" applyBorder="0" applyAlignment="0" applyProtection="0"/>
    <xf numFmtId="0" fontId="21" fillId="49" borderId="0" applyNumberFormat="0" applyBorder="0" applyAlignment="0" applyProtection="0"/>
    <xf numFmtId="0" fontId="21" fillId="54" borderId="0" applyNumberFormat="0" applyBorder="0" applyAlignment="0" applyProtection="0"/>
    <xf numFmtId="0" fontId="22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6" fillId="2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4" fillId="45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11" fillId="6" borderId="4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4" fillId="39" borderId="10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13" fillId="7" borderId="7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5" fillId="55" borderId="11" applyNumberFormat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12" fillId="0" borderId="6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6" fillId="0" borderId="12" applyNumberFormat="0" applyFill="0" applyAlignment="0" applyProtection="0"/>
    <xf numFmtId="0" fontId="25" fillId="55" borderId="11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17" fillId="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17" fillId="13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7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17" fillId="21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5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17" fillId="25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29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9" fillId="5" borderId="4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8" fillId="38" borderId="10" applyNumberFormat="0" applyAlignment="0" applyProtection="0"/>
    <xf numFmtId="0" fontId="29" fillId="0" borderId="0" applyNumberFormat="0" applyFill="0" applyBorder="0" applyAlignment="0" applyProtection="0"/>
    <xf numFmtId="0" fontId="23" fillId="35" borderId="0" applyNumberFormat="0" applyBorder="0" applyAlignment="0" applyProtection="0"/>
    <xf numFmtId="0" fontId="30" fillId="0" borderId="13" applyNumberFormat="0" applyFill="0" applyAlignment="0" applyProtection="0"/>
    <xf numFmtId="0" fontId="31" fillId="0" borderId="14" applyNumberFormat="0" applyFill="0" applyAlignment="0" applyProtection="0"/>
    <xf numFmtId="0" fontId="32" fillId="0" borderId="15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7" fillId="3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2" fillId="34" borderId="0" applyNumberFormat="0" applyBorder="0" applyAlignment="0" applyProtection="0"/>
    <xf numFmtId="0" fontId="28" fillId="38" borderId="10" applyNumberFormat="0" applyAlignment="0" applyProtection="0"/>
    <xf numFmtId="0" fontId="26" fillId="0" borderId="12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Border="0" applyAlignment="0" applyProtection="0"/>
    <xf numFmtId="43" fontId="34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4" fillId="0" borderId="0" applyBorder="0" applyAlignment="0" applyProtection="0"/>
    <xf numFmtId="43" fontId="34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8" fillId="4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35" fillId="46" borderId="0" applyNumberFormat="0" applyBorder="0" applyAlignment="0" applyProtection="0"/>
    <xf numFmtId="0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0" borderId="0"/>
    <xf numFmtId="0" fontId="1" fillId="0" borderId="0"/>
    <xf numFmtId="0" fontId="20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37" fillId="0" borderId="0"/>
    <xf numFmtId="0" fontId="20" fillId="0" borderId="0"/>
    <xf numFmtId="0" fontId="20" fillId="0" borderId="0"/>
    <xf numFmtId="0" fontId="20" fillId="0" borderId="0"/>
    <xf numFmtId="0" fontId="38" fillId="0" borderId="0">
      <alignment vertical="top"/>
      <protection locked="0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8" fillId="0" borderId="0">
      <alignment vertical="top"/>
      <protection locked="0"/>
    </xf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9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34" fillId="0" borderId="0"/>
    <xf numFmtId="0" fontId="34" fillId="0" borderId="0"/>
    <xf numFmtId="0" fontId="34" fillId="0" borderId="0" applyNumberFormat="0" applyFont="0" applyFill="0" applyBorder="0" applyAlignment="0" applyProtection="0"/>
    <xf numFmtId="0" fontId="34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34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4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20" fillId="40" borderId="16" applyNumberFormat="0" applyFont="0" applyAlignment="0" applyProtection="0"/>
    <xf numFmtId="0" fontId="41" fillId="45" borderId="17" applyNumberFormat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42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10" fillId="6" borderId="5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41" fillId="39" borderId="17" applyNumberFormat="0" applyAlignment="0" applyProtection="0"/>
    <xf numFmtId="0" fontId="37" fillId="0" borderId="0"/>
    <xf numFmtId="0" fontId="34" fillId="0" borderId="0"/>
    <xf numFmtId="0" fontId="34" fillId="0" borderId="0"/>
    <xf numFmtId="43" fontId="34" fillId="0" borderId="0" applyBorder="0" applyAlignment="0" applyProtection="0"/>
    <xf numFmtId="43" fontId="34" fillId="0" borderId="0" applyBorder="0" applyAlignment="0" applyProtection="0"/>
    <xf numFmtId="43" fontId="34" fillId="0" borderId="0" applyBorder="0" applyAlignment="0" applyProtection="0"/>
    <xf numFmtId="43" fontId="34" fillId="0" borderId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3" fillId="0" borderId="1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5" fillId="0" borderId="18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" fillId="0" borderId="2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7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5" fillId="0" borderId="3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27" fillId="0" borderId="19" applyNumberFormat="0" applyFill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16" fillId="0" borderId="9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8" fillId="0" borderId="20" applyNumberFormat="0" applyFill="0" applyAlignment="0" applyProtection="0"/>
    <xf numFmtId="0" fontId="43" fillId="0" borderId="0" applyNumberFormat="0" applyFill="0" applyBorder="0" applyAlignment="0" applyProtection="0"/>
  </cellStyleXfs>
  <cellXfs count="10">
    <xf numFmtId="0" fontId="0" fillId="0" borderId="0" xfId="0"/>
    <xf numFmtId="0" fontId="18" fillId="0" borderId="0" xfId="0" applyFont="1" applyBorder="1" applyAlignment="1">
      <alignment vertical="center"/>
    </xf>
    <xf numFmtId="0" fontId="16" fillId="0" borderId="0" xfId="0" applyFont="1"/>
    <xf numFmtId="0" fontId="19" fillId="0" borderId="0" xfId="0" applyFont="1" applyBorder="1" applyAlignment="1">
      <alignment vertical="center"/>
    </xf>
    <xf numFmtId="0" fontId="0" fillId="0" borderId="0" xfId="0" applyFont="1" applyBorder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</cellXfs>
  <cellStyles count="6036">
    <cellStyle name="20% - Accent1" xfId="1"/>
    <cellStyle name="20% - Accent1 10" xfId="2"/>
    <cellStyle name="20% - Accent1 11" xfId="3"/>
    <cellStyle name="20% - Accent1 12" xfId="4"/>
    <cellStyle name="20% - Accent1 13" xfId="5"/>
    <cellStyle name="20% - Accent1 14" xfId="6"/>
    <cellStyle name="20% - Accent1 15" xfId="7"/>
    <cellStyle name="20% - Accent1 16" xfId="8"/>
    <cellStyle name="20% - Accent1 17" xfId="9"/>
    <cellStyle name="20% - Accent1 18" xfId="10"/>
    <cellStyle name="20% - Accent1 19" xfId="11"/>
    <cellStyle name="20% - Accent1 2" xfId="12"/>
    <cellStyle name="20% - Accent1 20" xfId="13"/>
    <cellStyle name="20% - Accent1 21" xfId="14"/>
    <cellStyle name="20% - Accent1 22" xfId="15"/>
    <cellStyle name="20% - Accent1 23" xfId="16"/>
    <cellStyle name="20% - Accent1 24" xfId="17"/>
    <cellStyle name="20% - Accent1 25" xfId="18"/>
    <cellStyle name="20% - Accent1 26" xfId="19"/>
    <cellStyle name="20% - Accent1 27" xfId="20"/>
    <cellStyle name="20% - Accent1 28" xfId="21"/>
    <cellStyle name="20% - Accent1 29" xfId="22"/>
    <cellStyle name="20% - Accent1 3" xfId="23"/>
    <cellStyle name="20% - Accent1 30" xfId="24"/>
    <cellStyle name="20% - Accent1 31" xfId="25"/>
    <cellStyle name="20% - Accent1 32" xfId="26"/>
    <cellStyle name="20% - Accent1 33" xfId="27"/>
    <cellStyle name="20% - Accent1 34" xfId="28"/>
    <cellStyle name="20% - Accent1 35" xfId="29"/>
    <cellStyle name="20% - Accent1 36" xfId="30"/>
    <cellStyle name="20% - Accent1 37" xfId="31"/>
    <cellStyle name="20% - Accent1 38" xfId="32"/>
    <cellStyle name="20% - Accent1 4" xfId="33"/>
    <cellStyle name="20% - Accent1 5" xfId="34"/>
    <cellStyle name="20% - Accent1 6" xfId="35"/>
    <cellStyle name="20% - Accent1 7" xfId="36"/>
    <cellStyle name="20% - Accent1 8" xfId="37"/>
    <cellStyle name="20% - Accent1 9" xfId="38"/>
    <cellStyle name="20% - Accent1_Canarias" xfId="39"/>
    <cellStyle name="20% - Accent2" xfId="40"/>
    <cellStyle name="20% - Accent2 10" xfId="41"/>
    <cellStyle name="20% - Accent2 11" xfId="42"/>
    <cellStyle name="20% - Accent2 12" xfId="43"/>
    <cellStyle name="20% - Accent2 13" xfId="44"/>
    <cellStyle name="20% - Accent2 14" xfId="45"/>
    <cellStyle name="20% - Accent2 15" xfId="46"/>
    <cellStyle name="20% - Accent2 16" xfId="47"/>
    <cellStyle name="20% - Accent2 17" xfId="48"/>
    <cellStyle name="20% - Accent2 18" xfId="49"/>
    <cellStyle name="20% - Accent2 19" xfId="50"/>
    <cellStyle name="20% - Accent2 2" xfId="51"/>
    <cellStyle name="20% - Accent2 20" xfId="52"/>
    <cellStyle name="20% - Accent2 21" xfId="53"/>
    <cellStyle name="20% - Accent2 22" xfId="54"/>
    <cellStyle name="20% - Accent2 23" xfId="55"/>
    <cellStyle name="20% - Accent2 24" xfId="56"/>
    <cellStyle name="20% - Accent2 25" xfId="57"/>
    <cellStyle name="20% - Accent2 26" xfId="58"/>
    <cellStyle name="20% - Accent2 27" xfId="59"/>
    <cellStyle name="20% - Accent2 28" xfId="60"/>
    <cellStyle name="20% - Accent2 29" xfId="61"/>
    <cellStyle name="20% - Accent2 3" xfId="62"/>
    <cellStyle name="20% - Accent2 30" xfId="63"/>
    <cellStyle name="20% - Accent2 31" xfId="64"/>
    <cellStyle name="20% - Accent2 32" xfId="65"/>
    <cellStyle name="20% - Accent2 33" xfId="66"/>
    <cellStyle name="20% - Accent2 34" xfId="67"/>
    <cellStyle name="20% - Accent2 35" xfId="68"/>
    <cellStyle name="20% - Accent2 36" xfId="69"/>
    <cellStyle name="20% - Accent2 37" xfId="70"/>
    <cellStyle name="20% - Accent2 38" xfId="71"/>
    <cellStyle name="20% - Accent2 4" xfId="72"/>
    <cellStyle name="20% - Accent2 5" xfId="73"/>
    <cellStyle name="20% - Accent2 6" xfId="74"/>
    <cellStyle name="20% - Accent2 7" xfId="75"/>
    <cellStyle name="20% - Accent2 8" xfId="76"/>
    <cellStyle name="20% - Accent2 9" xfId="77"/>
    <cellStyle name="20% - Accent2_Canarias" xfId="78"/>
    <cellStyle name="20% - Accent3" xfId="79"/>
    <cellStyle name="20% - Accent3 10" xfId="80"/>
    <cellStyle name="20% - Accent3 11" xfId="81"/>
    <cellStyle name="20% - Accent3 12" xfId="82"/>
    <cellStyle name="20% - Accent3 13" xfId="83"/>
    <cellStyle name="20% - Accent3 14" xfId="84"/>
    <cellStyle name="20% - Accent3 15" xfId="85"/>
    <cellStyle name="20% - Accent3 16" xfId="86"/>
    <cellStyle name="20% - Accent3 17" xfId="87"/>
    <cellStyle name="20% - Accent3 18" xfId="88"/>
    <cellStyle name="20% - Accent3 19" xfId="89"/>
    <cellStyle name="20% - Accent3 2" xfId="90"/>
    <cellStyle name="20% - Accent3 20" xfId="91"/>
    <cellStyle name="20% - Accent3 21" xfId="92"/>
    <cellStyle name="20% - Accent3 22" xfId="93"/>
    <cellStyle name="20% - Accent3 23" xfId="94"/>
    <cellStyle name="20% - Accent3 24" xfId="95"/>
    <cellStyle name="20% - Accent3 25" xfId="96"/>
    <cellStyle name="20% - Accent3 26" xfId="97"/>
    <cellStyle name="20% - Accent3 27" xfId="98"/>
    <cellStyle name="20% - Accent3 28" xfId="99"/>
    <cellStyle name="20% - Accent3 29" xfId="100"/>
    <cellStyle name="20% - Accent3 3" xfId="101"/>
    <cellStyle name="20% - Accent3 30" xfId="102"/>
    <cellStyle name="20% - Accent3 31" xfId="103"/>
    <cellStyle name="20% - Accent3 32" xfId="104"/>
    <cellStyle name="20% - Accent3 33" xfId="105"/>
    <cellStyle name="20% - Accent3 34" xfId="106"/>
    <cellStyle name="20% - Accent3 35" xfId="107"/>
    <cellStyle name="20% - Accent3 36" xfId="108"/>
    <cellStyle name="20% - Accent3 37" xfId="109"/>
    <cellStyle name="20% - Accent3 38" xfId="110"/>
    <cellStyle name="20% - Accent3 4" xfId="111"/>
    <cellStyle name="20% - Accent3 5" xfId="112"/>
    <cellStyle name="20% - Accent3 6" xfId="113"/>
    <cellStyle name="20% - Accent3 7" xfId="114"/>
    <cellStyle name="20% - Accent3 8" xfId="115"/>
    <cellStyle name="20% - Accent3 9" xfId="116"/>
    <cellStyle name="20% - Accent3_Canarias" xfId="117"/>
    <cellStyle name="20% - Accent4" xfId="118"/>
    <cellStyle name="20% - Accent4 10" xfId="119"/>
    <cellStyle name="20% - Accent4 11" xfId="120"/>
    <cellStyle name="20% - Accent4 12" xfId="121"/>
    <cellStyle name="20% - Accent4 13" xfId="122"/>
    <cellStyle name="20% - Accent4 14" xfId="123"/>
    <cellStyle name="20% - Accent4 15" xfId="124"/>
    <cellStyle name="20% - Accent4 16" xfId="125"/>
    <cellStyle name="20% - Accent4 17" xfId="126"/>
    <cellStyle name="20% - Accent4 18" xfId="127"/>
    <cellStyle name="20% - Accent4 19" xfId="128"/>
    <cellStyle name="20% - Accent4 2" xfId="129"/>
    <cellStyle name="20% - Accent4 20" xfId="130"/>
    <cellStyle name="20% - Accent4 21" xfId="131"/>
    <cellStyle name="20% - Accent4 22" xfId="132"/>
    <cellStyle name="20% - Accent4 23" xfId="133"/>
    <cellStyle name="20% - Accent4 24" xfId="134"/>
    <cellStyle name="20% - Accent4 25" xfId="135"/>
    <cellStyle name="20% - Accent4 26" xfId="136"/>
    <cellStyle name="20% - Accent4 27" xfId="137"/>
    <cellStyle name="20% - Accent4 28" xfId="138"/>
    <cellStyle name="20% - Accent4 29" xfId="139"/>
    <cellStyle name="20% - Accent4 3" xfId="140"/>
    <cellStyle name="20% - Accent4 30" xfId="141"/>
    <cellStyle name="20% - Accent4 31" xfId="142"/>
    <cellStyle name="20% - Accent4 32" xfId="143"/>
    <cellStyle name="20% - Accent4 33" xfId="144"/>
    <cellStyle name="20% - Accent4 34" xfId="145"/>
    <cellStyle name="20% - Accent4 35" xfId="146"/>
    <cellStyle name="20% - Accent4 36" xfId="147"/>
    <cellStyle name="20% - Accent4 37" xfId="148"/>
    <cellStyle name="20% - Accent4 38" xfId="149"/>
    <cellStyle name="20% - Accent4 4" xfId="150"/>
    <cellStyle name="20% - Accent4 5" xfId="151"/>
    <cellStyle name="20% - Accent4 6" xfId="152"/>
    <cellStyle name="20% - Accent4 7" xfId="153"/>
    <cellStyle name="20% - Accent4 8" xfId="154"/>
    <cellStyle name="20% - Accent4 9" xfId="155"/>
    <cellStyle name="20% - Accent4_Canarias" xfId="156"/>
    <cellStyle name="20% - Accent5" xfId="157"/>
    <cellStyle name="20% - Accent5 10" xfId="158"/>
    <cellStyle name="20% - Accent5 11" xfId="159"/>
    <cellStyle name="20% - Accent5 12" xfId="160"/>
    <cellStyle name="20% - Accent5 13" xfId="161"/>
    <cellStyle name="20% - Accent5 14" xfId="162"/>
    <cellStyle name="20% - Accent5 15" xfId="163"/>
    <cellStyle name="20% - Accent5 16" xfId="164"/>
    <cellStyle name="20% - Accent5 17" xfId="165"/>
    <cellStyle name="20% - Accent5 18" xfId="166"/>
    <cellStyle name="20% - Accent5 19" xfId="167"/>
    <cellStyle name="20% - Accent5 2" xfId="168"/>
    <cellStyle name="20% - Accent5 20" xfId="169"/>
    <cellStyle name="20% - Accent5 21" xfId="170"/>
    <cellStyle name="20% - Accent5 22" xfId="171"/>
    <cellStyle name="20% - Accent5 23" xfId="172"/>
    <cellStyle name="20% - Accent5 24" xfId="173"/>
    <cellStyle name="20% - Accent5 25" xfId="174"/>
    <cellStyle name="20% - Accent5 26" xfId="175"/>
    <cellStyle name="20% - Accent5 27" xfId="176"/>
    <cellStyle name="20% - Accent5 28" xfId="177"/>
    <cellStyle name="20% - Accent5 29" xfId="178"/>
    <cellStyle name="20% - Accent5 3" xfId="179"/>
    <cellStyle name="20% - Accent5 30" xfId="180"/>
    <cellStyle name="20% - Accent5 31" xfId="181"/>
    <cellStyle name="20% - Accent5 32" xfId="182"/>
    <cellStyle name="20% - Accent5 33" xfId="183"/>
    <cellStyle name="20% - Accent5 34" xfId="184"/>
    <cellStyle name="20% - Accent5 35" xfId="185"/>
    <cellStyle name="20% - Accent5 36" xfId="186"/>
    <cellStyle name="20% - Accent5 37" xfId="187"/>
    <cellStyle name="20% - Accent5 38" xfId="188"/>
    <cellStyle name="20% - Accent5 4" xfId="189"/>
    <cellStyle name="20% - Accent5 5" xfId="190"/>
    <cellStyle name="20% - Accent5 6" xfId="191"/>
    <cellStyle name="20% - Accent5 7" xfId="192"/>
    <cellStyle name="20% - Accent5 8" xfId="193"/>
    <cellStyle name="20% - Accent5 9" xfId="194"/>
    <cellStyle name="20% - Accent5_Canarias" xfId="195"/>
    <cellStyle name="20% - Accent6" xfId="196"/>
    <cellStyle name="20% - Accent6 10" xfId="197"/>
    <cellStyle name="20% - Accent6 11" xfId="198"/>
    <cellStyle name="20% - Accent6 12" xfId="199"/>
    <cellStyle name="20% - Accent6 13" xfId="200"/>
    <cellStyle name="20% - Accent6 14" xfId="201"/>
    <cellStyle name="20% - Accent6 15" xfId="202"/>
    <cellStyle name="20% - Accent6 16" xfId="203"/>
    <cellStyle name="20% - Accent6 17" xfId="204"/>
    <cellStyle name="20% - Accent6 18" xfId="205"/>
    <cellStyle name="20% - Accent6 19" xfId="206"/>
    <cellStyle name="20% - Accent6 2" xfId="207"/>
    <cellStyle name="20% - Accent6 20" xfId="208"/>
    <cellStyle name="20% - Accent6 21" xfId="209"/>
    <cellStyle name="20% - Accent6 22" xfId="210"/>
    <cellStyle name="20% - Accent6 23" xfId="211"/>
    <cellStyle name="20% - Accent6 24" xfId="212"/>
    <cellStyle name="20% - Accent6 25" xfId="213"/>
    <cellStyle name="20% - Accent6 26" xfId="214"/>
    <cellStyle name="20% - Accent6 27" xfId="215"/>
    <cellStyle name="20% - Accent6 28" xfId="216"/>
    <cellStyle name="20% - Accent6 29" xfId="217"/>
    <cellStyle name="20% - Accent6 3" xfId="218"/>
    <cellStyle name="20% - Accent6 30" xfId="219"/>
    <cellStyle name="20% - Accent6 31" xfId="220"/>
    <cellStyle name="20% - Accent6 32" xfId="221"/>
    <cellStyle name="20% - Accent6 33" xfId="222"/>
    <cellStyle name="20% - Accent6 34" xfId="223"/>
    <cellStyle name="20% - Accent6 35" xfId="224"/>
    <cellStyle name="20% - Accent6 36" xfId="225"/>
    <cellStyle name="20% - Accent6 37" xfId="226"/>
    <cellStyle name="20% - Accent6 38" xfId="227"/>
    <cellStyle name="20% - Accent6 4" xfId="228"/>
    <cellStyle name="20% - Accent6 5" xfId="229"/>
    <cellStyle name="20% - Accent6 6" xfId="230"/>
    <cellStyle name="20% - Accent6 7" xfId="231"/>
    <cellStyle name="20% - Accent6 8" xfId="232"/>
    <cellStyle name="20% - Accent6 9" xfId="233"/>
    <cellStyle name="20% - Accent6_Canarias" xfId="234"/>
    <cellStyle name="20% - Énfasis1 10" xfId="235"/>
    <cellStyle name="20% - Énfasis1 11" xfId="236"/>
    <cellStyle name="20% - Énfasis1 12" xfId="237"/>
    <cellStyle name="20% - Énfasis1 13" xfId="238"/>
    <cellStyle name="20% - Énfasis1 14" xfId="239"/>
    <cellStyle name="20% - Énfasis1 15" xfId="240"/>
    <cellStyle name="20% - Énfasis1 16" xfId="241"/>
    <cellStyle name="20% - Énfasis1 17" xfId="242"/>
    <cellStyle name="20% - Énfasis1 18" xfId="243"/>
    <cellStyle name="20% - Énfasis1 19" xfId="244"/>
    <cellStyle name="20% - Énfasis1 2" xfId="245"/>
    <cellStyle name="20% - Énfasis1 2 10" xfId="246"/>
    <cellStyle name="20% - Énfasis1 2 11" xfId="247"/>
    <cellStyle name="20% - Énfasis1 2 12" xfId="248"/>
    <cellStyle name="20% - Énfasis1 2 13" xfId="249"/>
    <cellStyle name="20% - Énfasis1 2 14" xfId="250"/>
    <cellStyle name="20% - Énfasis1 2 15" xfId="251"/>
    <cellStyle name="20% - Énfasis1 2 16" xfId="252"/>
    <cellStyle name="20% - Énfasis1 2 17" xfId="253"/>
    <cellStyle name="20% - Énfasis1 2 18" xfId="254"/>
    <cellStyle name="20% - Énfasis1 2 19" xfId="255"/>
    <cellStyle name="20% - Énfasis1 2 2" xfId="256"/>
    <cellStyle name="20% - Énfasis1 2 20" xfId="257"/>
    <cellStyle name="20% - Énfasis1 2 21" xfId="258"/>
    <cellStyle name="20% - Énfasis1 2 22" xfId="259"/>
    <cellStyle name="20% - Énfasis1 2 23" xfId="260"/>
    <cellStyle name="20% - Énfasis1 2 24" xfId="261"/>
    <cellStyle name="20% - Énfasis1 2 25" xfId="262"/>
    <cellStyle name="20% - Énfasis1 2 26" xfId="263"/>
    <cellStyle name="20% - Énfasis1 2 27" xfId="264"/>
    <cellStyle name="20% - Énfasis1 2 28" xfId="265"/>
    <cellStyle name="20% - Énfasis1 2 29" xfId="266"/>
    <cellStyle name="20% - Énfasis1 2 3" xfId="267"/>
    <cellStyle name="20% - Énfasis1 2 30" xfId="268"/>
    <cellStyle name="20% - Énfasis1 2 31" xfId="269"/>
    <cellStyle name="20% - Énfasis1 2 32" xfId="270"/>
    <cellStyle name="20% - Énfasis1 2 33" xfId="271"/>
    <cellStyle name="20% - Énfasis1 2 34" xfId="272"/>
    <cellStyle name="20% - Énfasis1 2 35" xfId="273"/>
    <cellStyle name="20% - Énfasis1 2 36" xfId="274"/>
    <cellStyle name="20% - Énfasis1 2 37" xfId="275"/>
    <cellStyle name="20% - Énfasis1 2 4" xfId="276"/>
    <cellStyle name="20% - Énfasis1 2 5" xfId="277"/>
    <cellStyle name="20% - Énfasis1 2 6" xfId="278"/>
    <cellStyle name="20% - Énfasis1 2 7" xfId="279"/>
    <cellStyle name="20% - Énfasis1 2 8" xfId="280"/>
    <cellStyle name="20% - Énfasis1 2 9" xfId="281"/>
    <cellStyle name="20% - Énfasis1 2_Equipo Centro" xfId="282"/>
    <cellStyle name="20% - Énfasis1 20" xfId="283"/>
    <cellStyle name="20% - Énfasis1 21" xfId="284"/>
    <cellStyle name="20% - Énfasis1 22" xfId="285"/>
    <cellStyle name="20% - Énfasis1 23" xfId="286"/>
    <cellStyle name="20% - Énfasis1 24" xfId="287"/>
    <cellStyle name="20% - Énfasis1 25" xfId="288"/>
    <cellStyle name="20% - Énfasis1 26" xfId="289"/>
    <cellStyle name="20% - Énfasis1 27" xfId="290"/>
    <cellStyle name="20% - Énfasis1 28" xfId="291"/>
    <cellStyle name="20% - Énfasis1 29" xfId="292"/>
    <cellStyle name="20% - Énfasis1 3" xfId="293"/>
    <cellStyle name="20% - Énfasis1 3 10" xfId="294"/>
    <cellStyle name="20% - Énfasis1 3 11" xfId="295"/>
    <cellStyle name="20% - Énfasis1 3 12" xfId="296"/>
    <cellStyle name="20% - Énfasis1 3 13" xfId="297"/>
    <cellStyle name="20% - Énfasis1 3 14" xfId="298"/>
    <cellStyle name="20% - Énfasis1 3 15" xfId="299"/>
    <cellStyle name="20% - Énfasis1 3 16" xfId="300"/>
    <cellStyle name="20% - Énfasis1 3 17" xfId="301"/>
    <cellStyle name="20% - Énfasis1 3 18" xfId="302"/>
    <cellStyle name="20% - Énfasis1 3 19" xfId="303"/>
    <cellStyle name="20% - Énfasis1 3 2" xfId="304"/>
    <cellStyle name="20% - Énfasis1 3 20" xfId="305"/>
    <cellStyle name="20% - Énfasis1 3 21" xfId="306"/>
    <cellStyle name="20% - Énfasis1 3 22" xfId="307"/>
    <cellStyle name="20% - Énfasis1 3 23" xfId="308"/>
    <cellStyle name="20% - Énfasis1 3 24" xfId="309"/>
    <cellStyle name="20% - Énfasis1 3 25" xfId="310"/>
    <cellStyle name="20% - Énfasis1 3 26" xfId="311"/>
    <cellStyle name="20% - Énfasis1 3 27" xfId="312"/>
    <cellStyle name="20% - Énfasis1 3 28" xfId="313"/>
    <cellStyle name="20% - Énfasis1 3 29" xfId="314"/>
    <cellStyle name="20% - Énfasis1 3 3" xfId="315"/>
    <cellStyle name="20% - Énfasis1 3 30" xfId="316"/>
    <cellStyle name="20% - Énfasis1 3 31" xfId="317"/>
    <cellStyle name="20% - Énfasis1 3 32" xfId="318"/>
    <cellStyle name="20% - Énfasis1 3 33" xfId="319"/>
    <cellStyle name="20% - Énfasis1 3 34" xfId="320"/>
    <cellStyle name="20% - Énfasis1 3 35" xfId="321"/>
    <cellStyle name="20% - Énfasis1 3 36" xfId="322"/>
    <cellStyle name="20% - Énfasis1 3 37" xfId="323"/>
    <cellStyle name="20% - Énfasis1 3 4" xfId="324"/>
    <cellStyle name="20% - Énfasis1 3 5" xfId="325"/>
    <cellStyle name="20% - Énfasis1 3 6" xfId="326"/>
    <cellStyle name="20% - Énfasis1 3 7" xfId="327"/>
    <cellStyle name="20% - Énfasis1 3 8" xfId="328"/>
    <cellStyle name="20% - Énfasis1 3 9" xfId="329"/>
    <cellStyle name="20% - Énfasis1 3_Equipo Centro" xfId="330"/>
    <cellStyle name="20% - Énfasis1 30" xfId="331"/>
    <cellStyle name="20% - Énfasis1 31" xfId="332"/>
    <cellStyle name="20% - Énfasis1 32" xfId="333"/>
    <cellStyle name="20% - Énfasis1 33" xfId="334"/>
    <cellStyle name="20% - Énfasis1 34" xfId="335"/>
    <cellStyle name="20% - Énfasis1 35" xfId="336"/>
    <cellStyle name="20% - Énfasis1 36" xfId="337"/>
    <cellStyle name="20% - Énfasis1 37" xfId="338"/>
    <cellStyle name="20% - Énfasis1 38" xfId="339"/>
    <cellStyle name="20% - Énfasis1 39" xfId="340"/>
    <cellStyle name="20% - Énfasis1 4" xfId="341"/>
    <cellStyle name="20% - Énfasis1 4 10" xfId="342"/>
    <cellStyle name="20% - Énfasis1 4 11" xfId="343"/>
    <cellStyle name="20% - Énfasis1 4 12" xfId="344"/>
    <cellStyle name="20% - Énfasis1 4 13" xfId="345"/>
    <cellStyle name="20% - Énfasis1 4 14" xfId="346"/>
    <cellStyle name="20% - Énfasis1 4 15" xfId="347"/>
    <cellStyle name="20% - Énfasis1 4 16" xfId="348"/>
    <cellStyle name="20% - Énfasis1 4 17" xfId="349"/>
    <cellStyle name="20% - Énfasis1 4 18" xfId="350"/>
    <cellStyle name="20% - Énfasis1 4 19" xfId="351"/>
    <cellStyle name="20% - Énfasis1 4 2" xfId="352"/>
    <cellStyle name="20% - Énfasis1 4 20" xfId="353"/>
    <cellStyle name="20% - Énfasis1 4 21" xfId="354"/>
    <cellStyle name="20% - Énfasis1 4 22" xfId="355"/>
    <cellStyle name="20% - Énfasis1 4 23" xfId="356"/>
    <cellStyle name="20% - Énfasis1 4 24" xfId="357"/>
    <cellStyle name="20% - Énfasis1 4 25" xfId="358"/>
    <cellStyle name="20% - Énfasis1 4 26" xfId="359"/>
    <cellStyle name="20% - Énfasis1 4 27" xfId="360"/>
    <cellStyle name="20% - Énfasis1 4 28" xfId="361"/>
    <cellStyle name="20% - Énfasis1 4 29" xfId="362"/>
    <cellStyle name="20% - Énfasis1 4 3" xfId="363"/>
    <cellStyle name="20% - Énfasis1 4 30" xfId="364"/>
    <cellStyle name="20% - Énfasis1 4 31" xfId="365"/>
    <cellStyle name="20% - Énfasis1 4 32" xfId="366"/>
    <cellStyle name="20% - Énfasis1 4 33" xfId="367"/>
    <cellStyle name="20% - Énfasis1 4 34" xfId="368"/>
    <cellStyle name="20% - Énfasis1 4 35" xfId="369"/>
    <cellStyle name="20% - Énfasis1 4 36" xfId="370"/>
    <cellStyle name="20% - Énfasis1 4 37" xfId="371"/>
    <cellStyle name="20% - Énfasis1 4 4" xfId="372"/>
    <cellStyle name="20% - Énfasis1 4 5" xfId="373"/>
    <cellStyle name="20% - Énfasis1 4 6" xfId="374"/>
    <cellStyle name="20% - Énfasis1 4 7" xfId="375"/>
    <cellStyle name="20% - Énfasis1 4 8" xfId="376"/>
    <cellStyle name="20% - Énfasis1 4 9" xfId="377"/>
    <cellStyle name="20% - Énfasis1 4_Equipo Centro" xfId="378"/>
    <cellStyle name="20% - Énfasis1 40" xfId="379"/>
    <cellStyle name="20% - Énfasis1 40 2" xfId="380"/>
    <cellStyle name="20% - Énfasis1 40 2 2" xfId="381"/>
    <cellStyle name="20% - Énfasis1 40 2 2 2" xfId="382"/>
    <cellStyle name="20% - Énfasis1 40 2 2 3" xfId="383"/>
    <cellStyle name="20% - Énfasis1 40 2 3" xfId="384"/>
    <cellStyle name="20% - Énfasis1 40 2 4" xfId="385"/>
    <cellStyle name="20% - Énfasis1 40 3" xfId="386"/>
    <cellStyle name="20% - Énfasis1 40 3 2" xfId="387"/>
    <cellStyle name="20% - Énfasis1 40 3 3" xfId="388"/>
    <cellStyle name="20% - Énfasis1 40 4" xfId="389"/>
    <cellStyle name="20% - Énfasis1 40 5" xfId="390"/>
    <cellStyle name="20% - Énfasis1 41" xfId="391"/>
    <cellStyle name="20% - Énfasis1 41 2" xfId="392"/>
    <cellStyle name="20% - Énfasis1 41 2 2" xfId="393"/>
    <cellStyle name="20% - Énfasis1 41 2 2 2" xfId="394"/>
    <cellStyle name="20% - Énfasis1 41 2 2 3" xfId="395"/>
    <cellStyle name="20% - Énfasis1 41 2 3" xfId="396"/>
    <cellStyle name="20% - Énfasis1 41 2 4" xfId="397"/>
    <cellStyle name="20% - Énfasis1 41 3" xfId="398"/>
    <cellStyle name="20% - Énfasis1 41 3 2" xfId="399"/>
    <cellStyle name="20% - Énfasis1 41 3 3" xfId="400"/>
    <cellStyle name="20% - Énfasis1 41 4" xfId="401"/>
    <cellStyle name="20% - Énfasis1 41 5" xfId="402"/>
    <cellStyle name="20% - Énfasis1 42" xfId="403"/>
    <cellStyle name="20% - Énfasis1 5" xfId="404"/>
    <cellStyle name="20% - Énfasis1 6" xfId="405"/>
    <cellStyle name="20% - Énfasis1 7" xfId="406"/>
    <cellStyle name="20% - Énfasis1 8" xfId="407"/>
    <cellStyle name="20% - Énfasis1 9" xfId="408"/>
    <cellStyle name="20% - Énfasis2 10" xfId="409"/>
    <cellStyle name="20% - Énfasis2 11" xfId="410"/>
    <cellStyle name="20% - Énfasis2 12" xfId="411"/>
    <cellStyle name="20% - Énfasis2 13" xfId="412"/>
    <cellStyle name="20% - Énfasis2 14" xfId="413"/>
    <cellStyle name="20% - Énfasis2 15" xfId="414"/>
    <cellStyle name="20% - Énfasis2 16" xfId="415"/>
    <cellStyle name="20% - Énfasis2 17" xfId="416"/>
    <cellStyle name="20% - Énfasis2 18" xfId="417"/>
    <cellStyle name="20% - Énfasis2 19" xfId="418"/>
    <cellStyle name="20% - Énfasis2 2" xfId="419"/>
    <cellStyle name="20% - Énfasis2 2 10" xfId="420"/>
    <cellStyle name="20% - Énfasis2 2 11" xfId="421"/>
    <cellStyle name="20% - Énfasis2 2 12" xfId="422"/>
    <cellStyle name="20% - Énfasis2 2 13" xfId="423"/>
    <cellStyle name="20% - Énfasis2 2 14" xfId="424"/>
    <cellStyle name="20% - Énfasis2 2 15" xfId="425"/>
    <cellStyle name="20% - Énfasis2 2 16" xfId="426"/>
    <cellStyle name="20% - Énfasis2 2 17" xfId="427"/>
    <cellStyle name="20% - Énfasis2 2 18" xfId="428"/>
    <cellStyle name="20% - Énfasis2 2 19" xfId="429"/>
    <cellStyle name="20% - Énfasis2 2 2" xfId="430"/>
    <cellStyle name="20% - Énfasis2 2 20" xfId="431"/>
    <cellStyle name="20% - Énfasis2 2 21" xfId="432"/>
    <cellStyle name="20% - Énfasis2 2 22" xfId="433"/>
    <cellStyle name="20% - Énfasis2 2 23" xfId="434"/>
    <cellStyle name="20% - Énfasis2 2 24" xfId="435"/>
    <cellStyle name="20% - Énfasis2 2 25" xfId="436"/>
    <cellStyle name="20% - Énfasis2 2 26" xfId="437"/>
    <cellStyle name="20% - Énfasis2 2 27" xfId="438"/>
    <cellStyle name="20% - Énfasis2 2 28" xfId="439"/>
    <cellStyle name="20% - Énfasis2 2 29" xfId="440"/>
    <cellStyle name="20% - Énfasis2 2 3" xfId="441"/>
    <cellStyle name="20% - Énfasis2 2 30" xfId="442"/>
    <cellStyle name="20% - Énfasis2 2 31" xfId="443"/>
    <cellStyle name="20% - Énfasis2 2 32" xfId="444"/>
    <cellStyle name="20% - Énfasis2 2 33" xfId="445"/>
    <cellStyle name="20% - Énfasis2 2 34" xfId="446"/>
    <cellStyle name="20% - Énfasis2 2 35" xfId="447"/>
    <cellStyle name="20% - Énfasis2 2 36" xfId="448"/>
    <cellStyle name="20% - Énfasis2 2 37" xfId="449"/>
    <cellStyle name="20% - Énfasis2 2 4" xfId="450"/>
    <cellStyle name="20% - Énfasis2 2 5" xfId="451"/>
    <cellStyle name="20% - Énfasis2 2 6" xfId="452"/>
    <cellStyle name="20% - Énfasis2 2 7" xfId="453"/>
    <cellStyle name="20% - Énfasis2 2 8" xfId="454"/>
    <cellStyle name="20% - Énfasis2 2 9" xfId="455"/>
    <cellStyle name="20% - Énfasis2 2_Equipo Centro" xfId="456"/>
    <cellStyle name="20% - Énfasis2 20" xfId="457"/>
    <cellStyle name="20% - Énfasis2 21" xfId="458"/>
    <cellStyle name="20% - Énfasis2 22" xfId="459"/>
    <cellStyle name="20% - Énfasis2 23" xfId="460"/>
    <cellStyle name="20% - Énfasis2 24" xfId="461"/>
    <cellStyle name="20% - Énfasis2 25" xfId="462"/>
    <cellStyle name="20% - Énfasis2 26" xfId="463"/>
    <cellStyle name="20% - Énfasis2 27" xfId="464"/>
    <cellStyle name="20% - Énfasis2 28" xfId="465"/>
    <cellStyle name="20% - Énfasis2 29" xfId="466"/>
    <cellStyle name="20% - Énfasis2 3" xfId="467"/>
    <cellStyle name="20% - Énfasis2 3 10" xfId="468"/>
    <cellStyle name="20% - Énfasis2 3 11" xfId="469"/>
    <cellStyle name="20% - Énfasis2 3 12" xfId="470"/>
    <cellStyle name="20% - Énfasis2 3 13" xfId="471"/>
    <cellStyle name="20% - Énfasis2 3 14" xfId="472"/>
    <cellStyle name="20% - Énfasis2 3 15" xfId="473"/>
    <cellStyle name="20% - Énfasis2 3 16" xfId="474"/>
    <cellStyle name="20% - Énfasis2 3 17" xfId="475"/>
    <cellStyle name="20% - Énfasis2 3 18" xfId="476"/>
    <cellStyle name="20% - Énfasis2 3 19" xfId="477"/>
    <cellStyle name="20% - Énfasis2 3 2" xfId="478"/>
    <cellStyle name="20% - Énfasis2 3 20" xfId="479"/>
    <cellStyle name="20% - Énfasis2 3 21" xfId="480"/>
    <cellStyle name="20% - Énfasis2 3 22" xfId="481"/>
    <cellStyle name="20% - Énfasis2 3 23" xfId="482"/>
    <cellStyle name="20% - Énfasis2 3 24" xfId="483"/>
    <cellStyle name="20% - Énfasis2 3 25" xfId="484"/>
    <cellStyle name="20% - Énfasis2 3 26" xfId="485"/>
    <cellStyle name="20% - Énfasis2 3 27" xfId="486"/>
    <cellStyle name="20% - Énfasis2 3 28" xfId="487"/>
    <cellStyle name="20% - Énfasis2 3 29" xfId="488"/>
    <cellStyle name="20% - Énfasis2 3 3" xfId="489"/>
    <cellStyle name="20% - Énfasis2 3 30" xfId="490"/>
    <cellStyle name="20% - Énfasis2 3 31" xfId="491"/>
    <cellStyle name="20% - Énfasis2 3 32" xfId="492"/>
    <cellStyle name="20% - Énfasis2 3 33" xfId="493"/>
    <cellStyle name="20% - Énfasis2 3 34" xfId="494"/>
    <cellStyle name="20% - Énfasis2 3 35" xfId="495"/>
    <cellStyle name="20% - Énfasis2 3 36" xfId="496"/>
    <cellStyle name="20% - Énfasis2 3 37" xfId="497"/>
    <cellStyle name="20% - Énfasis2 3 4" xfId="498"/>
    <cellStyle name="20% - Énfasis2 3 5" xfId="499"/>
    <cellStyle name="20% - Énfasis2 3 6" xfId="500"/>
    <cellStyle name="20% - Énfasis2 3 7" xfId="501"/>
    <cellStyle name="20% - Énfasis2 3 8" xfId="502"/>
    <cellStyle name="20% - Énfasis2 3 9" xfId="503"/>
    <cellStyle name="20% - Énfasis2 3_Equipo Centro" xfId="504"/>
    <cellStyle name="20% - Énfasis2 30" xfId="505"/>
    <cellStyle name="20% - Énfasis2 31" xfId="506"/>
    <cellStyle name="20% - Énfasis2 32" xfId="507"/>
    <cellStyle name="20% - Énfasis2 33" xfId="508"/>
    <cellStyle name="20% - Énfasis2 34" xfId="509"/>
    <cellStyle name="20% - Énfasis2 35" xfId="510"/>
    <cellStyle name="20% - Énfasis2 36" xfId="511"/>
    <cellStyle name="20% - Énfasis2 37" xfId="512"/>
    <cellStyle name="20% - Énfasis2 38" xfId="513"/>
    <cellStyle name="20% - Énfasis2 39" xfId="514"/>
    <cellStyle name="20% - Énfasis2 39 2" xfId="515"/>
    <cellStyle name="20% - Énfasis2 39 2 2" xfId="516"/>
    <cellStyle name="20% - Énfasis2 39 2 2 2" xfId="517"/>
    <cellStyle name="20% - Énfasis2 39 2 2 3" xfId="518"/>
    <cellStyle name="20% - Énfasis2 39 2 3" xfId="519"/>
    <cellStyle name="20% - Énfasis2 39 2 4" xfId="520"/>
    <cellStyle name="20% - Énfasis2 39 3" xfId="521"/>
    <cellStyle name="20% - Énfasis2 39 3 2" xfId="522"/>
    <cellStyle name="20% - Énfasis2 39 3 3" xfId="523"/>
    <cellStyle name="20% - Énfasis2 39 4" xfId="524"/>
    <cellStyle name="20% - Énfasis2 39 5" xfId="525"/>
    <cellStyle name="20% - Énfasis2 4" xfId="526"/>
    <cellStyle name="20% - Énfasis2 4 10" xfId="527"/>
    <cellStyle name="20% - Énfasis2 4 11" xfId="528"/>
    <cellStyle name="20% - Énfasis2 4 12" xfId="529"/>
    <cellStyle name="20% - Énfasis2 4 13" xfId="530"/>
    <cellStyle name="20% - Énfasis2 4 14" xfId="531"/>
    <cellStyle name="20% - Énfasis2 4 15" xfId="532"/>
    <cellStyle name="20% - Énfasis2 4 16" xfId="533"/>
    <cellStyle name="20% - Énfasis2 4 17" xfId="534"/>
    <cellStyle name="20% - Énfasis2 4 18" xfId="535"/>
    <cellStyle name="20% - Énfasis2 4 19" xfId="536"/>
    <cellStyle name="20% - Énfasis2 4 2" xfId="537"/>
    <cellStyle name="20% - Énfasis2 4 20" xfId="538"/>
    <cellStyle name="20% - Énfasis2 4 21" xfId="539"/>
    <cellStyle name="20% - Énfasis2 4 22" xfId="540"/>
    <cellStyle name="20% - Énfasis2 4 23" xfId="541"/>
    <cellStyle name="20% - Énfasis2 4 24" xfId="542"/>
    <cellStyle name="20% - Énfasis2 4 25" xfId="543"/>
    <cellStyle name="20% - Énfasis2 4 26" xfId="544"/>
    <cellStyle name="20% - Énfasis2 4 27" xfId="545"/>
    <cellStyle name="20% - Énfasis2 4 28" xfId="546"/>
    <cellStyle name="20% - Énfasis2 4 29" xfId="547"/>
    <cellStyle name="20% - Énfasis2 4 3" xfId="548"/>
    <cellStyle name="20% - Énfasis2 4 30" xfId="549"/>
    <cellStyle name="20% - Énfasis2 4 31" xfId="550"/>
    <cellStyle name="20% - Énfasis2 4 32" xfId="551"/>
    <cellStyle name="20% - Énfasis2 4 33" xfId="552"/>
    <cellStyle name="20% - Énfasis2 4 34" xfId="553"/>
    <cellStyle name="20% - Énfasis2 4 35" xfId="554"/>
    <cellStyle name="20% - Énfasis2 4 36" xfId="555"/>
    <cellStyle name="20% - Énfasis2 4 37" xfId="556"/>
    <cellStyle name="20% - Énfasis2 4 4" xfId="557"/>
    <cellStyle name="20% - Énfasis2 4 5" xfId="558"/>
    <cellStyle name="20% - Énfasis2 4 6" xfId="559"/>
    <cellStyle name="20% - Énfasis2 4 7" xfId="560"/>
    <cellStyle name="20% - Énfasis2 4 8" xfId="561"/>
    <cellStyle name="20% - Énfasis2 4 9" xfId="562"/>
    <cellStyle name="20% - Énfasis2 4_Equipo Centro" xfId="563"/>
    <cellStyle name="20% - Énfasis2 40" xfId="564"/>
    <cellStyle name="20% - Énfasis2 40 2" xfId="565"/>
    <cellStyle name="20% - Énfasis2 40 2 2" xfId="566"/>
    <cellStyle name="20% - Énfasis2 40 2 2 2" xfId="567"/>
    <cellStyle name="20% - Énfasis2 40 2 2 3" xfId="568"/>
    <cellStyle name="20% - Énfasis2 40 2 3" xfId="569"/>
    <cellStyle name="20% - Énfasis2 40 2 4" xfId="570"/>
    <cellStyle name="20% - Énfasis2 40 3" xfId="571"/>
    <cellStyle name="20% - Énfasis2 40 3 2" xfId="572"/>
    <cellStyle name="20% - Énfasis2 40 3 3" xfId="573"/>
    <cellStyle name="20% - Énfasis2 40 4" xfId="574"/>
    <cellStyle name="20% - Énfasis2 40 5" xfId="575"/>
    <cellStyle name="20% - Énfasis2 41" xfId="576"/>
    <cellStyle name="20% - Énfasis2 5" xfId="577"/>
    <cellStyle name="20% - Énfasis2 6" xfId="578"/>
    <cellStyle name="20% - Énfasis2 7" xfId="579"/>
    <cellStyle name="20% - Énfasis2 8" xfId="580"/>
    <cellStyle name="20% - Énfasis2 9" xfId="581"/>
    <cellStyle name="20% - Énfasis3 10" xfId="582"/>
    <cellStyle name="20% - Énfasis3 11" xfId="583"/>
    <cellStyle name="20% - Énfasis3 12" xfId="584"/>
    <cellStyle name="20% - Énfasis3 13" xfId="585"/>
    <cellStyle name="20% - Énfasis3 14" xfId="586"/>
    <cellStyle name="20% - Énfasis3 15" xfId="587"/>
    <cellStyle name="20% - Énfasis3 16" xfId="588"/>
    <cellStyle name="20% - Énfasis3 17" xfId="589"/>
    <cellStyle name="20% - Énfasis3 18" xfId="590"/>
    <cellStyle name="20% - Énfasis3 19" xfId="591"/>
    <cellStyle name="20% - Énfasis3 2" xfId="592"/>
    <cellStyle name="20% - Énfasis3 2 10" xfId="593"/>
    <cellStyle name="20% - Énfasis3 2 11" xfId="594"/>
    <cellStyle name="20% - Énfasis3 2 12" xfId="595"/>
    <cellStyle name="20% - Énfasis3 2 13" xfId="596"/>
    <cellStyle name="20% - Énfasis3 2 14" xfId="597"/>
    <cellStyle name="20% - Énfasis3 2 15" xfId="598"/>
    <cellStyle name="20% - Énfasis3 2 16" xfId="599"/>
    <cellStyle name="20% - Énfasis3 2 17" xfId="600"/>
    <cellStyle name="20% - Énfasis3 2 18" xfId="601"/>
    <cellStyle name="20% - Énfasis3 2 19" xfId="602"/>
    <cellStyle name="20% - Énfasis3 2 2" xfId="603"/>
    <cellStyle name="20% - Énfasis3 2 20" xfId="604"/>
    <cellStyle name="20% - Énfasis3 2 21" xfId="605"/>
    <cellStyle name="20% - Énfasis3 2 22" xfId="606"/>
    <cellStyle name="20% - Énfasis3 2 23" xfId="607"/>
    <cellStyle name="20% - Énfasis3 2 24" xfId="608"/>
    <cellStyle name="20% - Énfasis3 2 25" xfId="609"/>
    <cellStyle name="20% - Énfasis3 2 26" xfId="610"/>
    <cellStyle name="20% - Énfasis3 2 27" xfId="611"/>
    <cellStyle name="20% - Énfasis3 2 28" xfId="612"/>
    <cellStyle name="20% - Énfasis3 2 29" xfId="613"/>
    <cellStyle name="20% - Énfasis3 2 3" xfId="614"/>
    <cellStyle name="20% - Énfasis3 2 30" xfId="615"/>
    <cellStyle name="20% - Énfasis3 2 31" xfId="616"/>
    <cellStyle name="20% - Énfasis3 2 32" xfId="617"/>
    <cellStyle name="20% - Énfasis3 2 33" xfId="618"/>
    <cellStyle name="20% - Énfasis3 2 34" xfId="619"/>
    <cellStyle name="20% - Énfasis3 2 35" xfId="620"/>
    <cellStyle name="20% - Énfasis3 2 36" xfId="621"/>
    <cellStyle name="20% - Énfasis3 2 37" xfId="622"/>
    <cellStyle name="20% - Énfasis3 2 4" xfId="623"/>
    <cellStyle name="20% - Énfasis3 2 5" xfId="624"/>
    <cellStyle name="20% - Énfasis3 2 6" xfId="625"/>
    <cellStyle name="20% - Énfasis3 2 7" xfId="626"/>
    <cellStyle name="20% - Énfasis3 2 8" xfId="627"/>
    <cellStyle name="20% - Énfasis3 2 9" xfId="628"/>
    <cellStyle name="20% - Énfasis3 2_Equipo Centro" xfId="629"/>
    <cellStyle name="20% - Énfasis3 20" xfId="630"/>
    <cellStyle name="20% - Énfasis3 21" xfId="631"/>
    <cellStyle name="20% - Énfasis3 22" xfId="632"/>
    <cellStyle name="20% - Énfasis3 23" xfId="633"/>
    <cellStyle name="20% - Énfasis3 24" xfId="634"/>
    <cellStyle name="20% - Énfasis3 25" xfId="635"/>
    <cellStyle name="20% - Énfasis3 26" xfId="636"/>
    <cellStyle name="20% - Énfasis3 27" xfId="637"/>
    <cellStyle name="20% - Énfasis3 28" xfId="638"/>
    <cellStyle name="20% - Énfasis3 29" xfId="639"/>
    <cellStyle name="20% - Énfasis3 3" xfId="640"/>
    <cellStyle name="20% - Énfasis3 3 10" xfId="641"/>
    <cellStyle name="20% - Énfasis3 3 11" xfId="642"/>
    <cellStyle name="20% - Énfasis3 3 12" xfId="643"/>
    <cellStyle name="20% - Énfasis3 3 13" xfId="644"/>
    <cellStyle name="20% - Énfasis3 3 14" xfId="645"/>
    <cellStyle name="20% - Énfasis3 3 15" xfId="646"/>
    <cellStyle name="20% - Énfasis3 3 16" xfId="647"/>
    <cellStyle name="20% - Énfasis3 3 17" xfId="648"/>
    <cellStyle name="20% - Énfasis3 3 18" xfId="649"/>
    <cellStyle name="20% - Énfasis3 3 19" xfId="650"/>
    <cellStyle name="20% - Énfasis3 3 2" xfId="651"/>
    <cellStyle name="20% - Énfasis3 3 20" xfId="652"/>
    <cellStyle name="20% - Énfasis3 3 21" xfId="653"/>
    <cellStyle name="20% - Énfasis3 3 22" xfId="654"/>
    <cellStyle name="20% - Énfasis3 3 23" xfId="655"/>
    <cellStyle name="20% - Énfasis3 3 24" xfId="656"/>
    <cellStyle name="20% - Énfasis3 3 25" xfId="657"/>
    <cellStyle name="20% - Énfasis3 3 26" xfId="658"/>
    <cellStyle name="20% - Énfasis3 3 27" xfId="659"/>
    <cellStyle name="20% - Énfasis3 3 28" xfId="660"/>
    <cellStyle name="20% - Énfasis3 3 29" xfId="661"/>
    <cellStyle name="20% - Énfasis3 3 3" xfId="662"/>
    <cellStyle name="20% - Énfasis3 3 30" xfId="663"/>
    <cellStyle name="20% - Énfasis3 3 31" xfId="664"/>
    <cellStyle name="20% - Énfasis3 3 32" xfId="665"/>
    <cellStyle name="20% - Énfasis3 3 33" xfId="666"/>
    <cellStyle name="20% - Énfasis3 3 34" xfId="667"/>
    <cellStyle name="20% - Énfasis3 3 35" xfId="668"/>
    <cellStyle name="20% - Énfasis3 3 36" xfId="669"/>
    <cellStyle name="20% - Énfasis3 3 37" xfId="670"/>
    <cellStyle name="20% - Énfasis3 3 4" xfId="671"/>
    <cellStyle name="20% - Énfasis3 3 5" xfId="672"/>
    <cellStyle name="20% - Énfasis3 3 6" xfId="673"/>
    <cellStyle name="20% - Énfasis3 3 7" xfId="674"/>
    <cellStyle name="20% - Énfasis3 3 8" xfId="675"/>
    <cellStyle name="20% - Énfasis3 3 9" xfId="676"/>
    <cellStyle name="20% - Énfasis3 3_Equipo Centro" xfId="677"/>
    <cellStyle name="20% - Énfasis3 30" xfId="678"/>
    <cellStyle name="20% - Énfasis3 31" xfId="679"/>
    <cellStyle name="20% - Énfasis3 32" xfId="680"/>
    <cellStyle name="20% - Énfasis3 33" xfId="681"/>
    <cellStyle name="20% - Énfasis3 34" xfId="682"/>
    <cellStyle name="20% - Énfasis3 35" xfId="683"/>
    <cellStyle name="20% - Énfasis3 36" xfId="684"/>
    <cellStyle name="20% - Énfasis3 36 2" xfId="685"/>
    <cellStyle name="20% - Énfasis3 36 2 2" xfId="686"/>
    <cellStyle name="20% - Énfasis3 36 2 2 2" xfId="687"/>
    <cellStyle name="20% - Énfasis3 36 2 2 3" xfId="688"/>
    <cellStyle name="20% - Énfasis3 36 2 3" xfId="689"/>
    <cellStyle name="20% - Énfasis3 36 2 4" xfId="690"/>
    <cellStyle name="20% - Énfasis3 36 3" xfId="691"/>
    <cellStyle name="20% - Énfasis3 36 3 2" xfId="692"/>
    <cellStyle name="20% - Énfasis3 36 3 3" xfId="693"/>
    <cellStyle name="20% - Énfasis3 36 4" xfId="694"/>
    <cellStyle name="20% - Énfasis3 36 5" xfId="695"/>
    <cellStyle name="20% - Énfasis3 37" xfId="696"/>
    <cellStyle name="20% - Énfasis3 37 2" xfId="697"/>
    <cellStyle name="20% - Énfasis3 37 2 2" xfId="698"/>
    <cellStyle name="20% - Énfasis3 37 2 2 2" xfId="699"/>
    <cellStyle name="20% - Énfasis3 37 2 2 3" xfId="700"/>
    <cellStyle name="20% - Énfasis3 37 2 3" xfId="701"/>
    <cellStyle name="20% - Énfasis3 37 2 4" xfId="702"/>
    <cellStyle name="20% - Énfasis3 37 3" xfId="703"/>
    <cellStyle name="20% - Énfasis3 37 3 2" xfId="704"/>
    <cellStyle name="20% - Énfasis3 37 3 3" xfId="705"/>
    <cellStyle name="20% - Énfasis3 37 4" xfId="706"/>
    <cellStyle name="20% - Énfasis3 37 5" xfId="707"/>
    <cellStyle name="20% - Énfasis3 38" xfId="708"/>
    <cellStyle name="20% - Énfasis3 4" xfId="709"/>
    <cellStyle name="20% - Énfasis3 4 10" xfId="710"/>
    <cellStyle name="20% - Énfasis3 4 11" xfId="711"/>
    <cellStyle name="20% - Énfasis3 4 12" xfId="712"/>
    <cellStyle name="20% - Énfasis3 4 13" xfId="713"/>
    <cellStyle name="20% - Énfasis3 4 14" xfId="714"/>
    <cellStyle name="20% - Énfasis3 4 15" xfId="715"/>
    <cellStyle name="20% - Énfasis3 4 16" xfId="716"/>
    <cellStyle name="20% - Énfasis3 4 17" xfId="717"/>
    <cellStyle name="20% - Énfasis3 4 18" xfId="718"/>
    <cellStyle name="20% - Énfasis3 4 19" xfId="719"/>
    <cellStyle name="20% - Énfasis3 4 2" xfId="720"/>
    <cellStyle name="20% - Énfasis3 4 20" xfId="721"/>
    <cellStyle name="20% - Énfasis3 4 21" xfId="722"/>
    <cellStyle name="20% - Énfasis3 4 22" xfId="723"/>
    <cellStyle name="20% - Énfasis3 4 23" xfId="724"/>
    <cellStyle name="20% - Énfasis3 4 24" xfId="725"/>
    <cellStyle name="20% - Énfasis3 4 25" xfId="726"/>
    <cellStyle name="20% - Énfasis3 4 26" xfId="727"/>
    <cellStyle name="20% - Énfasis3 4 27" xfId="728"/>
    <cellStyle name="20% - Énfasis3 4 28" xfId="729"/>
    <cellStyle name="20% - Énfasis3 4 29" xfId="730"/>
    <cellStyle name="20% - Énfasis3 4 3" xfId="731"/>
    <cellStyle name="20% - Énfasis3 4 30" xfId="732"/>
    <cellStyle name="20% - Énfasis3 4 31" xfId="733"/>
    <cellStyle name="20% - Énfasis3 4 32" xfId="734"/>
    <cellStyle name="20% - Énfasis3 4 33" xfId="735"/>
    <cellStyle name="20% - Énfasis3 4 34" xfId="736"/>
    <cellStyle name="20% - Énfasis3 4 35" xfId="737"/>
    <cellStyle name="20% - Énfasis3 4 36" xfId="738"/>
    <cellStyle name="20% - Énfasis3 4 37" xfId="739"/>
    <cellStyle name="20% - Énfasis3 4 4" xfId="740"/>
    <cellStyle name="20% - Énfasis3 4 5" xfId="741"/>
    <cellStyle name="20% - Énfasis3 4 6" xfId="742"/>
    <cellStyle name="20% - Énfasis3 4 7" xfId="743"/>
    <cellStyle name="20% - Énfasis3 4 8" xfId="744"/>
    <cellStyle name="20% - Énfasis3 4 9" xfId="745"/>
    <cellStyle name="20% - Énfasis3 4_Equipo Centro" xfId="746"/>
    <cellStyle name="20% - Énfasis3 5" xfId="747"/>
    <cellStyle name="20% - Énfasis3 6" xfId="748"/>
    <cellStyle name="20% - Énfasis3 7" xfId="749"/>
    <cellStyle name="20% - Énfasis3 8" xfId="750"/>
    <cellStyle name="20% - Énfasis3 9" xfId="751"/>
    <cellStyle name="20% - Énfasis4 10" xfId="752"/>
    <cellStyle name="20% - Énfasis4 11" xfId="753"/>
    <cellStyle name="20% - Énfasis4 12" xfId="754"/>
    <cellStyle name="20% - Énfasis4 13" xfId="755"/>
    <cellStyle name="20% - Énfasis4 14" xfId="756"/>
    <cellStyle name="20% - Énfasis4 15" xfId="757"/>
    <cellStyle name="20% - Énfasis4 16" xfId="758"/>
    <cellStyle name="20% - Énfasis4 17" xfId="759"/>
    <cellStyle name="20% - Énfasis4 18" xfId="760"/>
    <cellStyle name="20% - Énfasis4 19" xfId="761"/>
    <cellStyle name="20% - Énfasis4 2" xfId="762"/>
    <cellStyle name="20% - Énfasis4 2 10" xfId="763"/>
    <cellStyle name="20% - Énfasis4 2 11" xfId="764"/>
    <cellStyle name="20% - Énfasis4 2 12" xfId="765"/>
    <cellStyle name="20% - Énfasis4 2 13" xfId="766"/>
    <cellStyle name="20% - Énfasis4 2 14" xfId="767"/>
    <cellStyle name="20% - Énfasis4 2 15" xfId="768"/>
    <cellStyle name="20% - Énfasis4 2 16" xfId="769"/>
    <cellStyle name="20% - Énfasis4 2 17" xfId="770"/>
    <cellStyle name="20% - Énfasis4 2 18" xfId="771"/>
    <cellStyle name="20% - Énfasis4 2 19" xfId="772"/>
    <cellStyle name="20% - Énfasis4 2 2" xfId="773"/>
    <cellStyle name="20% - Énfasis4 2 20" xfId="774"/>
    <cellStyle name="20% - Énfasis4 2 21" xfId="775"/>
    <cellStyle name="20% - Énfasis4 2 22" xfId="776"/>
    <cellStyle name="20% - Énfasis4 2 23" xfId="777"/>
    <cellStyle name="20% - Énfasis4 2 24" xfId="778"/>
    <cellStyle name="20% - Énfasis4 2 25" xfId="779"/>
    <cellStyle name="20% - Énfasis4 2 26" xfId="780"/>
    <cellStyle name="20% - Énfasis4 2 27" xfId="781"/>
    <cellStyle name="20% - Énfasis4 2 28" xfId="782"/>
    <cellStyle name="20% - Énfasis4 2 29" xfId="783"/>
    <cellStyle name="20% - Énfasis4 2 3" xfId="784"/>
    <cellStyle name="20% - Énfasis4 2 30" xfId="785"/>
    <cellStyle name="20% - Énfasis4 2 31" xfId="786"/>
    <cellStyle name="20% - Énfasis4 2 32" xfId="787"/>
    <cellStyle name="20% - Énfasis4 2 33" xfId="788"/>
    <cellStyle name="20% - Énfasis4 2 34" xfId="789"/>
    <cellStyle name="20% - Énfasis4 2 35" xfId="790"/>
    <cellStyle name="20% - Énfasis4 2 36" xfId="791"/>
    <cellStyle name="20% - Énfasis4 2 37" xfId="792"/>
    <cellStyle name="20% - Énfasis4 2 4" xfId="793"/>
    <cellStyle name="20% - Énfasis4 2 5" xfId="794"/>
    <cellStyle name="20% - Énfasis4 2 6" xfId="795"/>
    <cellStyle name="20% - Énfasis4 2 7" xfId="796"/>
    <cellStyle name="20% - Énfasis4 2 8" xfId="797"/>
    <cellStyle name="20% - Énfasis4 2 9" xfId="798"/>
    <cellStyle name="20% - Énfasis4 2_Equipo Centro" xfId="799"/>
    <cellStyle name="20% - Énfasis4 20" xfId="800"/>
    <cellStyle name="20% - Énfasis4 21" xfId="801"/>
    <cellStyle name="20% - Énfasis4 22" xfId="802"/>
    <cellStyle name="20% - Énfasis4 23" xfId="803"/>
    <cellStyle name="20% - Énfasis4 24" xfId="804"/>
    <cellStyle name="20% - Énfasis4 25" xfId="805"/>
    <cellStyle name="20% - Énfasis4 26" xfId="806"/>
    <cellStyle name="20% - Énfasis4 27" xfId="807"/>
    <cellStyle name="20% - Énfasis4 28" xfId="808"/>
    <cellStyle name="20% - Énfasis4 29" xfId="809"/>
    <cellStyle name="20% - Énfasis4 3" xfId="810"/>
    <cellStyle name="20% - Énfasis4 3 10" xfId="811"/>
    <cellStyle name="20% - Énfasis4 3 11" xfId="812"/>
    <cellStyle name="20% - Énfasis4 3 12" xfId="813"/>
    <cellStyle name="20% - Énfasis4 3 13" xfId="814"/>
    <cellStyle name="20% - Énfasis4 3 14" xfId="815"/>
    <cellStyle name="20% - Énfasis4 3 15" xfId="816"/>
    <cellStyle name="20% - Énfasis4 3 16" xfId="817"/>
    <cellStyle name="20% - Énfasis4 3 17" xfId="818"/>
    <cellStyle name="20% - Énfasis4 3 18" xfId="819"/>
    <cellStyle name="20% - Énfasis4 3 19" xfId="820"/>
    <cellStyle name="20% - Énfasis4 3 2" xfId="821"/>
    <cellStyle name="20% - Énfasis4 3 20" xfId="822"/>
    <cellStyle name="20% - Énfasis4 3 21" xfId="823"/>
    <cellStyle name="20% - Énfasis4 3 22" xfId="824"/>
    <cellStyle name="20% - Énfasis4 3 23" xfId="825"/>
    <cellStyle name="20% - Énfasis4 3 24" xfId="826"/>
    <cellStyle name="20% - Énfasis4 3 25" xfId="827"/>
    <cellStyle name="20% - Énfasis4 3 26" xfId="828"/>
    <cellStyle name="20% - Énfasis4 3 27" xfId="829"/>
    <cellStyle name="20% - Énfasis4 3 28" xfId="830"/>
    <cellStyle name="20% - Énfasis4 3 29" xfId="831"/>
    <cellStyle name="20% - Énfasis4 3 3" xfId="832"/>
    <cellStyle name="20% - Énfasis4 3 30" xfId="833"/>
    <cellStyle name="20% - Énfasis4 3 31" xfId="834"/>
    <cellStyle name="20% - Énfasis4 3 32" xfId="835"/>
    <cellStyle name="20% - Énfasis4 3 33" xfId="836"/>
    <cellStyle name="20% - Énfasis4 3 34" xfId="837"/>
    <cellStyle name="20% - Énfasis4 3 35" xfId="838"/>
    <cellStyle name="20% - Énfasis4 3 36" xfId="839"/>
    <cellStyle name="20% - Énfasis4 3 37" xfId="840"/>
    <cellStyle name="20% - Énfasis4 3 4" xfId="841"/>
    <cellStyle name="20% - Énfasis4 3 5" xfId="842"/>
    <cellStyle name="20% - Énfasis4 3 6" xfId="843"/>
    <cellStyle name="20% - Énfasis4 3 7" xfId="844"/>
    <cellStyle name="20% - Énfasis4 3 8" xfId="845"/>
    <cellStyle name="20% - Énfasis4 3 9" xfId="846"/>
    <cellStyle name="20% - Énfasis4 3_Equipo Centro" xfId="847"/>
    <cellStyle name="20% - Énfasis4 30" xfId="848"/>
    <cellStyle name="20% - Énfasis4 31" xfId="849"/>
    <cellStyle name="20% - Énfasis4 32" xfId="850"/>
    <cellStyle name="20% - Énfasis4 33" xfId="851"/>
    <cellStyle name="20% - Énfasis4 34" xfId="852"/>
    <cellStyle name="20% - Énfasis4 35" xfId="853"/>
    <cellStyle name="20% - Énfasis4 36" xfId="854"/>
    <cellStyle name="20% - Énfasis4 36 2" xfId="855"/>
    <cellStyle name="20% - Énfasis4 36 2 2" xfId="856"/>
    <cellStyle name="20% - Énfasis4 36 2 2 2" xfId="857"/>
    <cellStyle name="20% - Énfasis4 36 2 2 3" xfId="858"/>
    <cellStyle name="20% - Énfasis4 36 2 3" xfId="859"/>
    <cellStyle name="20% - Énfasis4 36 2 4" xfId="860"/>
    <cellStyle name="20% - Énfasis4 36 3" xfId="861"/>
    <cellStyle name="20% - Énfasis4 36 3 2" xfId="862"/>
    <cellStyle name="20% - Énfasis4 36 3 3" xfId="863"/>
    <cellStyle name="20% - Énfasis4 36 4" xfId="864"/>
    <cellStyle name="20% - Énfasis4 36 5" xfId="865"/>
    <cellStyle name="20% - Énfasis4 37" xfId="866"/>
    <cellStyle name="20% - Énfasis4 37 2" xfId="867"/>
    <cellStyle name="20% - Énfasis4 37 2 2" xfId="868"/>
    <cellStyle name="20% - Énfasis4 37 2 2 2" xfId="869"/>
    <cellStyle name="20% - Énfasis4 37 2 2 3" xfId="870"/>
    <cellStyle name="20% - Énfasis4 37 2 3" xfId="871"/>
    <cellStyle name="20% - Énfasis4 37 2 4" xfId="872"/>
    <cellStyle name="20% - Énfasis4 37 3" xfId="873"/>
    <cellStyle name="20% - Énfasis4 37 3 2" xfId="874"/>
    <cellStyle name="20% - Énfasis4 37 3 3" xfId="875"/>
    <cellStyle name="20% - Énfasis4 37 4" xfId="876"/>
    <cellStyle name="20% - Énfasis4 37 5" xfId="877"/>
    <cellStyle name="20% - Énfasis4 38" xfId="878"/>
    <cellStyle name="20% - Énfasis4 4" xfId="879"/>
    <cellStyle name="20% - Énfasis4 4 10" xfId="880"/>
    <cellStyle name="20% - Énfasis4 4 11" xfId="881"/>
    <cellStyle name="20% - Énfasis4 4 12" xfId="882"/>
    <cellStyle name="20% - Énfasis4 4 13" xfId="883"/>
    <cellStyle name="20% - Énfasis4 4 14" xfId="884"/>
    <cellStyle name="20% - Énfasis4 4 15" xfId="885"/>
    <cellStyle name="20% - Énfasis4 4 16" xfId="886"/>
    <cellStyle name="20% - Énfasis4 4 17" xfId="887"/>
    <cellStyle name="20% - Énfasis4 4 18" xfId="888"/>
    <cellStyle name="20% - Énfasis4 4 19" xfId="889"/>
    <cellStyle name="20% - Énfasis4 4 2" xfId="890"/>
    <cellStyle name="20% - Énfasis4 4 20" xfId="891"/>
    <cellStyle name="20% - Énfasis4 4 21" xfId="892"/>
    <cellStyle name="20% - Énfasis4 4 22" xfId="893"/>
    <cellStyle name="20% - Énfasis4 4 23" xfId="894"/>
    <cellStyle name="20% - Énfasis4 4 24" xfId="895"/>
    <cellStyle name="20% - Énfasis4 4 25" xfId="896"/>
    <cellStyle name="20% - Énfasis4 4 26" xfId="897"/>
    <cellStyle name="20% - Énfasis4 4 27" xfId="898"/>
    <cellStyle name="20% - Énfasis4 4 28" xfId="899"/>
    <cellStyle name="20% - Énfasis4 4 29" xfId="900"/>
    <cellStyle name="20% - Énfasis4 4 3" xfId="901"/>
    <cellStyle name="20% - Énfasis4 4 30" xfId="902"/>
    <cellStyle name="20% - Énfasis4 4 31" xfId="903"/>
    <cellStyle name="20% - Énfasis4 4 32" xfId="904"/>
    <cellStyle name="20% - Énfasis4 4 33" xfId="905"/>
    <cellStyle name="20% - Énfasis4 4 34" xfId="906"/>
    <cellStyle name="20% - Énfasis4 4 35" xfId="907"/>
    <cellStyle name="20% - Énfasis4 4 36" xfId="908"/>
    <cellStyle name="20% - Énfasis4 4 37" xfId="909"/>
    <cellStyle name="20% - Énfasis4 4 4" xfId="910"/>
    <cellStyle name="20% - Énfasis4 4 5" xfId="911"/>
    <cellStyle name="20% - Énfasis4 4 6" xfId="912"/>
    <cellStyle name="20% - Énfasis4 4 7" xfId="913"/>
    <cellStyle name="20% - Énfasis4 4 8" xfId="914"/>
    <cellStyle name="20% - Énfasis4 4 9" xfId="915"/>
    <cellStyle name="20% - Énfasis4 4_Equipo Centro" xfId="916"/>
    <cellStyle name="20% - Énfasis4 5" xfId="917"/>
    <cellStyle name="20% - Énfasis4 6" xfId="918"/>
    <cellStyle name="20% - Énfasis4 7" xfId="919"/>
    <cellStyle name="20% - Énfasis4 8" xfId="920"/>
    <cellStyle name="20% - Énfasis4 9" xfId="921"/>
    <cellStyle name="20% - Énfasis5 10" xfId="922"/>
    <cellStyle name="20% - Énfasis5 11" xfId="923"/>
    <cellStyle name="20% - Énfasis5 12" xfId="924"/>
    <cellStyle name="20% - Énfasis5 13" xfId="925"/>
    <cellStyle name="20% - Énfasis5 14" xfId="926"/>
    <cellStyle name="20% - Énfasis5 15" xfId="927"/>
    <cellStyle name="20% - Énfasis5 16" xfId="928"/>
    <cellStyle name="20% - Énfasis5 17" xfId="929"/>
    <cellStyle name="20% - Énfasis5 18" xfId="930"/>
    <cellStyle name="20% - Énfasis5 19" xfId="931"/>
    <cellStyle name="20% - Énfasis5 2" xfId="932"/>
    <cellStyle name="20% - Énfasis5 2 10" xfId="933"/>
    <cellStyle name="20% - Énfasis5 2 11" xfId="934"/>
    <cellStyle name="20% - Énfasis5 2 12" xfId="935"/>
    <cellStyle name="20% - Énfasis5 2 13" xfId="936"/>
    <cellStyle name="20% - Énfasis5 2 14" xfId="937"/>
    <cellStyle name="20% - Énfasis5 2 15" xfId="938"/>
    <cellStyle name="20% - Énfasis5 2 16" xfId="939"/>
    <cellStyle name="20% - Énfasis5 2 17" xfId="940"/>
    <cellStyle name="20% - Énfasis5 2 18" xfId="941"/>
    <cellStyle name="20% - Énfasis5 2 19" xfId="942"/>
    <cellStyle name="20% - Énfasis5 2 2" xfId="943"/>
    <cellStyle name="20% - Énfasis5 2 20" xfId="944"/>
    <cellStyle name="20% - Énfasis5 2 21" xfId="945"/>
    <cellStyle name="20% - Énfasis5 2 22" xfId="946"/>
    <cellStyle name="20% - Énfasis5 2 23" xfId="947"/>
    <cellStyle name="20% - Énfasis5 2 24" xfId="948"/>
    <cellStyle name="20% - Énfasis5 2 25" xfId="949"/>
    <cellStyle name="20% - Énfasis5 2 26" xfId="950"/>
    <cellStyle name="20% - Énfasis5 2 27" xfId="951"/>
    <cellStyle name="20% - Énfasis5 2 28" xfId="952"/>
    <cellStyle name="20% - Énfasis5 2 29" xfId="953"/>
    <cellStyle name="20% - Énfasis5 2 3" xfId="954"/>
    <cellStyle name="20% - Énfasis5 2 30" xfId="955"/>
    <cellStyle name="20% - Énfasis5 2 31" xfId="956"/>
    <cellStyle name="20% - Énfasis5 2 32" xfId="957"/>
    <cellStyle name="20% - Énfasis5 2 33" xfId="958"/>
    <cellStyle name="20% - Énfasis5 2 34" xfId="959"/>
    <cellStyle name="20% - Énfasis5 2 35" xfId="960"/>
    <cellStyle name="20% - Énfasis5 2 36" xfId="961"/>
    <cellStyle name="20% - Énfasis5 2 37" xfId="962"/>
    <cellStyle name="20% - Énfasis5 2 4" xfId="963"/>
    <cellStyle name="20% - Énfasis5 2 5" xfId="964"/>
    <cellStyle name="20% - Énfasis5 2 6" xfId="965"/>
    <cellStyle name="20% - Énfasis5 2 7" xfId="966"/>
    <cellStyle name="20% - Énfasis5 2 8" xfId="967"/>
    <cellStyle name="20% - Énfasis5 2 9" xfId="968"/>
    <cellStyle name="20% - Énfasis5 2_Equipo Centro" xfId="969"/>
    <cellStyle name="20% - Énfasis5 20" xfId="970"/>
    <cellStyle name="20% - Énfasis5 21" xfId="971"/>
    <cellStyle name="20% - Énfasis5 22" xfId="972"/>
    <cellStyle name="20% - Énfasis5 23" xfId="973"/>
    <cellStyle name="20% - Énfasis5 24" xfId="974"/>
    <cellStyle name="20% - Énfasis5 25" xfId="975"/>
    <cellStyle name="20% - Énfasis5 26" xfId="976"/>
    <cellStyle name="20% - Énfasis5 27" xfId="977"/>
    <cellStyle name="20% - Énfasis5 28" xfId="978"/>
    <cellStyle name="20% - Énfasis5 29" xfId="979"/>
    <cellStyle name="20% - Énfasis5 3" xfId="980"/>
    <cellStyle name="20% - Énfasis5 3 10" xfId="981"/>
    <cellStyle name="20% - Énfasis5 3 11" xfId="982"/>
    <cellStyle name="20% - Énfasis5 3 12" xfId="983"/>
    <cellStyle name="20% - Énfasis5 3 13" xfId="984"/>
    <cellStyle name="20% - Énfasis5 3 14" xfId="985"/>
    <cellStyle name="20% - Énfasis5 3 15" xfId="986"/>
    <cellStyle name="20% - Énfasis5 3 16" xfId="987"/>
    <cellStyle name="20% - Énfasis5 3 17" xfId="988"/>
    <cellStyle name="20% - Énfasis5 3 18" xfId="989"/>
    <cellStyle name="20% - Énfasis5 3 19" xfId="990"/>
    <cellStyle name="20% - Énfasis5 3 2" xfId="991"/>
    <cellStyle name="20% - Énfasis5 3 20" xfId="992"/>
    <cellStyle name="20% - Énfasis5 3 21" xfId="993"/>
    <cellStyle name="20% - Énfasis5 3 22" xfId="994"/>
    <cellStyle name="20% - Énfasis5 3 23" xfId="995"/>
    <cellStyle name="20% - Énfasis5 3 24" xfId="996"/>
    <cellStyle name="20% - Énfasis5 3 25" xfId="997"/>
    <cellStyle name="20% - Énfasis5 3 26" xfId="998"/>
    <cellStyle name="20% - Énfasis5 3 27" xfId="999"/>
    <cellStyle name="20% - Énfasis5 3 28" xfId="1000"/>
    <cellStyle name="20% - Énfasis5 3 29" xfId="1001"/>
    <cellStyle name="20% - Énfasis5 3 3" xfId="1002"/>
    <cellStyle name="20% - Énfasis5 3 30" xfId="1003"/>
    <cellStyle name="20% - Énfasis5 3 31" xfId="1004"/>
    <cellStyle name="20% - Énfasis5 3 32" xfId="1005"/>
    <cellStyle name="20% - Énfasis5 3 33" xfId="1006"/>
    <cellStyle name="20% - Énfasis5 3 34" xfId="1007"/>
    <cellStyle name="20% - Énfasis5 3 35" xfId="1008"/>
    <cellStyle name="20% - Énfasis5 3 36" xfId="1009"/>
    <cellStyle name="20% - Énfasis5 3 37" xfId="1010"/>
    <cellStyle name="20% - Énfasis5 3 4" xfId="1011"/>
    <cellStyle name="20% - Énfasis5 3 5" xfId="1012"/>
    <cellStyle name="20% - Énfasis5 3 6" xfId="1013"/>
    <cellStyle name="20% - Énfasis5 3 7" xfId="1014"/>
    <cellStyle name="20% - Énfasis5 3 8" xfId="1015"/>
    <cellStyle name="20% - Énfasis5 3 9" xfId="1016"/>
    <cellStyle name="20% - Énfasis5 3_Equipo Centro" xfId="1017"/>
    <cellStyle name="20% - Énfasis5 30" xfId="1018"/>
    <cellStyle name="20% - Énfasis5 31" xfId="1019"/>
    <cellStyle name="20% - Énfasis5 32" xfId="1020"/>
    <cellStyle name="20% - Énfasis5 33" xfId="1021"/>
    <cellStyle name="20% - Énfasis5 34" xfId="1022"/>
    <cellStyle name="20% - Énfasis5 35" xfId="1023"/>
    <cellStyle name="20% - Énfasis5 36" xfId="1024"/>
    <cellStyle name="20% - Énfasis5 36 2" xfId="1025"/>
    <cellStyle name="20% - Énfasis5 36 2 2" xfId="1026"/>
    <cellStyle name="20% - Énfasis5 36 2 2 2" xfId="1027"/>
    <cellStyle name="20% - Énfasis5 36 2 2 3" xfId="1028"/>
    <cellStyle name="20% - Énfasis5 36 2 3" xfId="1029"/>
    <cellStyle name="20% - Énfasis5 36 2 4" xfId="1030"/>
    <cellStyle name="20% - Énfasis5 36 3" xfId="1031"/>
    <cellStyle name="20% - Énfasis5 36 3 2" xfId="1032"/>
    <cellStyle name="20% - Énfasis5 36 3 3" xfId="1033"/>
    <cellStyle name="20% - Énfasis5 36 4" xfId="1034"/>
    <cellStyle name="20% - Énfasis5 36 5" xfId="1035"/>
    <cellStyle name="20% - Énfasis5 37" xfId="1036"/>
    <cellStyle name="20% - Énfasis5 37 2" xfId="1037"/>
    <cellStyle name="20% - Énfasis5 37 2 2" xfId="1038"/>
    <cellStyle name="20% - Énfasis5 37 2 2 2" xfId="1039"/>
    <cellStyle name="20% - Énfasis5 37 2 2 3" xfId="1040"/>
    <cellStyle name="20% - Énfasis5 37 2 3" xfId="1041"/>
    <cellStyle name="20% - Énfasis5 37 2 4" xfId="1042"/>
    <cellStyle name="20% - Énfasis5 37 3" xfId="1043"/>
    <cellStyle name="20% - Énfasis5 37 3 2" xfId="1044"/>
    <cellStyle name="20% - Énfasis5 37 3 3" xfId="1045"/>
    <cellStyle name="20% - Énfasis5 37 4" xfId="1046"/>
    <cellStyle name="20% - Énfasis5 37 5" xfId="1047"/>
    <cellStyle name="20% - Énfasis5 38" xfId="1048"/>
    <cellStyle name="20% - Énfasis5 4" xfId="1049"/>
    <cellStyle name="20% - Énfasis5 4 10" xfId="1050"/>
    <cellStyle name="20% - Énfasis5 4 11" xfId="1051"/>
    <cellStyle name="20% - Énfasis5 4 12" xfId="1052"/>
    <cellStyle name="20% - Énfasis5 4 13" xfId="1053"/>
    <cellStyle name="20% - Énfasis5 4 14" xfId="1054"/>
    <cellStyle name="20% - Énfasis5 4 15" xfId="1055"/>
    <cellStyle name="20% - Énfasis5 4 16" xfId="1056"/>
    <cellStyle name="20% - Énfasis5 4 17" xfId="1057"/>
    <cellStyle name="20% - Énfasis5 4 18" xfId="1058"/>
    <cellStyle name="20% - Énfasis5 4 19" xfId="1059"/>
    <cellStyle name="20% - Énfasis5 4 2" xfId="1060"/>
    <cellStyle name="20% - Énfasis5 4 20" xfId="1061"/>
    <cellStyle name="20% - Énfasis5 4 21" xfId="1062"/>
    <cellStyle name="20% - Énfasis5 4 22" xfId="1063"/>
    <cellStyle name="20% - Énfasis5 4 23" xfId="1064"/>
    <cellStyle name="20% - Énfasis5 4 24" xfId="1065"/>
    <cellStyle name="20% - Énfasis5 4 25" xfId="1066"/>
    <cellStyle name="20% - Énfasis5 4 26" xfId="1067"/>
    <cellStyle name="20% - Énfasis5 4 27" xfId="1068"/>
    <cellStyle name="20% - Énfasis5 4 28" xfId="1069"/>
    <cellStyle name="20% - Énfasis5 4 29" xfId="1070"/>
    <cellStyle name="20% - Énfasis5 4 3" xfId="1071"/>
    <cellStyle name="20% - Énfasis5 4 30" xfId="1072"/>
    <cellStyle name="20% - Énfasis5 4 31" xfId="1073"/>
    <cellStyle name="20% - Énfasis5 4 32" xfId="1074"/>
    <cellStyle name="20% - Énfasis5 4 33" xfId="1075"/>
    <cellStyle name="20% - Énfasis5 4 34" xfId="1076"/>
    <cellStyle name="20% - Énfasis5 4 35" xfId="1077"/>
    <cellStyle name="20% - Énfasis5 4 36" xfId="1078"/>
    <cellStyle name="20% - Énfasis5 4 37" xfId="1079"/>
    <cellStyle name="20% - Énfasis5 4 4" xfId="1080"/>
    <cellStyle name="20% - Énfasis5 4 5" xfId="1081"/>
    <cellStyle name="20% - Énfasis5 4 6" xfId="1082"/>
    <cellStyle name="20% - Énfasis5 4 7" xfId="1083"/>
    <cellStyle name="20% - Énfasis5 4 8" xfId="1084"/>
    <cellStyle name="20% - Énfasis5 4 9" xfId="1085"/>
    <cellStyle name="20% - Énfasis5 4_Equipo Centro" xfId="1086"/>
    <cellStyle name="20% - Énfasis5 5" xfId="1087"/>
    <cellStyle name="20% - Énfasis5 6" xfId="1088"/>
    <cellStyle name="20% - Énfasis5 7" xfId="1089"/>
    <cellStyle name="20% - Énfasis5 8" xfId="1090"/>
    <cellStyle name="20% - Énfasis5 9" xfId="1091"/>
    <cellStyle name="20% - Énfasis6 10" xfId="1092"/>
    <cellStyle name="20% - Énfasis6 11" xfId="1093"/>
    <cellStyle name="20% - Énfasis6 12" xfId="1094"/>
    <cellStyle name="20% - Énfasis6 13" xfId="1095"/>
    <cellStyle name="20% - Énfasis6 14" xfId="1096"/>
    <cellStyle name="20% - Énfasis6 15" xfId="1097"/>
    <cellStyle name="20% - Énfasis6 16" xfId="1098"/>
    <cellStyle name="20% - Énfasis6 17" xfId="1099"/>
    <cellStyle name="20% - Énfasis6 18" xfId="1100"/>
    <cellStyle name="20% - Énfasis6 19" xfId="1101"/>
    <cellStyle name="20% - Énfasis6 2" xfId="1102"/>
    <cellStyle name="20% - Énfasis6 2 10" xfId="1103"/>
    <cellStyle name="20% - Énfasis6 2 11" xfId="1104"/>
    <cellStyle name="20% - Énfasis6 2 12" xfId="1105"/>
    <cellStyle name="20% - Énfasis6 2 13" xfId="1106"/>
    <cellStyle name="20% - Énfasis6 2 14" xfId="1107"/>
    <cellStyle name="20% - Énfasis6 2 15" xfId="1108"/>
    <cellStyle name="20% - Énfasis6 2 16" xfId="1109"/>
    <cellStyle name="20% - Énfasis6 2 17" xfId="1110"/>
    <cellStyle name="20% - Énfasis6 2 18" xfId="1111"/>
    <cellStyle name="20% - Énfasis6 2 19" xfId="1112"/>
    <cellStyle name="20% - Énfasis6 2 2" xfId="1113"/>
    <cellStyle name="20% - Énfasis6 2 20" xfId="1114"/>
    <cellStyle name="20% - Énfasis6 2 21" xfId="1115"/>
    <cellStyle name="20% - Énfasis6 2 22" xfId="1116"/>
    <cellStyle name="20% - Énfasis6 2 23" xfId="1117"/>
    <cellStyle name="20% - Énfasis6 2 24" xfId="1118"/>
    <cellStyle name="20% - Énfasis6 2 25" xfId="1119"/>
    <cellStyle name="20% - Énfasis6 2 26" xfId="1120"/>
    <cellStyle name="20% - Énfasis6 2 27" xfId="1121"/>
    <cellStyle name="20% - Énfasis6 2 28" xfId="1122"/>
    <cellStyle name="20% - Énfasis6 2 29" xfId="1123"/>
    <cellStyle name="20% - Énfasis6 2 3" xfId="1124"/>
    <cellStyle name="20% - Énfasis6 2 30" xfId="1125"/>
    <cellStyle name="20% - Énfasis6 2 31" xfId="1126"/>
    <cellStyle name="20% - Énfasis6 2 32" xfId="1127"/>
    <cellStyle name="20% - Énfasis6 2 33" xfId="1128"/>
    <cellStyle name="20% - Énfasis6 2 34" xfId="1129"/>
    <cellStyle name="20% - Énfasis6 2 35" xfId="1130"/>
    <cellStyle name="20% - Énfasis6 2 36" xfId="1131"/>
    <cellStyle name="20% - Énfasis6 2 37" xfId="1132"/>
    <cellStyle name="20% - Énfasis6 2 4" xfId="1133"/>
    <cellStyle name="20% - Énfasis6 2 5" xfId="1134"/>
    <cellStyle name="20% - Énfasis6 2 6" xfId="1135"/>
    <cellStyle name="20% - Énfasis6 2 7" xfId="1136"/>
    <cellStyle name="20% - Énfasis6 2 8" xfId="1137"/>
    <cellStyle name="20% - Énfasis6 2 9" xfId="1138"/>
    <cellStyle name="20% - Énfasis6 2_Equipo Centro" xfId="1139"/>
    <cellStyle name="20% - Énfasis6 20" xfId="1140"/>
    <cellStyle name="20% - Énfasis6 21" xfId="1141"/>
    <cellStyle name="20% - Énfasis6 22" xfId="1142"/>
    <cellStyle name="20% - Énfasis6 23" xfId="1143"/>
    <cellStyle name="20% - Énfasis6 24" xfId="1144"/>
    <cellStyle name="20% - Énfasis6 25" xfId="1145"/>
    <cellStyle name="20% - Énfasis6 26" xfId="1146"/>
    <cellStyle name="20% - Énfasis6 27" xfId="1147"/>
    <cellStyle name="20% - Énfasis6 28" xfId="1148"/>
    <cellStyle name="20% - Énfasis6 29" xfId="1149"/>
    <cellStyle name="20% - Énfasis6 3" xfId="1150"/>
    <cellStyle name="20% - Énfasis6 3 10" xfId="1151"/>
    <cellStyle name="20% - Énfasis6 3 11" xfId="1152"/>
    <cellStyle name="20% - Énfasis6 3 12" xfId="1153"/>
    <cellStyle name="20% - Énfasis6 3 13" xfId="1154"/>
    <cellStyle name="20% - Énfasis6 3 14" xfId="1155"/>
    <cellStyle name="20% - Énfasis6 3 15" xfId="1156"/>
    <cellStyle name="20% - Énfasis6 3 16" xfId="1157"/>
    <cellStyle name="20% - Énfasis6 3 17" xfId="1158"/>
    <cellStyle name="20% - Énfasis6 3 18" xfId="1159"/>
    <cellStyle name="20% - Énfasis6 3 19" xfId="1160"/>
    <cellStyle name="20% - Énfasis6 3 2" xfId="1161"/>
    <cellStyle name="20% - Énfasis6 3 20" xfId="1162"/>
    <cellStyle name="20% - Énfasis6 3 21" xfId="1163"/>
    <cellStyle name="20% - Énfasis6 3 22" xfId="1164"/>
    <cellStyle name="20% - Énfasis6 3 23" xfId="1165"/>
    <cellStyle name="20% - Énfasis6 3 24" xfId="1166"/>
    <cellStyle name="20% - Énfasis6 3 25" xfId="1167"/>
    <cellStyle name="20% - Énfasis6 3 26" xfId="1168"/>
    <cellStyle name="20% - Énfasis6 3 27" xfId="1169"/>
    <cellStyle name="20% - Énfasis6 3 28" xfId="1170"/>
    <cellStyle name="20% - Énfasis6 3 29" xfId="1171"/>
    <cellStyle name="20% - Énfasis6 3 3" xfId="1172"/>
    <cellStyle name="20% - Énfasis6 3 30" xfId="1173"/>
    <cellStyle name="20% - Énfasis6 3 31" xfId="1174"/>
    <cellStyle name="20% - Énfasis6 3 32" xfId="1175"/>
    <cellStyle name="20% - Énfasis6 3 33" xfId="1176"/>
    <cellStyle name="20% - Énfasis6 3 34" xfId="1177"/>
    <cellStyle name="20% - Énfasis6 3 35" xfId="1178"/>
    <cellStyle name="20% - Énfasis6 3 36" xfId="1179"/>
    <cellStyle name="20% - Énfasis6 3 37" xfId="1180"/>
    <cellStyle name="20% - Énfasis6 3 4" xfId="1181"/>
    <cellStyle name="20% - Énfasis6 3 5" xfId="1182"/>
    <cellStyle name="20% - Énfasis6 3 6" xfId="1183"/>
    <cellStyle name="20% - Énfasis6 3 7" xfId="1184"/>
    <cellStyle name="20% - Énfasis6 3 8" xfId="1185"/>
    <cellStyle name="20% - Énfasis6 3 9" xfId="1186"/>
    <cellStyle name="20% - Énfasis6 3_Equipo Centro" xfId="1187"/>
    <cellStyle name="20% - Énfasis6 30" xfId="1188"/>
    <cellStyle name="20% - Énfasis6 31" xfId="1189"/>
    <cellStyle name="20% - Énfasis6 32" xfId="1190"/>
    <cellStyle name="20% - Énfasis6 33" xfId="1191"/>
    <cellStyle name="20% - Énfasis6 34" xfId="1192"/>
    <cellStyle name="20% - Énfasis6 35" xfId="1193"/>
    <cellStyle name="20% - Énfasis6 36" xfId="1194"/>
    <cellStyle name="20% - Énfasis6 36 2" xfId="1195"/>
    <cellStyle name="20% - Énfasis6 36 2 2" xfId="1196"/>
    <cellStyle name="20% - Énfasis6 36 2 2 2" xfId="1197"/>
    <cellStyle name="20% - Énfasis6 36 2 2 3" xfId="1198"/>
    <cellStyle name="20% - Énfasis6 36 2 3" xfId="1199"/>
    <cellStyle name="20% - Énfasis6 36 2 4" xfId="1200"/>
    <cellStyle name="20% - Énfasis6 36 3" xfId="1201"/>
    <cellStyle name="20% - Énfasis6 36 3 2" xfId="1202"/>
    <cellStyle name="20% - Énfasis6 36 3 3" xfId="1203"/>
    <cellStyle name="20% - Énfasis6 36 4" xfId="1204"/>
    <cellStyle name="20% - Énfasis6 36 5" xfId="1205"/>
    <cellStyle name="20% - Énfasis6 37" xfId="1206"/>
    <cellStyle name="20% - Énfasis6 37 2" xfId="1207"/>
    <cellStyle name="20% - Énfasis6 37 2 2" xfId="1208"/>
    <cellStyle name="20% - Énfasis6 37 2 2 2" xfId="1209"/>
    <cellStyle name="20% - Énfasis6 37 2 2 3" xfId="1210"/>
    <cellStyle name="20% - Énfasis6 37 2 3" xfId="1211"/>
    <cellStyle name="20% - Énfasis6 37 2 4" xfId="1212"/>
    <cellStyle name="20% - Énfasis6 37 3" xfId="1213"/>
    <cellStyle name="20% - Énfasis6 37 3 2" xfId="1214"/>
    <cellStyle name="20% - Énfasis6 37 3 3" xfId="1215"/>
    <cellStyle name="20% - Énfasis6 37 4" xfId="1216"/>
    <cellStyle name="20% - Énfasis6 37 5" xfId="1217"/>
    <cellStyle name="20% - Énfasis6 38" xfId="1218"/>
    <cellStyle name="20% - Énfasis6 4" xfId="1219"/>
    <cellStyle name="20% - Énfasis6 4 10" xfId="1220"/>
    <cellStyle name="20% - Énfasis6 4 11" xfId="1221"/>
    <cellStyle name="20% - Énfasis6 4 12" xfId="1222"/>
    <cellStyle name="20% - Énfasis6 4 13" xfId="1223"/>
    <cellStyle name="20% - Énfasis6 4 14" xfId="1224"/>
    <cellStyle name="20% - Énfasis6 4 15" xfId="1225"/>
    <cellStyle name="20% - Énfasis6 4 16" xfId="1226"/>
    <cellStyle name="20% - Énfasis6 4 17" xfId="1227"/>
    <cellStyle name="20% - Énfasis6 4 18" xfId="1228"/>
    <cellStyle name="20% - Énfasis6 4 19" xfId="1229"/>
    <cellStyle name="20% - Énfasis6 4 2" xfId="1230"/>
    <cellStyle name="20% - Énfasis6 4 20" xfId="1231"/>
    <cellStyle name="20% - Énfasis6 4 21" xfId="1232"/>
    <cellStyle name="20% - Énfasis6 4 22" xfId="1233"/>
    <cellStyle name="20% - Énfasis6 4 23" xfId="1234"/>
    <cellStyle name="20% - Énfasis6 4 24" xfId="1235"/>
    <cellStyle name="20% - Énfasis6 4 25" xfId="1236"/>
    <cellStyle name="20% - Énfasis6 4 26" xfId="1237"/>
    <cellStyle name="20% - Énfasis6 4 27" xfId="1238"/>
    <cellStyle name="20% - Énfasis6 4 28" xfId="1239"/>
    <cellStyle name="20% - Énfasis6 4 29" xfId="1240"/>
    <cellStyle name="20% - Énfasis6 4 3" xfId="1241"/>
    <cellStyle name="20% - Énfasis6 4 30" xfId="1242"/>
    <cellStyle name="20% - Énfasis6 4 31" xfId="1243"/>
    <cellStyle name="20% - Énfasis6 4 32" xfId="1244"/>
    <cellStyle name="20% - Énfasis6 4 33" xfId="1245"/>
    <cellStyle name="20% - Énfasis6 4 34" xfId="1246"/>
    <cellStyle name="20% - Énfasis6 4 35" xfId="1247"/>
    <cellStyle name="20% - Énfasis6 4 36" xfId="1248"/>
    <cellStyle name="20% - Énfasis6 4 37" xfId="1249"/>
    <cellStyle name="20% - Énfasis6 4 4" xfId="1250"/>
    <cellStyle name="20% - Énfasis6 4 5" xfId="1251"/>
    <cellStyle name="20% - Énfasis6 4 6" xfId="1252"/>
    <cellStyle name="20% - Énfasis6 4 7" xfId="1253"/>
    <cellStyle name="20% - Énfasis6 4 8" xfId="1254"/>
    <cellStyle name="20% - Énfasis6 4 9" xfId="1255"/>
    <cellStyle name="20% - Énfasis6 4_Equipo Centro" xfId="1256"/>
    <cellStyle name="20% - Énfasis6 5" xfId="1257"/>
    <cellStyle name="20% - Énfasis6 6" xfId="1258"/>
    <cellStyle name="20% - Énfasis6 7" xfId="1259"/>
    <cellStyle name="20% - Énfasis6 8" xfId="1260"/>
    <cellStyle name="20% - Énfasis6 9" xfId="1261"/>
    <cellStyle name="40% - Accent1" xfId="1262"/>
    <cellStyle name="40% - Accent1 10" xfId="1263"/>
    <cellStyle name="40% - Accent1 11" xfId="1264"/>
    <cellStyle name="40% - Accent1 12" xfId="1265"/>
    <cellStyle name="40% - Accent1 13" xfId="1266"/>
    <cellStyle name="40% - Accent1 14" xfId="1267"/>
    <cellStyle name="40% - Accent1 15" xfId="1268"/>
    <cellStyle name="40% - Accent1 16" xfId="1269"/>
    <cellStyle name="40% - Accent1 17" xfId="1270"/>
    <cellStyle name="40% - Accent1 18" xfId="1271"/>
    <cellStyle name="40% - Accent1 19" xfId="1272"/>
    <cellStyle name="40% - Accent1 2" xfId="1273"/>
    <cellStyle name="40% - Accent1 20" xfId="1274"/>
    <cellStyle name="40% - Accent1 21" xfId="1275"/>
    <cellStyle name="40% - Accent1 22" xfId="1276"/>
    <cellStyle name="40% - Accent1 23" xfId="1277"/>
    <cellStyle name="40% - Accent1 24" xfId="1278"/>
    <cellStyle name="40% - Accent1 25" xfId="1279"/>
    <cellStyle name="40% - Accent1 26" xfId="1280"/>
    <cellStyle name="40% - Accent1 27" xfId="1281"/>
    <cellStyle name="40% - Accent1 28" xfId="1282"/>
    <cellStyle name="40% - Accent1 29" xfId="1283"/>
    <cellStyle name="40% - Accent1 3" xfId="1284"/>
    <cellStyle name="40% - Accent1 30" xfId="1285"/>
    <cellStyle name="40% - Accent1 31" xfId="1286"/>
    <cellStyle name="40% - Accent1 32" xfId="1287"/>
    <cellStyle name="40% - Accent1 33" xfId="1288"/>
    <cellStyle name="40% - Accent1 34" xfId="1289"/>
    <cellStyle name="40% - Accent1 35" xfId="1290"/>
    <cellStyle name="40% - Accent1 36" xfId="1291"/>
    <cellStyle name="40% - Accent1 37" xfId="1292"/>
    <cellStyle name="40% - Accent1 4" xfId="1293"/>
    <cellStyle name="40% - Accent1 5" xfId="1294"/>
    <cellStyle name="40% - Accent1 6" xfId="1295"/>
    <cellStyle name="40% - Accent1 7" xfId="1296"/>
    <cellStyle name="40% - Accent1 8" xfId="1297"/>
    <cellStyle name="40% - Accent1 9" xfId="1298"/>
    <cellStyle name="40% - Accent1_Equipo Centro" xfId="1299"/>
    <cellStyle name="40% - Accent2" xfId="1300"/>
    <cellStyle name="40% - Accent2 10" xfId="1301"/>
    <cellStyle name="40% - Accent2 11" xfId="1302"/>
    <cellStyle name="40% - Accent2 12" xfId="1303"/>
    <cellStyle name="40% - Accent2 13" xfId="1304"/>
    <cellStyle name="40% - Accent2 14" xfId="1305"/>
    <cellStyle name="40% - Accent2 15" xfId="1306"/>
    <cellStyle name="40% - Accent2 16" xfId="1307"/>
    <cellStyle name="40% - Accent2 17" xfId="1308"/>
    <cellStyle name="40% - Accent2 18" xfId="1309"/>
    <cellStyle name="40% - Accent2 19" xfId="1310"/>
    <cellStyle name="40% - Accent2 2" xfId="1311"/>
    <cellStyle name="40% - Accent2 20" xfId="1312"/>
    <cellStyle name="40% - Accent2 21" xfId="1313"/>
    <cellStyle name="40% - Accent2 22" xfId="1314"/>
    <cellStyle name="40% - Accent2 23" xfId="1315"/>
    <cellStyle name="40% - Accent2 24" xfId="1316"/>
    <cellStyle name="40% - Accent2 25" xfId="1317"/>
    <cellStyle name="40% - Accent2 26" xfId="1318"/>
    <cellStyle name="40% - Accent2 27" xfId="1319"/>
    <cellStyle name="40% - Accent2 28" xfId="1320"/>
    <cellStyle name="40% - Accent2 29" xfId="1321"/>
    <cellStyle name="40% - Accent2 3" xfId="1322"/>
    <cellStyle name="40% - Accent2 30" xfId="1323"/>
    <cellStyle name="40% - Accent2 31" xfId="1324"/>
    <cellStyle name="40% - Accent2 32" xfId="1325"/>
    <cellStyle name="40% - Accent2 33" xfId="1326"/>
    <cellStyle name="40% - Accent2 34" xfId="1327"/>
    <cellStyle name="40% - Accent2 35" xfId="1328"/>
    <cellStyle name="40% - Accent2 36" xfId="1329"/>
    <cellStyle name="40% - Accent2 37" xfId="1330"/>
    <cellStyle name="40% - Accent2 4" xfId="1331"/>
    <cellStyle name="40% - Accent2 5" xfId="1332"/>
    <cellStyle name="40% - Accent2 6" xfId="1333"/>
    <cellStyle name="40% - Accent2 7" xfId="1334"/>
    <cellStyle name="40% - Accent2 8" xfId="1335"/>
    <cellStyle name="40% - Accent2 9" xfId="1336"/>
    <cellStyle name="40% - Accent2_Equipo Centro" xfId="1337"/>
    <cellStyle name="40% - Accent3" xfId="1338"/>
    <cellStyle name="40% - Accent3 10" xfId="1339"/>
    <cellStyle name="40% - Accent3 11" xfId="1340"/>
    <cellStyle name="40% - Accent3 12" xfId="1341"/>
    <cellStyle name="40% - Accent3 13" xfId="1342"/>
    <cellStyle name="40% - Accent3 14" xfId="1343"/>
    <cellStyle name="40% - Accent3 15" xfId="1344"/>
    <cellStyle name="40% - Accent3 16" xfId="1345"/>
    <cellStyle name="40% - Accent3 17" xfId="1346"/>
    <cellStyle name="40% - Accent3 18" xfId="1347"/>
    <cellStyle name="40% - Accent3 19" xfId="1348"/>
    <cellStyle name="40% - Accent3 2" xfId="1349"/>
    <cellStyle name="40% - Accent3 20" xfId="1350"/>
    <cellStyle name="40% - Accent3 21" xfId="1351"/>
    <cellStyle name="40% - Accent3 22" xfId="1352"/>
    <cellStyle name="40% - Accent3 23" xfId="1353"/>
    <cellStyle name="40% - Accent3 24" xfId="1354"/>
    <cellStyle name="40% - Accent3 25" xfId="1355"/>
    <cellStyle name="40% - Accent3 26" xfId="1356"/>
    <cellStyle name="40% - Accent3 27" xfId="1357"/>
    <cellStyle name="40% - Accent3 28" xfId="1358"/>
    <cellStyle name="40% - Accent3 29" xfId="1359"/>
    <cellStyle name="40% - Accent3 3" xfId="1360"/>
    <cellStyle name="40% - Accent3 30" xfId="1361"/>
    <cellStyle name="40% - Accent3 31" xfId="1362"/>
    <cellStyle name="40% - Accent3 32" xfId="1363"/>
    <cellStyle name="40% - Accent3 33" xfId="1364"/>
    <cellStyle name="40% - Accent3 34" xfId="1365"/>
    <cellStyle name="40% - Accent3 35" xfId="1366"/>
    <cellStyle name="40% - Accent3 36" xfId="1367"/>
    <cellStyle name="40% - Accent3 37" xfId="1368"/>
    <cellStyle name="40% - Accent3 4" xfId="1369"/>
    <cellStyle name="40% - Accent3 5" xfId="1370"/>
    <cellStyle name="40% - Accent3 6" xfId="1371"/>
    <cellStyle name="40% - Accent3 7" xfId="1372"/>
    <cellStyle name="40% - Accent3 8" xfId="1373"/>
    <cellStyle name="40% - Accent3 9" xfId="1374"/>
    <cellStyle name="40% - Accent3_Equipo Centro" xfId="1375"/>
    <cellStyle name="40% - Accent4" xfId="1376"/>
    <cellStyle name="40% - Accent4 10" xfId="1377"/>
    <cellStyle name="40% - Accent4 11" xfId="1378"/>
    <cellStyle name="40% - Accent4 12" xfId="1379"/>
    <cellStyle name="40% - Accent4 13" xfId="1380"/>
    <cellStyle name="40% - Accent4 14" xfId="1381"/>
    <cellStyle name="40% - Accent4 15" xfId="1382"/>
    <cellStyle name="40% - Accent4 16" xfId="1383"/>
    <cellStyle name="40% - Accent4 17" xfId="1384"/>
    <cellStyle name="40% - Accent4 18" xfId="1385"/>
    <cellStyle name="40% - Accent4 19" xfId="1386"/>
    <cellStyle name="40% - Accent4 2" xfId="1387"/>
    <cellStyle name="40% - Accent4 20" xfId="1388"/>
    <cellStyle name="40% - Accent4 21" xfId="1389"/>
    <cellStyle name="40% - Accent4 22" xfId="1390"/>
    <cellStyle name="40% - Accent4 23" xfId="1391"/>
    <cellStyle name="40% - Accent4 24" xfId="1392"/>
    <cellStyle name="40% - Accent4 25" xfId="1393"/>
    <cellStyle name="40% - Accent4 26" xfId="1394"/>
    <cellStyle name="40% - Accent4 27" xfId="1395"/>
    <cellStyle name="40% - Accent4 28" xfId="1396"/>
    <cellStyle name="40% - Accent4 29" xfId="1397"/>
    <cellStyle name="40% - Accent4 3" xfId="1398"/>
    <cellStyle name="40% - Accent4 30" xfId="1399"/>
    <cellStyle name="40% - Accent4 31" xfId="1400"/>
    <cellStyle name="40% - Accent4 32" xfId="1401"/>
    <cellStyle name="40% - Accent4 33" xfId="1402"/>
    <cellStyle name="40% - Accent4 34" xfId="1403"/>
    <cellStyle name="40% - Accent4 35" xfId="1404"/>
    <cellStyle name="40% - Accent4 36" xfId="1405"/>
    <cellStyle name="40% - Accent4 37" xfId="1406"/>
    <cellStyle name="40% - Accent4 4" xfId="1407"/>
    <cellStyle name="40% - Accent4 5" xfId="1408"/>
    <cellStyle name="40% - Accent4 6" xfId="1409"/>
    <cellStyle name="40% - Accent4 7" xfId="1410"/>
    <cellStyle name="40% - Accent4 8" xfId="1411"/>
    <cellStyle name="40% - Accent4 9" xfId="1412"/>
    <cellStyle name="40% - Accent4_Equipo Centro" xfId="1413"/>
    <cellStyle name="40% - Accent5" xfId="1414"/>
    <cellStyle name="40% - Accent5 10" xfId="1415"/>
    <cellStyle name="40% - Accent5 11" xfId="1416"/>
    <cellStyle name="40% - Accent5 12" xfId="1417"/>
    <cellStyle name="40% - Accent5 13" xfId="1418"/>
    <cellStyle name="40% - Accent5 14" xfId="1419"/>
    <cellStyle name="40% - Accent5 15" xfId="1420"/>
    <cellStyle name="40% - Accent5 16" xfId="1421"/>
    <cellStyle name="40% - Accent5 17" xfId="1422"/>
    <cellStyle name="40% - Accent5 18" xfId="1423"/>
    <cellStyle name="40% - Accent5 19" xfId="1424"/>
    <cellStyle name="40% - Accent5 2" xfId="1425"/>
    <cellStyle name="40% - Accent5 20" xfId="1426"/>
    <cellStyle name="40% - Accent5 21" xfId="1427"/>
    <cellStyle name="40% - Accent5 22" xfId="1428"/>
    <cellStyle name="40% - Accent5 23" xfId="1429"/>
    <cellStyle name="40% - Accent5 24" xfId="1430"/>
    <cellStyle name="40% - Accent5 25" xfId="1431"/>
    <cellStyle name="40% - Accent5 26" xfId="1432"/>
    <cellStyle name="40% - Accent5 27" xfId="1433"/>
    <cellStyle name="40% - Accent5 28" xfId="1434"/>
    <cellStyle name="40% - Accent5 29" xfId="1435"/>
    <cellStyle name="40% - Accent5 3" xfId="1436"/>
    <cellStyle name="40% - Accent5 30" xfId="1437"/>
    <cellStyle name="40% - Accent5 31" xfId="1438"/>
    <cellStyle name="40% - Accent5 32" xfId="1439"/>
    <cellStyle name="40% - Accent5 33" xfId="1440"/>
    <cellStyle name="40% - Accent5 34" xfId="1441"/>
    <cellStyle name="40% - Accent5 35" xfId="1442"/>
    <cellStyle name="40% - Accent5 36" xfId="1443"/>
    <cellStyle name="40% - Accent5 37" xfId="1444"/>
    <cellStyle name="40% - Accent5 4" xfId="1445"/>
    <cellStyle name="40% - Accent5 5" xfId="1446"/>
    <cellStyle name="40% - Accent5 6" xfId="1447"/>
    <cellStyle name="40% - Accent5 7" xfId="1448"/>
    <cellStyle name="40% - Accent5 8" xfId="1449"/>
    <cellStyle name="40% - Accent5 9" xfId="1450"/>
    <cellStyle name="40% - Accent5_Equipo Centro" xfId="1451"/>
    <cellStyle name="40% - Accent6" xfId="1452"/>
    <cellStyle name="40% - Accent6 10" xfId="1453"/>
    <cellStyle name="40% - Accent6 11" xfId="1454"/>
    <cellStyle name="40% - Accent6 12" xfId="1455"/>
    <cellStyle name="40% - Accent6 13" xfId="1456"/>
    <cellStyle name="40% - Accent6 14" xfId="1457"/>
    <cellStyle name="40% - Accent6 15" xfId="1458"/>
    <cellStyle name="40% - Accent6 16" xfId="1459"/>
    <cellStyle name="40% - Accent6 17" xfId="1460"/>
    <cellStyle name="40% - Accent6 18" xfId="1461"/>
    <cellStyle name="40% - Accent6 19" xfId="1462"/>
    <cellStyle name="40% - Accent6 2" xfId="1463"/>
    <cellStyle name="40% - Accent6 20" xfId="1464"/>
    <cellStyle name="40% - Accent6 21" xfId="1465"/>
    <cellStyle name="40% - Accent6 22" xfId="1466"/>
    <cellStyle name="40% - Accent6 23" xfId="1467"/>
    <cellStyle name="40% - Accent6 24" xfId="1468"/>
    <cellStyle name="40% - Accent6 25" xfId="1469"/>
    <cellStyle name="40% - Accent6 26" xfId="1470"/>
    <cellStyle name="40% - Accent6 27" xfId="1471"/>
    <cellStyle name="40% - Accent6 28" xfId="1472"/>
    <cellStyle name="40% - Accent6 29" xfId="1473"/>
    <cellStyle name="40% - Accent6 3" xfId="1474"/>
    <cellStyle name="40% - Accent6 30" xfId="1475"/>
    <cellStyle name="40% - Accent6 31" xfId="1476"/>
    <cellStyle name="40% - Accent6 32" xfId="1477"/>
    <cellStyle name="40% - Accent6 33" xfId="1478"/>
    <cellStyle name="40% - Accent6 34" xfId="1479"/>
    <cellStyle name="40% - Accent6 35" xfId="1480"/>
    <cellStyle name="40% - Accent6 36" xfId="1481"/>
    <cellStyle name="40% - Accent6 37" xfId="1482"/>
    <cellStyle name="40% - Accent6 4" xfId="1483"/>
    <cellStyle name="40% - Accent6 5" xfId="1484"/>
    <cellStyle name="40% - Accent6 6" xfId="1485"/>
    <cellStyle name="40% - Accent6 7" xfId="1486"/>
    <cellStyle name="40% - Accent6 8" xfId="1487"/>
    <cellStyle name="40% - Accent6 9" xfId="1488"/>
    <cellStyle name="40% - Accent6_Equipo Centro" xfId="1489"/>
    <cellStyle name="40% - Énfasis1 10" xfId="1490"/>
    <cellStyle name="40% - Énfasis1 11" xfId="1491"/>
    <cellStyle name="40% - Énfasis1 12" xfId="1492"/>
    <cellStyle name="40% - Énfasis1 13" xfId="1493"/>
    <cellStyle name="40% - Énfasis1 14" xfId="1494"/>
    <cellStyle name="40% - Énfasis1 15" xfId="1495"/>
    <cellStyle name="40% - Énfasis1 16" xfId="1496"/>
    <cellStyle name="40% - Énfasis1 17" xfId="1497"/>
    <cellStyle name="40% - Énfasis1 18" xfId="1498"/>
    <cellStyle name="40% - Énfasis1 19" xfId="1499"/>
    <cellStyle name="40% - Énfasis1 2" xfId="1500"/>
    <cellStyle name="40% - Énfasis1 2 10" xfId="1501"/>
    <cellStyle name="40% - Énfasis1 2 11" xfId="1502"/>
    <cellStyle name="40% - Énfasis1 2 12" xfId="1503"/>
    <cellStyle name="40% - Énfasis1 2 13" xfId="1504"/>
    <cellStyle name="40% - Énfasis1 2 14" xfId="1505"/>
    <cellStyle name="40% - Énfasis1 2 15" xfId="1506"/>
    <cellStyle name="40% - Énfasis1 2 16" xfId="1507"/>
    <cellStyle name="40% - Énfasis1 2 17" xfId="1508"/>
    <cellStyle name="40% - Énfasis1 2 18" xfId="1509"/>
    <cellStyle name="40% - Énfasis1 2 19" xfId="1510"/>
    <cellStyle name="40% - Énfasis1 2 2" xfId="1511"/>
    <cellStyle name="40% - Énfasis1 2 20" xfId="1512"/>
    <cellStyle name="40% - Énfasis1 2 21" xfId="1513"/>
    <cellStyle name="40% - Énfasis1 2 22" xfId="1514"/>
    <cellStyle name="40% - Énfasis1 2 23" xfId="1515"/>
    <cellStyle name="40% - Énfasis1 2 24" xfId="1516"/>
    <cellStyle name="40% - Énfasis1 2 25" xfId="1517"/>
    <cellStyle name="40% - Énfasis1 2 26" xfId="1518"/>
    <cellStyle name="40% - Énfasis1 2 27" xfId="1519"/>
    <cellStyle name="40% - Énfasis1 2 28" xfId="1520"/>
    <cellStyle name="40% - Énfasis1 2 29" xfId="1521"/>
    <cellStyle name="40% - Énfasis1 2 3" xfId="1522"/>
    <cellStyle name="40% - Énfasis1 2 30" xfId="1523"/>
    <cellStyle name="40% - Énfasis1 2 31" xfId="1524"/>
    <cellStyle name="40% - Énfasis1 2 32" xfId="1525"/>
    <cellStyle name="40% - Énfasis1 2 33" xfId="1526"/>
    <cellStyle name="40% - Énfasis1 2 34" xfId="1527"/>
    <cellStyle name="40% - Énfasis1 2 35" xfId="1528"/>
    <cellStyle name="40% - Énfasis1 2 36" xfId="1529"/>
    <cellStyle name="40% - Énfasis1 2 37" xfId="1530"/>
    <cellStyle name="40% - Énfasis1 2 4" xfId="1531"/>
    <cellStyle name="40% - Énfasis1 2 5" xfId="1532"/>
    <cellStyle name="40% - Énfasis1 2 6" xfId="1533"/>
    <cellStyle name="40% - Énfasis1 2 7" xfId="1534"/>
    <cellStyle name="40% - Énfasis1 2 8" xfId="1535"/>
    <cellStyle name="40% - Énfasis1 2 9" xfId="1536"/>
    <cellStyle name="40% - Énfasis1 2_Equipo Centro" xfId="1537"/>
    <cellStyle name="40% - Énfasis1 20" xfId="1538"/>
    <cellStyle name="40% - Énfasis1 21" xfId="1539"/>
    <cellStyle name="40% - Énfasis1 22" xfId="1540"/>
    <cellStyle name="40% - Énfasis1 23" xfId="1541"/>
    <cellStyle name="40% - Énfasis1 24" xfId="1542"/>
    <cellStyle name="40% - Énfasis1 25" xfId="1543"/>
    <cellStyle name="40% - Énfasis1 26" xfId="1544"/>
    <cellStyle name="40% - Énfasis1 27" xfId="1545"/>
    <cellStyle name="40% - Énfasis1 28" xfId="1546"/>
    <cellStyle name="40% - Énfasis1 29" xfId="1547"/>
    <cellStyle name="40% - Énfasis1 3" xfId="1548"/>
    <cellStyle name="40% - Énfasis1 3 10" xfId="1549"/>
    <cellStyle name="40% - Énfasis1 3 11" xfId="1550"/>
    <cellStyle name="40% - Énfasis1 3 12" xfId="1551"/>
    <cellStyle name="40% - Énfasis1 3 13" xfId="1552"/>
    <cellStyle name="40% - Énfasis1 3 14" xfId="1553"/>
    <cellStyle name="40% - Énfasis1 3 15" xfId="1554"/>
    <cellStyle name="40% - Énfasis1 3 16" xfId="1555"/>
    <cellStyle name="40% - Énfasis1 3 17" xfId="1556"/>
    <cellStyle name="40% - Énfasis1 3 18" xfId="1557"/>
    <cellStyle name="40% - Énfasis1 3 19" xfId="1558"/>
    <cellStyle name="40% - Énfasis1 3 2" xfId="1559"/>
    <cellStyle name="40% - Énfasis1 3 20" xfId="1560"/>
    <cellStyle name="40% - Énfasis1 3 21" xfId="1561"/>
    <cellStyle name="40% - Énfasis1 3 22" xfId="1562"/>
    <cellStyle name="40% - Énfasis1 3 23" xfId="1563"/>
    <cellStyle name="40% - Énfasis1 3 24" xfId="1564"/>
    <cellStyle name="40% - Énfasis1 3 25" xfId="1565"/>
    <cellStyle name="40% - Énfasis1 3 26" xfId="1566"/>
    <cellStyle name="40% - Énfasis1 3 27" xfId="1567"/>
    <cellStyle name="40% - Énfasis1 3 28" xfId="1568"/>
    <cellStyle name="40% - Énfasis1 3 29" xfId="1569"/>
    <cellStyle name="40% - Énfasis1 3 3" xfId="1570"/>
    <cellStyle name="40% - Énfasis1 3 30" xfId="1571"/>
    <cellStyle name="40% - Énfasis1 3 31" xfId="1572"/>
    <cellStyle name="40% - Énfasis1 3 32" xfId="1573"/>
    <cellStyle name="40% - Énfasis1 3 33" xfId="1574"/>
    <cellStyle name="40% - Énfasis1 3 34" xfId="1575"/>
    <cellStyle name="40% - Énfasis1 3 35" xfId="1576"/>
    <cellStyle name="40% - Énfasis1 3 36" xfId="1577"/>
    <cellStyle name="40% - Énfasis1 3 37" xfId="1578"/>
    <cellStyle name="40% - Énfasis1 3 4" xfId="1579"/>
    <cellStyle name="40% - Énfasis1 3 5" xfId="1580"/>
    <cellStyle name="40% - Énfasis1 3 6" xfId="1581"/>
    <cellStyle name="40% - Énfasis1 3 7" xfId="1582"/>
    <cellStyle name="40% - Énfasis1 3 8" xfId="1583"/>
    <cellStyle name="40% - Énfasis1 3 9" xfId="1584"/>
    <cellStyle name="40% - Énfasis1 3_Equipo Centro" xfId="1585"/>
    <cellStyle name="40% - Énfasis1 30" xfId="1586"/>
    <cellStyle name="40% - Énfasis1 31" xfId="1587"/>
    <cellStyle name="40% - Énfasis1 32" xfId="1588"/>
    <cellStyle name="40% - Énfasis1 33" xfId="1589"/>
    <cellStyle name="40% - Énfasis1 34" xfId="1590"/>
    <cellStyle name="40% - Énfasis1 35" xfId="1591"/>
    <cellStyle name="40% - Énfasis1 36" xfId="1592"/>
    <cellStyle name="40% - Énfasis1 36 2" xfId="1593"/>
    <cellStyle name="40% - Énfasis1 36 2 2" xfId="1594"/>
    <cellStyle name="40% - Énfasis1 36 2 2 2" xfId="1595"/>
    <cellStyle name="40% - Énfasis1 36 2 2 3" xfId="1596"/>
    <cellStyle name="40% - Énfasis1 36 2 3" xfId="1597"/>
    <cellStyle name="40% - Énfasis1 36 2 4" xfId="1598"/>
    <cellStyle name="40% - Énfasis1 36 3" xfId="1599"/>
    <cellStyle name="40% - Énfasis1 36 3 2" xfId="1600"/>
    <cellStyle name="40% - Énfasis1 36 3 3" xfId="1601"/>
    <cellStyle name="40% - Énfasis1 36 4" xfId="1602"/>
    <cellStyle name="40% - Énfasis1 36 5" xfId="1603"/>
    <cellStyle name="40% - Énfasis1 37" xfId="1604"/>
    <cellStyle name="40% - Énfasis1 37 2" xfId="1605"/>
    <cellStyle name="40% - Énfasis1 37 2 2" xfId="1606"/>
    <cellStyle name="40% - Énfasis1 37 2 2 2" xfId="1607"/>
    <cellStyle name="40% - Énfasis1 37 2 2 3" xfId="1608"/>
    <cellStyle name="40% - Énfasis1 37 2 3" xfId="1609"/>
    <cellStyle name="40% - Énfasis1 37 2 4" xfId="1610"/>
    <cellStyle name="40% - Énfasis1 37 3" xfId="1611"/>
    <cellStyle name="40% - Énfasis1 37 3 2" xfId="1612"/>
    <cellStyle name="40% - Énfasis1 37 3 3" xfId="1613"/>
    <cellStyle name="40% - Énfasis1 37 4" xfId="1614"/>
    <cellStyle name="40% - Énfasis1 37 5" xfId="1615"/>
    <cellStyle name="40% - Énfasis1 38" xfId="1616"/>
    <cellStyle name="40% - Énfasis1 4" xfId="1617"/>
    <cellStyle name="40% - Énfasis1 4 10" xfId="1618"/>
    <cellStyle name="40% - Énfasis1 4 11" xfId="1619"/>
    <cellStyle name="40% - Énfasis1 4 12" xfId="1620"/>
    <cellStyle name="40% - Énfasis1 4 13" xfId="1621"/>
    <cellStyle name="40% - Énfasis1 4 14" xfId="1622"/>
    <cellStyle name="40% - Énfasis1 4 15" xfId="1623"/>
    <cellStyle name="40% - Énfasis1 4 16" xfId="1624"/>
    <cellStyle name="40% - Énfasis1 4 17" xfId="1625"/>
    <cellStyle name="40% - Énfasis1 4 18" xfId="1626"/>
    <cellStyle name="40% - Énfasis1 4 19" xfId="1627"/>
    <cellStyle name="40% - Énfasis1 4 2" xfId="1628"/>
    <cellStyle name="40% - Énfasis1 4 20" xfId="1629"/>
    <cellStyle name="40% - Énfasis1 4 21" xfId="1630"/>
    <cellStyle name="40% - Énfasis1 4 22" xfId="1631"/>
    <cellStyle name="40% - Énfasis1 4 23" xfId="1632"/>
    <cellStyle name="40% - Énfasis1 4 24" xfId="1633"/>
    <cellStyle name="40% - Énfasis1 4 25" xfId="1634"/>
    <cellStyle name="40% - Énfasis1 4 26" xfId="1635"/>
    <cellStyle name="40% - Énfasis1 4 27" xfId="1636"/>
    <cellStyle name="40% - Énfasis1 4 28" xfId="1637"/>
    <cellStyle name="40% - Énfasis1 4 29" xfId="1638"/>
    <cellStyle name="40% - Énfasis1 4 3" xfId="1639"/>
    <cellStyle name="40% - Énfasis1 4 30" xfId="1640"/>
    <cellStyle name="40% - Énfasis1 4 31" xfId="1641"/>
    <cellStyle name="40% - Énfasis1 4 32" xfId="1642"/>
    <cellStyle name="40% - Énfasis1 4 33" xfId="1643"/>
    <cellStyle name="40% - Énfasis1 4 34" xfId="1644"/>
    <cellStyle name="40% - Énfasis1 4 35" xfId="1645"/>
    <cellStyle name="40% - Énfasis1 4 36" xfId="1646"/>
    <cellStyle name="40% - Énfasis1 4 37" xfId="1647"/>
    <cellStyle name="40% - Énfasis1 4 4" xfId="1648"/>
    <cellStyle name="40% - Énfasis1 4 5" xfId="1649"/>
    <cellStyle name="40% - Énfasis1 4 6" xfId="1650"/>
    <cellStyle name="40% - Énfasis1 4 7" xfId="1651"/>
    <cellStyle name="40% - Énfasis1 4 8" xfId="1652"/>
    <cellStyle name="40% - Énfasis1 4 9" xfId="1653"/>
    <cellStyle name="40% - Énfasis1 4_Equipo Centro" xfId="1654"/>
    <cellStyle name="40% - Énfasis1 5" xfId="1655"/>
    <cellStyle name="40% - Énfasis1 6" xfId="1656"/>
    <cellStyle name="40% - Énfasis1 7" xfId="1657"/>
    <cellStyle name="40% - Énfasis1 8" xfId="1658"/>
    <cellStyle name="40% - Énfasis1 9" xfId="1659"/>
    <cellStyle name="40% - Énfasis2 10" xfId="1660"/>
    <cellStyle name="40% - Énfasis2 11" xfId="1661"/>
    <cellStyle name="40% - Énfasis2 12" xfId="1662"/>
    <cellStyle name="40% - Énfasis2 13" xfId="1663"/>
    <cellStyle name="40% - Énfasis2 14" xfId="1664"/>
    <cellStyle name="40% - Énfasis2 15" xfId="1665"/>
    <cellStyle name="40% - Énfasis2 16" xfId="1666"/>
    <cellStyle name="40% - Énfasis2 17" xfId="1667"/>
    <cellStyle name="40% - Énfasis2 18" xfId="1668"/>
    <cellStyle name="40% - Énfasis2 19" xfId="1669"/>
    <cellStyle name="40% - Énfasis2 2" xfId="1670"/>
    <cellStyle name="40% - Énfasis2 2 10" xfId="1671"/>
    <cellStyle name="40% - Énfasis2 2 11" xfId="1672"/>
    <cellStyle name="40% - Énfasis2 2 12" xfId="1673"/>
    <cellStyle name="40% - Énfasis2 2 13" xfId="1674"/>
    <cellStyle name="40% - Énfasis2 2 14" xfId="1675"/>
    <cellStyle name="40% - Énfasis2 2 15" xfId="1676"/>
    <cellStyle name="40% - Énfasis2 2 16" xfId="1677"/>
    <cellStyle name="40% - Énfasis2 2 17" xfId="1678"/>
    <cellStyle name="40% - Énfasis2 2 18" xfId="1679"/>
    <cellStyle name="40% - Énfasis2 2 19" xfId="1680"/>
    <cellStyle name="40% - Énfasis2 2 2" xfId="1681"/>
    <cellStyle name="40% - Énfasis2 2 20" xfId="1682"/>
    <cellStyle name="40% - Énfasis2 2 21" xfId="1683"/>
    <cellStyle name="40% - Énfasis2 2 22" xfId="1684"/>
    <cellStyle name="40% - Énfasis2 2 23" xfId="1685"/>
    <cellStyle name="40% - Énfasis2 2 24" xfId="1686"/>
    <cellStyle name="40% - Énfasis2 2 25" xfId="1687"/>
    <cellStyle name="40% - Énfasis2 2 26" xfId="1688"/>
    <cellStyle name="40% - Énfasis2 2 27" xfId="1689"/>
    <cellStyle name="40% - Énfasis2 2 28" xfId="1690"/>
    <cellStyle name="40% - Énfasis2 2 29" xfId="1691"/>
    <cellStyle name="40% - Énfasis2 2 3" xfId="1692"/>
    <cellStyle name="40% - Énfasis2 2 30" xfId="1693"/>
    <cellStyle name="40% - Énfasis2 2 31" xfId="1694"/>
    <cellStyle name="40% - Énfasis2 2 32" xfId="1695"/>
    <cellStyle name="40% - Énfasis2 2 33" xfId="1696"/>
    <cellStyle name="40% - Énfasis2 2 34" xfId="1697"/>
    <cellStyle name="40% - Énfasis2 2 35" xfId="1698"/>
    <cellStyle name="40% - Énfasis2 2 36" xfId="1699"/>
    <cellStyle name="40% - Énfasis2 2 37" xfId="1700"/>
    <cellStyle name="40% - Énfasis2 2 4" xfId="1701"/>
    <cellStyle name="40% - Énfasis2 2 5" xfId="1702"/>
    <cellStyle name="40% - Énfasis2 2 6" xfId="1703"/>
    <cellStyle name="40% - Énfasis2 2 7" xfId="1704"/>
    <cellStyle name="40% - Énfasis2 2 8" xfId="1705"/>
    <cellStyle name="40% - Énfasis2 2 9" xfId="1706"/>
    <cellStyle name="40% - Énfasis2 2_Equipo Centro" xfId="1707"/>
    <cellStyle name="40% - Énfasis2 20" xfId="1708"/>
    <cellStyle name="40% - Énfasis2 21" xfId="1709"/>
    <cellStyle name="40% - Énfasis2 22" xfId="1710"/>
    <cellStyle name="40% - Énfasis2 23" xfId="1711"/>
    <cellStyle name="40% - Énfasis2 24" xfId="1712"/>
    <cellStyle name="40% - Énfasis2 25" xfId="1713"/>
    <cellStyle name="40% - Énfasis2 26" xfId="1714"/>
    <cellStyle name="40% - Énfasis2 27" xfId="1715"/>
    <cellStyle name="40% - Énfasis2 28" xfId="1716"/>
    <cellStyle name="40% - Énfasis2 29" xfId="1717"/>
    <cellStyle name="40% - Énfasis2 3" xfId="1718"/>
    <cellStyle name="40% - Énfasis2 3 10" xfId="1719"/>
    <cellStyle name="40% - Énfasis2 3 11" xfId="1720"/>
    <cellStyle name="40% - Énfasis2 3 12" xfId="1721"/>
    <cellStyle name="40% - Énfasis2 3 13" xfId="1722"/>
    <cellStyle name="40% - Énfasis2 3 14" xfId="1723"/>
    <cellStyle name="40% - Énfasis2 3 15" xfId="1724"/>
    <cellStyle name="40% - Énfasis2 3 16" xfId="1725"/>
    <cellStyle name="40% - Énfasis2 3 17" xfId="1726"/>
    <cellStyle name="40% - Énfasis2 3 18" xfId="1727"/>
    <cellStyle name="40% - Énfasis2 3 19" xfId="1728"/>
    <cellStyle name="40% - Énfasis2 3 2" xfId="1729"/>
    <cellStyle name="40% - Énfasis2 3 20" xfId="1730"/>
    <cellStyle name="40% - Énfasis2 3 21" xfId="1731"/>
    <cellStyle name="40% - Énfasis2 3 22" xfId="1732"/>
    <cellStyle name="40% - Énfasis2 3 23" xfId="1733"/>
    <cellStyle name="40% - Énfasis2 3 24" xfId="1734"/>
    <cellStyle name="40% - Énfasis2 3 25" xfId="1735"/>
    <cellStyle name="40% - Énfasis2 3 26" xfId="1736"/>
    <cellStyle name="40% - Énfasis2 3 27" xfId="1737"/>
    <cellStyle name="40% - Énfasis2 3 28" xfId="1738"/>
    <cellStyle name="40% - Énfasis2 3 29" xfId="1739"/>
    <cellStyle name="40% - Énfasis2 3 3" xfId="1740"/>
    <cellStyle name="40% - Énfasis2 3 30" xfId="1741"/>
    <cellStyle name="40% - Énfasis2 3 31" xfId="1742"/>
    <cellStyle name="40% - Énfasis2 3 32" xfId="1743"/>
    <cellStyle name="40% - Énfasis2 3 33" xfId="1744"/>
    <cellStyle name="40% - Énfasis2 3 34" xfId="1745"/>
    <cellStyle name="40% - Énfasis2 3 35" xfId="1746"/>
    <cellStyle name="40% - Énfasis2 3 36" xfId="1747"/>
    <cellStyle name="40% - Énfasis2 3 37" xfId="1748"/>
    <cellStyle name="40% - Énfasis2 3 4" xfId="1749"/>
    <cellStyle name="40% - Énfasis2 3 5" xfId="1750"/>
    <cellStyle name="40% - Énfasis2 3 6" xfId="1751"/>
    <cellStyle name="40% - Énfasis2 3 7" xfId="1752"/>
    <cellStyle name="40% - Énfasis2 3 8" xfId="1753"/>
    <cellStyle name="40% - Énfasis2 3 9" xfId="1754"/>
    <cellStyle name="40% - Énfasis2 3_Equipo Centro" xfId="1755"/>
    <cellStyle name="40% - Énfasis2 30" xfId="1756"/>
    <cellStyle name="40% - Énfasis2 31" xfId="1757"/>
    <cellStyle name="40% - Énfasis2 32" xfId="1758"/>
    <cellStyle name="40% - Énfasis2 33" xfId="1759"/>
    <cellStyle name="40% - Énfasis2 34" xfId="1760"/>
    <cellStyle name="40% - Énfasis2 35" xfId="1761"/>
    <cellStyle name="40% - Énfasis2 36" xfId="1762"/>
    <cellStyle name="40% - Énfasis2 36 2" xfId="1763"/>
    <cellStyle name="40% - Énfasis2 36 2 2" xfId="1764"/>
    <cellStyle name="40% - Énfasis2 36 2 2 2" xfId="1765"/>
    <cellStyle name="40% - Énfasis2 36 2 2 3" xfId="1766"/>
    <cellStyle name="40% - Énfasis2 36 2 3" xfId="1767"/>
    <cellStyle name="40% - Énfasis2 36 2 4" xfId="1768"/>
    <cellStyle name="40% - Énfasis2 36 3" xfId="1769"/>
    <cellStyle name="40% - Énfasis2 36 3 2" xfId="1770"/>
    <cellStyle name="40% - Énfasis2 36 3 3" xfId="1771"/>
    <cellStyle name="40% - Énfasis2 36 4" xfId="1772"/>
    <cellStyle name="40% - Énfasis2 36 5" xfId="1773"/>
    <cellStyle name="40% - Énfasis2 37" xfId="1774"/>
    <cellStyle name="40% - Énfasis2 37 2" xfId="1775"/>
    <cellStyle name="40% - Énfasis2 37 2 2" xfId="1776"/>
    <cellStyle name="40% - Énfasis2 37 2 2 2" xfId="1777"/>
    <cellStyle name="40% - Énfasis2 37 2 2 3" xfId="1778"/>
    <cellStyle name="40% - Énfasis2 37 2 3" xfId="1779"/>
    <cellStyle name="40% - Énfasis2 37 2 4" xfId="1780"/>
    <cellStyle name="40% - Énfasis2 37 3" xfId="1781"/>
    <cellStyle name="40% - Énfasis2 37 3 2" xfId="1782"/>
    <cellStyle name="40% - Énfasis2 37 3 3" xfId="1783"/>
    <cellStyle name="40% - Énfasis2 37 4" xfId="1784"/>
    <cellStyle name="40% - Énfasis2 37 5" xfId="1785"/>
    <cellStyle name="40% - Énfasis2 38" xfId="1786"/>
    <cellStyle name="40% - Énfasis2 4" xfId="1787"/>
    <cellStyle name="40% - Énfasis2 4 10" xfId="1788"/>
    <cellStyle name="40% - Énfasis2 4 11" xfId="1789"/>
    <cellStyle name="40% - Énfasis2 4 12" xfId="1790"/>
    <cellStyle name="40% - Énfasis2 4 13" xfId="1791"/>
    <cellStyle name="40% - Énfasis2 4 14" xfId="1792"/>
    <cellStyle name="40% - Énfasis2 4 15" xfId="1793"/>
    <cellStyle name="40% - Énfasis2 4 16" xfId="1794"/>
    <cellStyle name="40% - Énfasis2 4 17" xfId="1795"/>
    <cellStyle name="40% - Énfasis2 4 18" xfId="1796"/>
    <cellStyle name="40% - Énfasis2 4 19" xfId="1797"/>
    <cellStyle name="40% - Énfasis2 4 2" xfId="1798"/>
    <cellStyle name="40% - Énfasis2 4 20" xfId="1799"/>
    <cellStyle name="40% - Énfasis2 4 21" xfId="1800"/>
    <cellStyle name="40% - Énfasis2 4 22" xfId="1801"/>
    <cellStyle name="40% - Énfasis2 4 23" xfId="1802"/>
    <cellStyle name="40% - Énfasis2 4 24" xfId="1803"/>
    <cellStyle name="40% - Énfasis2 4 25" xfId="1804"/>
    <cellStyle name="40% - Énfasis2 4 26" xfId="1805"/>
    <cellStyle name="40% - Énfasis2 4 27" xfId="1806"/>
    <cellStyle name="40% - Énfasis2 4 28" xfId="1807"/>
    <cellStyle name="40% - Énfasis2 4 29" xfId="1808"/>
    <cellStyle name="40% - Énfasis2 4 3" xfId="1809"/>
    <cellStyle name="40% - Énfasis2 4 30" xfId="1810"/>
    <cellStyle name="40% - Énfasis2 4 31" xfId="1811"/>
    <cellStyle name="40% - Énfasis2 4 32" xfId="1812"/>
    <cellStyle name="40% - Énfasis2 4 33" xfId="1813"/>
    <cellStyle name="40% - Énfasis2 4 34" xfId="1814"/>
    <cellStyle name="40% - Énfasis2 4 35" xfId="1815"/>
    <cellStyle name="40% - Énfasis2 4 36" xfId="1816"/>
    <cellStyle name="40% - Énfasis2 4 37" xfId="1817"/>
    <cellStyle name="40% - Énfasis2 4 4" xfId="1818"/>
    <cellStyle name="40% - Énfasis2 4 5" xfId="1819"/>
    <cellStyle name="40% - Énfasis2 4 6" xfId="1820"/>
    <cellStyle name="40% - Énfasis2 4 7" xfId="1821"/>
    <cellStyle name="40% - Énfasis2 4 8" xfId="1822"/>
    <cellStyle name="40% - Énfasis2 4 9" xfId="1823"/>
    <cellStyle name="40% - Énfasis2 4_Equipo Centro" xfId="1824"/>
    <cellStyle name="40% - Énfasis2 5" xfId="1825"/>
    <cellStyle name="40% - Énfasis2 6" xfId="1826"/>
    <cellStyle name="40% - Énfasis2 7" xfId="1827"/>
    <cellStyle name="40% - Énfasis2 8" xfId="1828"/>
    <cellStyle name="40% - Énfasis2 9" xfId="1829"/>
    <cellStyle name="40% - Énfasis3 10" xfId="1830"/>
    <cellStyle name="40% - Énfasis3 11" xfId="1831"/>
    <cellStyle name="40% - Énfasis3 12" xfId="1832"/>
    <cellStyle name="40% - Énfasis3 13" xfId="1833"/>
    <cellStyle name="40% - Énfasis3 14" xfId="1834"/>
    <cellStyle name="40% - Énfasis3 15" xfId="1835"/>
    <cellStyle name="40% - Énfasis3 16" xfId="1836"/>
    <cellStyle name="40% - Énfasis3 17" xfId="1837"/>
    <cellStyle name="40% - Énfasis3 18" xfId="1838"/>
    <cellStyle name="40% - Énfasis3 19" xfId="1839"/>
    <cellStyle name="40% - Énfasis3 2" xfId="1840"/>
    <cellStyle name="40% - Énfasis3 2 10" xfId="1841"/>
    <cellStyle name="40% - Énfasis3 2 11" xfId="1842"/>
    <cellStyle name="40% - Énfasis3 2 12" xfId="1843"/>
    <cellStyle name="40% - Énfasis3 2 13" xfId="1844"/>
    <cellStyle name="40% - Énfasis3 2 14" xfId="1845"/>
    <cellStyle name="40% - Énfasis3 2 15" xfId="1846"/>
    <cellStyle name="40% - Énfasis3 2 16" xfId="1847"/>
    <cellStyle name="40% - Énfasis3 2 17" xfId="1848"/>
    <cellStyle name="40% - Énfasis3 2 18" xfId="1849"/>
    <cellStyle name="40% - Énfasis3 2 19" xfId="1850"/>
    <cellStyle name="40% - Énfasis3 2 2" xfId="1851"/>
    <cellStyle name="40% - Énfasis3 2 20" xfId="1852"/>
    <cellStyle name="40% - Énfasis3 2 21" xfId="1853"/>
    <cellStyle name="40% - Énfasis3 2 22" xfId="1854"/>
    <cellStyle name="40% - Énfasis3 2 23" xfId="1855"/>
    <cellStyle name="40% - Énfasis3 2 24" xfId="1856"/>
    <cellStyle name="40% - Énfasis3 2 25" xfId="1857"/>
    <cellStyle name="40% - Énfasis3 2 26" xfId="1858"/>
    <cellStyle name="40% - Énfasis3 2 27" xfId="1859"/>
    <cellStyle name="40% - Énfasis3 2 28" xfId="1860"/>
    <cellStyle name="40% - Énfasis3 2 29" xfId="1861"/>
    <cellStyle name="40% - Énfasis3 2 3" xfId="1862"/>
    <cellStyle name="40% - Énfasis3 2 30" xfId="1863"/>
    <cellStyle name="40% - Énfasis3 2 31" xfId="1864"/>
    <cellStyle name="40% - Énfasis3 2 32" xfId="1865"/>
    <cellStyle name="40% - Énfasis3 2 33" xfId="1866"/>
    <cellStyle name="40% - Énfasis3 2 34" xfId="1867"/>
    <cellStyle name="40% - Énfasis3 2 35" xfId="1868"/>
    <cellStyle name="40% - Énfasis3 2 36" xfId="1869"/>
    <cellStyle name="40% - Énfasis3 2 37" xfId="1870"/>
    <cellStyle name="40% - Énfasis3 2 4" xfId="1871"/>
    <cellStyle name="40% - Énfasis3 2 5" xfId="1872"/>
    <cellStyle name="40% - Énfasis3 2 6" xfId="1873"/>
    <cellStyle name="40% - Énfasis3 2 7" xfId="1874"/>
    <cellStyle name="40% - Énfasis3 2 8" xfId="1875"/>
    <cellStyle name="40% - Énfasis3 2 9" xfId="1876"/>
    <cellStyle name="40% - Énfasis3 2_Equipo Centro" xfId="1877"/>
    <cellStyle name="40% - Énfasis3 20" xfId="1878"/>
    <cellStyle name="40% - Énfasis3 21" xfId="1879"/>
    <cellStyle name="40% - Énfasis3 22" xfId="1880"/>
    <cellStyle name="40% - Énfasis3 23" xfId="1881"/>
    <cellStyle name="40% - Énfasis3 24" xfId="1882"/>
    <cellStyle name="40% - Énfasis3 25" xfId="1883"/>
    <cellStyle name="40% - Énfasis3 26" xfId="1884"/>
    <cellStyle name="40% - Énfasis3 27" xfId="1885"/>
    <cellStyle name="40% - Énfasis3 28" xfId="1886"/>
    <cellStyle name="40% - Énfasis3 29" xfId="1887"/>
    <cellStyle name="40% - Énfasis3 3" xfId="1888"/>
    <cellStyle name="40% - Énfasis3 3 10" xfId="1889"/>
    <cellStyle name="40% - Énfasis3 3 11" xfId="1890"/>
    <cellStyle name="40% - Énfasis3 3 12" xfId="1891"/>
    <cellStyle name="40% - Énfasis3 3 13" xfId="1892"/>
    <cellStyle name="40% - Énfasis3 3 14" xfId="1893"/>
    <cellStyle name="40% - Énfasis3 3 15" xfId="1894"/>
    <cellStyle name="40% - Énfasis3 3 16" xfId="1895"/>
    <cellStyle name="40% - Énfasis3 3 17" xfId="1896"/>
    <cellStyle name="40% - Énfasis3 3 18" xfId="1897"/>
    <cellStyle name="40% - Énfasis3 3 19" xfId="1898"/>
    <cellStyle name="40% - Énfasis3 3 2" xfId="1899"/>
    <cellStyle name="40% - Énfasis3 3 20" xfId="1900"/>
    <cellStyle name="40% - Énfasis3 3 21" xfId="1901"/>
    <cellStyle name="40% - Énfasis3 3 22" xfId="1902"/>
    <cellStyle name="40% - Énfasis3 3 23" xfId="1903"/>
    <cellStyle name="40% - Énfasis3 3 24" xfId="1904"/>
    <cellStyle name="40% - Énfasis3 3 25" xfId="1905"/>
    <cellStyle name="40% - Énfasis3 3 26" xfId="1906"/>
    <cellStyle name="40% - Énfasis3 3 27" xfId="1907"/>
    <cellStyle name="40% - Énfasis3 3 28" xfId="1908"/>
    <cellStyle name="40% - Énfasis3 3 29" xfId="1909"/>
    <cellStyle name="40% - Énfasis3 3 3" xfId="1910"/>
    <cellStyle name="40% - Énfasis3 3 30" xfId="1911"/>
    <cellStyle name="40% - Énfasis3 3 31" xfId="1912"/>
    <cellStyle name="40% - Énfasis3 3 32" xfId="1913"/>
    <cellStyle name="40% - Énfasis3 3 33" xfId="1914"/>
    <cellStyle name="40% - Énfasis3 3 34" xfId="1915"/>
    <cellStyle name="40% - Énfasis3 3 35" xfId="1916"/>
    <cellStyle name="40% - Énfasis3 3 36" xfId="1917"/>
    <cellStyle name="40% - Énfasis3 3 37" xfId="1918"/>
    <cellStyle name="40% - Énfasis3 3 4" xfId="1919"/>
    <cellStyle name="40% - Énfasis3 3 5" xfId="1920"/>
    <cellStyle name="40% - Énfasis3 3 6" xfId="1921"/>
    <cellStyle name="40% - Énfasis3 3 7" xfId="1922"/>
    <cellStyle name="40% - Énfasis3 3 8" xfId="1923"/>
    <cellStyle name="40% - Énfasis3 3 9" xfId="1924"/>
    <cellStyle name="40% - Énfasis3 3_Equipo Centro" xfId="1925"/>
    <cellStyle name="40% - Énfasis3 30" xfId="1926"/>
    <cellStyle name="40% - Énfasis3 31" xfId="1927"/>
    <cellStyle name="40% - Énfasis3 32" xfId="1928"/>
    <cellStyle name="40% - Énfasis3 33" xfId="1929"/>
    <cellStyle name="40% - Énfasis3 34" xfId="1930"/>
    <cellStyle name="40% - Énfasis3 35" xfId="1931"/>
    <cellStyle name="40% - Énfasis3 36" xfId="1932"/>
    <cellStyle name="40% - Énfasis3 36 2" xfId="1933"/>
    <cellStyle name="40% - Énfasis3 36 2 2" xfId="1934"/>
    <cellStyle name="40% - Énfasis3 36 2 2 2" xfId="1935"/>
    <cellStyle name="40% - Énfasis3 36 2 2 3" xfId="1936"/>
    <cellStyle name="40% - Énfasis3 36 2 3" xfId="1937"/>
    <cellStyle name="40% - Énfasis3 36 2 4" xfId="1938"/>
    <cellStyle name="40% - Énfasis3 36 3" xfId="1939"/>
    <cellStyle name="40% - Énfasis3 36 3 2" xfId="1940"/>
    <cellStyle name="40% - Énfasis3 36 3 3" xfId="1941"/>
    <cellStyle name="40% - Énfasis3 36 4" xfId="1942"/>
    <cellStyle name="40% - Énfasis3 36 5" xfId="1943"/>
    <cellStyle name="40% - Énfasis3 37" xfId="1944"/>
    <cellStyle name="40% - Énfasis3 37 2" xfId="1945"/>
    <cellStyle name="40% - Énfasis3 37 2 2" xfId="1946"/>
    <cellStyle name="40% - Énfasis3 37 2 2 2" xfId="1947"/>
    <cellStyle name="40% - Énfasis3 37 2 2 3" xfId="1948"/>
    <cellStyle name="40% - Énfasis3 37 2 3" xfId="1949"/>
    <cellStyle name="40% - Énfasis3 37 2 4" xfId="1950"/>
    <cellStyle name="40% - Énfasis3 37 3" xfId="1951"/>
    <cellStyle name="40% - Énfasis3 37 3 2" xfId="1952"/>
    <cellStyle name="40% - Énfasis3 37 3 3" xfId="1953"/>
    <cellStyle name="40% - Énfasis3 37 4" xfId="1954"/>
    <cellStyle name="40% - Énfasis3 37 5" xfId="1955"/>
    <cellStyle name="40% - Énfasis3 38" xfId="1956"/>
    <cellStyle name="40% - Énfasis3 4" xfId="1957"/>
    <cellStyle name="40% - Énfasis3 4 10" xfId="1958"/>
    <cellStyle name="40% - Énfasis3 4 11" xfId="1959"/>
    <cellStyle name="40% - Énfasis3 4 12" xfId="1960"/>
    <cellStyle name="40% - Énfasis3 4 13" xfId="1961"/>
    <cellStyle name="40% - Énfasis3 4 14" xfId="1962"/>
    <cellStyle name="40% - Énfasis3 4 15" xfId="1963"/>
    <cellStyle name="40% - Énfasis3 4 16" xfId="1964"/>
    <cellStyle name="40% - Énfasis3 4 17" xfId="1965"/>
    <cellStyle name="40% - Énfasis3 4 18" xfId="1966"/>
    <cellStyle name="40% - Énfasis3 4 19" xfId="1967"/>
    <cellStyle name="40% - Énfasis3 4 2" xfId="1968"/>
    <cellStyle name="40% - Énfasis3 4 20" xfId="1969"/>
    <cellStyle name="40% - Énfasis3 4 21" xfId="1970"/>
    <cellStyle name="40% - Énfasis3 4 22" xfId="1971"/>
    <cellStyle name="40% - Énfasis3 4 23" xfId="1972"/>
    <cellStyle name="40% - Énfasis3 4 24" xfId="1973"/>
    <cellStyle name="40% - Énfasis3 4 25" xfId="1974"/>
    <cellStyle name="40% - Énfasis3 4 26" xfId="1975"/>
    <cellStyle name="40% - Énfasis3 4 27" xfId="1976"/>
    <cellStyle name="40% - Énfasis3 4 28" xfId="1977"/>
    <cellStyle name="40% - Énfasis3 4 29" xfId="1978"/>
    <cellStyle name="40% - Énfasis3 4 3" xfId="1979"/>
    <cellStyle name="40% - Énfasis3 4 30" xfId="1980"/>
    <cellStyle name="40% - Énfasis3 4 31" xfId="1981"/>
    <cellStyle name="40% - Énfasis3 4 32" xfId="1982"/>
    <cellStyle name="40% - Énfasis3 4 33" xfId="1983"/>
    <cellStyle name="40% - Énfasis3 4 34" xfId="1984"/>
    <cellStyle name="40% - Énfasis3 4 35" xfId="1985"/>
    <cellStyle name="40% - Énfasis3 4 36" xfId="1986"/>
    <cellStyle name="40% - Énfasis3 4 37" xfId="1987"/>
    <cellStyle name="40% - Énfasis3 4 4" xfId="1988"/>
    <cellStyle name="40% - Énfasis3 4 5" xfId="1989"/>
    <cellStyle name="40% - Énfasis3 4 6" xfId="1990"/>
    <cellStyle name="40% - Énfasis3 4 7" xfId="1991"/>
    <cellStyle name="40% - Énfasis3 4 8" xfId="1992"/>
    <cellStyle name="40% - Énfasis3 4 9" xfId="1993"/>
    <cellStyle name="40% - Énfasis3 4_Equipo Centro" xfId="1994"/>
    <cellStyle name="40% - Énfasis3 5" xfId="1995"/>
    <cellStyle name="40% - Énfasis3 6" xfId="1996"/>
    <cellStyle name="40% - Énfasis3 7" xfId="1997"/>
    <cellStyle name="40% - Énfasis3 8" xfId="1998"/>
    <cellStyle name="40% - Énfasis3 9" xfId="1999"/>
    <cellStyle name="40% - Énfasis4 10" xfId="2000"/>
    <cellStyle name="40% - Énfasis4 11" xfId="2001"/>
    <cellStyle name="40% - Énfasis4 12" xfId="2002"/>
    <cellStyle name="40% - Énfasis4 13" xfId="2003"/>
    <cellStyle name="40% - Énfasis4 14" xfId="2004"/>
    <cellStyle name="40% - Énfasis4 15" xfId="2005"/>
    <cellStyle name="40% - Énfasis4 16" xfId="2006"/>
    <cellStyle name="40% - Énfasis4 17" xfId="2007"/>
    <cellStyle name="40% - Énfasis4 18" xfId="2008"/>
    <cellStyle name="40% - Énfasis4 19" xfId="2009"/>
    <cellStyle name="40% - Énfasis4 2" xfId="2010"/>
    <cellStyle name="40% - Énfasis4 2 10" xfId="2011"/>
    <cellStyle name="40% - Énfasis4 2 11" xfId="2012"/>
    <cellStyle name="40% - Énfasis4 2 12" xfId="2013"/>
    <cellStyle name="40% - Énfasis4 2 13" xfId="2014"/>
    <cellStyle name="40% - Énfasis4 2 14" xfId="2015"/>
    <cellStyle name="40% - Énfasis4 2 15" xfId="2016"/>
    <cellStyle name="40% - Énfasis4 2 16" xfId="2017"/>
    <cellStyle name="40% - Énfasis4 2 17" xfId="2018"/>
    <cellStyle name="40% - Énfasis4 2 18" xfId="2019"/>
    <cellStyle name="40% - Énfasis4 2 19" xfId="2020"/>
    <cellStyle name="40% - Énfasis4 2 2" xfId="2021"/>
    <cellStyle name="40% - Énfasis4 2 20" xfId="2022"/>
    <cellStyle name="40% - Énfasis4 2 21" xfId="2023"/>
    <cellStyle name="40% - Énfasis4 2 22" xfId="2024"/>
    <cellStyle name="40% - Énfasis4 2 23" xfId="2025"/>
    <cellStyle name="40% - Énfasis4 2 24" xfId="2026"/>
    <cellStyle name="40% - Énfasis4 2 25" xfId="2027"/>
    <cellStyle name="40% - Énfasis4 2 26" xfId="2028"/>
    <cellStyle name="40% - Énfasis4 2 27" xfId="2029"/>
    <cellStyle name="40% - Énfasis4 2 28" xfId="2030"/>
    <cellStyle name="40% - Énfasis4 2 29" xfId="2031"/>
    <cellStyle name="40% - Énfasis4 2 3" xfId="2032"/>
    <cellStyle name="40% - Énfasis4 2 30" xfId="2033"/>
    <cellStyle name="40% - Énfasis4 2 31" xfId="2034"/>
    <cellStyle name="40% - Énfasis4 2 32" xfId="2035"/>
    <cellStyle name="40% - Énfasis4 2 33" xfId="2036"/>
    <cellStyle name="40% - Énfasis4 2 34" xfId="2037"/>
    <cellStyle name="40% - Énfasis4 2 35" xfId="2038"/>
    <cellStyle name="40% - Énfasis4 2 36" xfId="2039"/>
    <cellStyle name="40% - Énfasis4 2 37" xfId="2040"/>
    <cellStyle name="40% - Énfasis4 2 4" xfId="2041"/>
    <cellStyle name="40% - Énfasis4 2 5" xfId="2042"/>
    <cellStyle name="40% - Énfasis4 2 6" xfId="2043"/>
    <cellStyle name="40% - Énfasis4 2 7" xfId="2044"/>
    <cellStyle name="40% - Énfasis4 2 8" xfId="2045"/>
    <cellStyle name="40% - Énfasis4 2 9" xfId="2046"/>
    <cellStyle name="40% - Énfasis4 2_Equipo Centro" xfId="2047"/>
    <cellStyle name="40% - Énfasis4 20" xfId="2048"/>
    <cellStyle name="40% - Énfasis4 21" xfId="2049"/>
    <cellStyle name="40% - Énfasis4 22" xfId="2050"/>
    <cellStyle name="40% - Énfasis4 23" xfId="2051"/>
    <cellStyle name="40% - Énfasis4 24" xfId="2052"/>
    <cellStyle name="40% - Énfasis4 25" xfId="2053"/>
    <cellStyle name="40% - Énfasis4 26" xfId="2054"/>
    <cellStyle name="40% - Énfasis4 27" xfId="2055"/>
    <cellStyle name="40% - Énfasis4 28" xfId="2056"/>
    <cellStyle name="40% - Énfasis4 29" xfId="2057"/>
    <cellStyle name="40% - Énfasis4 3" xfId="2058"/>
    <cellStyle name="40% - Énfasis4 3 10" xfId="2059"/>
    <cellStyle name="40% - Énfasis4 3 11" xfId="2060"/>
    <cellStyle name="40% - Énfasis4 3 12" xfId="2061"/>
    <cellStyle name="40% - Énfasis4 3 13" xfId="2062"/>
    <cellStyle name="40% - Énfasis4 3 14" xfId="2063"/>
    <cellStyle name="40% - Énfasis4 3 15" xfId="2064"/>
    <cellStyle name="40% - Énfasis4 3 16" xfId="2065"/>
    <cellStyle name="40% - Énfasis4 3 17" xfId="2066"/>
    <cellStyle name="40% - Énfasis4 3 18" xfId="2067"/>
    <cellStyle name="40% - Énfasis4 3 19" xfId="2068"/>
    <cellStyle name="40% - Énfasis4 3 2" xfId="2069"/>
    <cellStyle name="40% - Énfasis4 3 20" xfId="2070"/>
    <cellStyle name="40% - Énfasis4 3 21" xfId="2071"/>
    <cellStyle name="40% - Énfasis4 3 22" xfId="2072"/>
    <cellStyle name="40% - Énfasis4 3 23" xfId="2073"/>
    <cellStyle name="40% - Énfasis4 3 24" xfId="2074"/>
    <cellStyle name="40% - Énfasis4 3 25" xfId="2075"/>
    <cellStyle name="40% - Énfasis4 3 26" xfId="2076"/>
    <cellStyle name="40% - Énfasis4 3 27" xfId="2077"/>
    <cellStyle name="40% - Énfasis4 3 28" xfId="2078"/>
    <cellStyle name="40% - Énfasis4 3 29" xfId="2079"/>
    <cellStyle name="40% - Énfasis4 3 3" xfId="2080"/>
    <cellStyle name="40% - Énfasis4 3 30" xfId="2081"/>
    <cellStyle name="40% - Énfasis4 3 31" xfId="2082"/>
    <cellStyle name="40% - Énfasis4 3 32" xfId="2083"/>
    <cellStyle name="40% - Énfasis4 3 33" xfId="2084"/>
    <cellStyle name="40% - Énfasis4 3 34" xfId="2085"/>
    <cellStyle name="40% - Énfasis4 3 35" xfId="2086"/>
    <cellStyle name="40% - Énfasis4 3 36" xfId="2087"/>
    <cellStyle name="40% - Énfasis4 3 37" xfId="2088"/>
    <cellStyle name="40% - Énfasis4 3 4" xfId="2089"/>
    <cellStyle name="40% - Énfasis4 3 5" xfId="2090"/>
    <cellStyle name="40% - Énfasis4 3 6" xfId="2091"/>
    <cellStyle name="40% - Énfasis4 3 7" xfId="2092"/>
    <cellStyle name="40% - Énfasis4 3 8" xfId="2093"/>
    <cellStyle name="40% - Énfasis4 3 9" xfId="2094"/>
    <cellStyle name="40% - Énfasis4 3_Equipo Centro" xfId="2095"/>
    <cellStyle name="40% - Énfasis4 30" xfId="2096"/>
    <cellStyle name="40% - Énfasis4 31" xfId="2097"/>
    <cellStyle name="40% - Énfasis4 32" xfId="2098"/>
    <cellStyle name="40% - Énfasis4 33" xfId="2099"/>
    <cellStyle name="40% - Énfasis4 34" xfId="2100"/>
    <cellStyle name="40% - Énfasis4 35" xfId="2101"/>
    <cellStyle name="40% - Énfasis4 36" xfId="2102"/>
    <cellStyle name="40% - Énfasis4 36 2" xfId="2103"/>
    <cellStyle name="40% - Énfasis4 36 2 2" xfId="2104"/>
    <cellStyle name="40% - Énfasis4 36 2 2 2" xfId="2105"/>
    <cellStyle name="40% - Énfasis4 36 2 2 3" xfId="2106"/>
    <cellStyle name="40% - Énfasis4 36 2 3" xfId="2107"/>
    <cellStyle name="40% - Énfasis4 36 2 4" xfId="2108"/>
    <cellStyle name="40% - Énfasis4 36 3" xfId="2109"/>
    <cellStyle name="40% - Énfasis4 36 3 2" xfId="2110"/>
    <cellStyle name="40% - Énfasis4 36 3 3" xfId="2111"/>
    <cellStyle name="40% - Énfasis4 36 4" xfId="2112"/>
    <cellStyle name="40% - Énfasis4 36 5" xfId="2113"/>
    <cellStyle name="40% - Énfasis4 37" xfId="2114"/>
    <cellStyle name="40% - Énfasis4 37 2" xfId="2115"/>
    <cellStyle name="40% - Énfasis4 37 2 2" xfId="2116"/>
    <cellStyle name="40% - Énfasis4 37 2 2 2" xfId="2117"/>
    <cellStyle name="40% - Énfasis4 37 2 2 3" xfId="2118"/>
    <cellStyle name="40% - Énfasis4 37 2 3" xfId="2119"/>
    <cellStyle name="40% - Énfasis4 37 2 4" xfId="2120"/>
    <cellStyle name="40% - Énfasis4 37 3" xfId="2121"/>
    <cellStyle name="40% - Énfasis4 37 3 2" xfId="2122"/>
    <cellStyle name="40% - Énfasis4 37 3 3" xfId="2123"/>
    <cellStyle name="40% - Énfasis4 37 4" xfId="2124"/>
    <cellStyle name="40% - Énfasis4 37 5" xfId="2125"/>
    <cellStyle name="40% - Énfasis4 38" xfId="2126"/>
    <cellStyle name="40% - Énfasis4 4" xfId="2127"/>
    <cellStyle name="40% - Énfasis4 4 10" xfId="2128"/>
    <cellStyle name="40% - Énfasis4 4 11" xfId="2129"/>
    <cellStyle name="40% - Énfasis4 4 12" xfId="2130"/>
    <cellStyle name="40% - Énfasis4 4 13" xfId="2131"/>
    <cellStyle name="40% - Énfasis4 4 14" xfId="2132"/>
    <cellStyle name="40% - Énfasis4 4 15" xfId="2133"/>
    <cellStyle name="40% - Énfasis4 4 16" xfId="2134"/>
    <cellStyle name="40% - Énfasis4 4 17" xfId="2135"/>
    <cellStyle name="40% - Énfasis4 4 18" xfId="2136"/>
    <cellStyle name="40% - Énfasis4 4 19" xfId="2137"/>
    <cellStyle name="40% - Énfasis4 4 2" xfId="2138"/>
    <cellStyle name="40% - Énfasis4 4 20" xfId="2139"/>
    <cellStyle name="40% - Énfasis4 4 21" xfId="2140"/>
    <cellStyle name="40% - Énfasis4 4 22" xfId="2141"/>
    <cellStyle name="40% - Énfasis4 4 23" xfId="2142"/>
    <cellStyle name="40% - Énfasis4 4 24" xfId="2143"/>
    <cellStyle name="40% - Énfasis4 4 25" xfId="2144"/>
    <cellStyle name="40% - Énfasis4 4 26" xfId="2145"/>
    <cellStyle name="40% - Énfasis4 4 27" xfId="2146"/>
    <cellStyle name="40% - Énfasis4 4 28" xfId="2147"/>
    <cellStyle name="40% - Énfasis4 4 29" xfId="2148"/>
    <cellStyle name="40% - Énfasis4 4 3" xfId="2149"/>
    <cellStyle name="40% - Énfasis4 4 30" xfId="2150"/>
    <cellStyle name="40% - Énfasis4 4 31" xfId="2151"/>
    <cellStyle name="40% - Énfasis4 4 32" xfId="2152"/>
    <cellStyle name="40% - Énfasis4 4 33" xfId="2153"/>
    <cellStyle name="40% - Énfasis4 4 34" xfId="2154"/>
    <cellStyle name="40% - Énfasis4 4 35" xfId="2155"/>
    <cellStyle name="40% - Énfasis4 4 36" xfId="2156"/>
    <cellStyle name="40% - Énfasis4 4 37" xfId="2157"/>
    <cellStyle name="40% - Énfasis4 4 4" xfId="2158"/>
    <cellStyle name="40% - Énfasis4 4 5" xfId="2159"/>
    <cellStyle name="40% - Énfasis4 4 6" xfId="2160"/>
    <cellStyle name="40% - Énfasis4 4 7" xfId="2161"/>
    <cellStyle name="40% - Énfasis4 4 8" xfId="2162"/>
    <cellStyle name="40% - Énfasis4 4 9" xfId="2163"/>
    <cellStyle name="40% - Énfasis4 4_Equipo Centro" xfId="2164"/>
    <cellStyle name="40% - Énfasis4 5" xfId="2165"/>
    <cellStyle name="40% - Énfasis4 6" xfId="2166"/>
    <cellStyle name="40% - Énfasis4 7" xfId="2167"/>
    <cellStyle name="40% - Énfasis4 8" xfId="2168"/>
    <cellStyle name="40% - Énfasis4 9" xfId="2169"/>
    <cellStyle name="40% - Énfasis5 10" xfId="2170"/>
    <cellStyle name="40% - Énfasis5 11" xfId="2171"/>
    <cellStyle name="40% - Énfasis5 12" xfId="2172"/>
    <cellStyle name="40% - Énfasis5 13" xfId="2173"/>
    <cellStyle name="40% - Énfasis5 14" xfId="2174"/>
    <cellStyle name="40% - Énfasis5 15" xfId="2175"/>
    <cellStyle name="40% - Énfasis5 16" xfId="2176"/>
    <cellStyle name="40% - Énfasis5 17" xfId="2177"/>
    <cellStyle name="40% - Énfasis5 18" xfId="2178"/>
    <cellStyle name="40% - Énfasis5 19" xfId="2179"/>
    <cellStyle name="40% - Énfasis5 2" xfId="2180"/>
    <cellStyle name="40% - Énfasis5 2 10" xfId="2181"/>
    <cellStyle name="40% - Énfasis5 2 11" xfId="2182"/>
    <cellStyle name="40% - Énfasis5 2 12" xfId="2183"/>
    <cellStyle name="40% - Énfasis5 2 13" xfId="2184"/>
    <cellStyle name="40% - Énfasis5 2 14" xfId="2185"/>
    <cellStyle name="40% - Énfasis5 2 15" xfId="2186"/>
    <cellStyle name="40% - Énfasis5 2 16" xfId="2187"/>
    <cellStyle name="40% - Énfasis5 2 17" xfId="2188"/>
    <cellStyle name="40% - Énfasis5 2 18" xfId="2189"/>
    <cellStyle name="40% - Énfasis5 2 19" xfId="2190"/>
    <cellStyle name="40% - Énfasis5 2 2" xfId="2191"/>
    <cellStyle name="40% - Énfasis5 2 20" xfId="2192"/>
    <cellStyle name="40% - Énfasis5 2 21" xfId="2193"/>
    <cellStyle name="40% - Énfasis5 2 22" xfId="2194"/>
    <cellStyle name="40% - Énfasis5 2 23" xfId="2195"/>
    <cellStyle name="40% - Énfasis5 2 24" xfId="2196"/>
    <cellStyle name="40% - Énfasis5 2 25" xfId="2197"/>
    <cellStyle name="40% - Énfasis5 2 26" xfId="2198"/>
    <cellStyle name="40% - Énfasis5 2 27" xfId="2199"/>
    <cellStyle name="40% - Énfasis5 2 28" xfId="2200"/>
    <cellStyle name="40% - Énfasis5 2 29" xfId="2201"/>
    <cellStyle name="40% - Énfasis5 2 3" xfId="2202"/>
    <cellStyle name="40% - Énfasis5 2 30" xfId="2203"/>
    <cellStyle name="40% - Énfasis5 2 31" xfId="2204"/>
    <cellStyle name="40% - Énfasis5 2 32" xfId="2205"/>
    <cellStyle name="40% - Énfasis5 2 33" xfId="2206"/>
    <cellStyle name="40% - Énfasis5 2 34" xfId="2207"/>
    <cellStyle name="40% - Énfasis5 2 35" xfId="2208"/>
    <cellStyle name="40% - Énfasis5 2 36" xfId="2209"/>
    <cellStyle name="40% - Énfasis5 2 37" xfId="2210"/>
    <cellStyle name="40% - Énfasis5 2 4" xfId="2211"/>
    <cellStyle name="40% - Énfasis5 2 5" xfId="2212"/>
    <cellStyle name="40% - Énfasis5 2 6" xfId="2213"/>
    <cellStyle name="40% - Énfasis5 2 7" xfId="2214"/>
    <cellStyle name="40% - Énfasis5 2 8" xfId="2215"/>
    <cellStyle name="40% - Énfasis5 2 9" xfId="2216"/>
    <cellStyle name="40% - Énfasis5 2_Equipo Centro" xfId="2217"/>
    <cellStyle name="40% - Énfasis5 20" xfId="2218"/>
    <cellStyle name="40% - Énfasis5 21" xfId="2219"/>
    <cellStyle name="40% - Énfasis5 22" xfId="2220"/>
    <cellStyle name="40% - Énfasis5 23" xfId="2221"/>
    <cellStyle name="40% - Énfasis5 24" xfId="2222"/>
    <cellStyle name="40% - Énfasis5 25" xfId="2223"/>
    <cellStyle name="40% - Énfasis5 26" xfId="2224"/>
    <cellStyle name="40% - Énfasis5 27" xfId="2225"/>
    <cellStyle name="40% - Énfasis5 28" xfId="2226"/>
    <cellStyle name="40% - Énfasis5 29" xfId="2227"/>
    <cellStyle name="40% - Énfasis5 3" xfId="2228"/>
    <cellStyle name="40% - Énfasis5 3 10" xfId="2229"/>
    <cellStyle name="40% - Énfasis5 3 11" xfId="2230"/>
    <cellStyle name="40% - Énfasis5 3 12" xfId="2231"/>
    <cellStyle name="40% - Énfasis5 3 13" xfId="2232"/>
    <cellStyle name="40% - Énfasis5 3 14" xfId="2233"/>
    <cellStyle name="40% - Énfasis5 3 15" xfId="2234"/>
    <cellStyle name="40% - Énfasis5 3 16" xfId="2235"/>
    <cellStyle name="40% - Énfasis5 3 17" xfId="2236"/>
    <cellStyle name="40% - Énfasis5 3 18" xfId="2237"/>
    <cellStyle name="40% - Énfasis5 3 19" xfId="2238"/>
    <cellStyle name="40% - Énfasis5 3 2" xfId="2239"/>
    <cellStyle name="40% - Énfasis5 3 20" xfId="2240"/>
    <cellStyle name="40% - Énfasis5 3 21" xfId="2241"/>
    <cellStyle name="40% - Énfasis5 3 22" xfId="2242"/>
    <cellStyle name="40% - Énfasis5 3 23" xfId="2243"/>
    <cellStyle name="40% - Énfasis5 3 24" xfId="2244"/>
    <cellStyle name="40% - Énfasis5 3 25" xfId="2245"/>
    <cellStyle name="40% - Énfasis5 3 26" xfId="2246"/>
    <cellStyle name="40% - Énfasis5 3 27" xfId="2247"/>
    <cellStyle name="40% - Énfasis5 3 28" xfId="2248"/>
    <cellStyle name="40% - Énfasis5 3 29" xfId="2249"/>
    <cellStyle name="40% - Énfasis5 3 3" xfId="2250"/>
    <cellStyle name="40% - Énfasis5 3 30" xfId="2251"/>
    <cellStyle name="40% - Énfasis5 3 31" xfId="2252"/>
    <cellStyle name="40% - Énfasis5 3 32" xfId="2253"/>
    <cellStyle name="40% - Énfasis5 3 33" xfId="2254"/>
    <cellStyle name="40% - Énfasis5 3 34" xfId="2255"/>
    <cellStyle name="40% - Énfasis5 3 35" xfId="2256"/>
    <cellStyle name="40% - Énfasis5 3 36" xfId="2257"/>
    <cellStyle name="40% - Énfasis5 3 37" xfId="2258"/>
    <cellStyle name="40% - Énfasis5 3 4" xfId="2259"/>
    <cellStyle name="40% - Énfasis5 3 5" xfId="2260"/>
    <cellStyle name="40% - Énfasis5 3 6" xfId="2261"/>
    <cellStyle name="40% - Énfasis5 3 7" xfId="2262"/>
    <cellStyle name="40% - Énfasis5 3 8" xfId="2263"/>
    <cellStyle name="40% - Énfasis5 3 9" xfId="2264"/>
    <cellStyle name="40% - Énfasis5 3_Equipo Centro" xfId="2265"/>
    <cellStyle name="40% - Énfasis5 30" xfId="2266"/>
    <cellStyle name="40% - Énfasis5 31" xfId="2267"/>
    <cellStyle name="40% - Énfasis5 32" xfId="2268"/>
    <cellStyle name="40% - Énfasis5 33" xfId="2269"/>
    <cellStyle name="40% - Énfasis5 34" xfId="2270"/>
    <cellStyle name="40% - Énfasis5 35" xfId="2271"/>
    <cellStyle name="40% - Énfasis5 36" xfId="2272"/>
    <cellStyle name="40% - Énfasis5 36 2" xfId="2273"/>
    <cellStyle name="40% - Énfasis5 36 2 2" xfId="2274"/>
    <cellStyle name="40% - Énfasis5 36 2 2 2" xfId="2275"/>
    <cellStyle name="40% - Énfasis5 36 2 2 3" xfId="2276"/>
    <cellStyle name="40% - Énfasis5 36 2 3" xfId="2277"/>
    <cellStyle name="40% - Énfasis5 36 2 4" xfId="2278"/>
    <cellStyle name="40% - Énfasis5 36 3" xfId="2279"/>
    <cellStyle name="40% - Énfasis5 36 3 2" xfId="2280"/>
    <cellStyle name="40% - Énfasis5 36 3 3" xfId="2281"/>
    <cellStyle name="40% - Énfasis5 36 4" xfId="2282"/>
    <cellStyle name="40% - Énfasis5 36 5" xfId="2283"/>
    <cellStyle name="40% - Énfasis5 37" xfId="2284"/>
    <cellStyle name="40% - Énfasis5 37 2" xfId="2285"/>
    <cellStyle name="40% - Énfasis5 37 2 2" xfId="2286"/>
    <cellStyle name="40% - Énfasis5 37 2 2 2" xfId="2287"/>
    <cellStyle name="40% - Énfasis5 37 2 2 3" xfId="2288"/>
    <cellStyle name="40% - Énfasis5 37 2 3" xfId="2289"/>
    <cellStyle name="40% - Énfasis5 37 2 4" xfId="2290"/>
    <cellStyle name="40% - Énfasis5 37 3" xfId="2291"/>
    <cellStyle name="40% - Énfasis5 37 3 2" xfId="2292"/>
    <cellStyle name="40% - Énfasis5 37 3 3" xfId="2293"/>
    <cellStyle name="40% - Énfasis5 37 4" xfId="2294"/>
    <cellStyle name="40% - Énfasis5 37 5" xfId="2295"/>
    <cellStyle name="40% - Énfasis5 38" xfId="2296"/>
    <cellStyle name="40% - Énfasis5 4" xfId="2297"/>
    <cellStyle name="40% - Énfasis5 4 10" xfId="2298"/>
    <cellStyle name="40% - Énfasis5 4 11" xfId="2299"/>
    <cellStyle name="40% - Énfasis5 4 12" xfId="2300"/>
    <cellStyle name="40% - Énfasis5 4 13" xfId="2301"/>
    <cellStyle name="40% - Énfasis5 4 14" xfId="2302"/>
    <cellStyle name="40% - Énfasis5 4 15" xfId="2303"/>
    <cellStyle name="40% - Énfasis5 4 16" xfId="2304"/>
    <cellStyle name="40% - Énfasis5 4 17" xfId="2305"/>
    <cellStyle name="40% - Énfasis5 4 18" xfId="2306"/>
    <cellStyle name="40% - Énfasis5 4 19" xfId="2307"/>
    <cellStyle name="40% - Énfasis5 4 2" xfId="2308"/>
    <cellStyle name="40% - Énfasis5 4 20" xfId="2309"/>
    <cellStyle name="40% - Énfasis5 4 21" xfId="2310"/>
    <cellStyle name="40% - Énfasis5 4 22" xfId="2311"/>
    <cellStyle name="40% - Énfasis5 4 23" xfId="2312"/>
    <cellStyle name="40% - Énfasis5 4 24" xfId="2313"/>
    <cellStyle name="40% - Énfasis5 4 25" xfId="2314"/>
    <cellStyle name="40% - Énfasis5 4 26" xfId="2315"/>
    <cellStyle name="40% - Énfasis5 4 27" xfId="2316"/>
    <cellStyle name="40% - Énfasis5 4 28" xfId="2317"/>
    <cellStyle name="40% - Énfasis5 4 29" xfId="2318"/>
    <cellStyle name="40% - Énfasis5 4 3" xfId="2319"/>
    <cellStyle name="40% - Énfasis5 4 30" xfId="2320"/>
    <cellStyle name="40% - Énfasis5 4 31" xfId="2321"/>
    <cellStyle name="40% - Énfasis5 4 32" xfId="2322"/>
    <cellStyle name="40% - Énfasis5 4 33" xfId="2323"/>
    <cellStyle name="40% - Énfasis5 4 34" xfId="2324"/>
    <cellStyle name="40% - Énfasis5 4 35" xfId="2325"/>
    <cellStyle name="40% - Énfasis5 4 36" xfId="2326"/>
    <cellStyle name="40% - Énfasis5 4 37" xfId="2327"/>
    <cellStyle name="40% - Énfasis5 4 4" xfId="2328"/>
    <cellStyle name="40% - Énfasis5 4 5" xfId="2329"/>
    <cellStyle name="40% - Énfasis5 4 6" xfId="2330"/>
    <cellStyle name="40% - Énfasis5 4 7" xfId="2331"/>
    <cellStyle name="40% - Énfasis5 4 8" xfId="2332"/>
    <cellStyle name="40% - Énfasis5 4 9" xfId="2333"/>
    <cellStyle name="40% - Énfasis5 4_Equipo Centro" xfId="2334"/>
    <cellStyle name="40% - Énfasis5 5" xfId="2335"/>
    <cellStyle name="40% - Énfasis5 6" xfId="2336"/>
    <cellStyle name="40% - Énfasis5 7" xfId="2337"/>
    <cellStyle name="40% - Énfasis5 8" xfId="2338"/>
    <cellStyle name="40% - Énfasis5 9" xfId="2339"/>
    <cellStyle name="40% - Énfasis6 10" xfId="2340"/>
    <cellStyle name="40% - Énfasis6 11" xfId="2341"/>
    <cellStyle name="40% - Énfasis6 12" xfId="2342"/>
    <cellStyle name="40% - Énfasis6 13" xfId="2343"/>
    <cellStyle name="40% - Énfasis6 14" xfId="2344"/>
    <cellStyle name="40% - Énfasis6 15" xfId="2345"/>
    <cellStyle name="40% - Énfasis6 16" xfId="2346"/>
    <cellStyle name="40% - Énfasis6 17" xfId="2347"/>
    <cellStyle name="40% - Énfasis6 18" xfId="2348"/>
    <cellStyle name="40% - Énfasis6 19" xfId="2349"/>
    <cellStyle name="40% - Énfasis6 2" xfId="2350"/>
    <cellStyle name="40% - Énfasis6 2 10" xfId="2351"/>
    <cellStyle name="40% - Énfasis6 2 11" xfId="2352"/>
    <cellStyle name="40% - Énfasis6 2 12" xfId="2353"/>
    <cellStyle name="40% - Énfasis6 2 13" xfId="2354"/>
    <cellStyle name="40% - Énfasis6 2 14" xfId="2355"/>
    <cellStyle name="40% - Énfasis6 2 15" xfId="2356"/>
    <cellStyle name="40% - Énfasis6 2 16" xfId="2357"/>
    <cellStyle name="40% - Énfasis6 2 17" xfId="2358"/>
    <cellStyle name="40% - Énfasis6 2 18" xfId="2359"/>
    <cellStyle name="40% - Énfasis6 2 19" xfId="2360"/>
    <cellStyle name="40% - Énfasis6 2 2" xfId="2361"/>
    <cellStyle name="40% - Énfasis6 2 20" xfId="2362"/>
    <cellStyle name="40% - Énfasis6 2 21" xfId="2363"/>
    <cellStyle name="40% - Énfasis6 2 22" xfId="2364"/>
    <cellStyle name="40% - Énfasis6 2 23" xfId="2365"/>
    <cellStyle name="40% - Énfasis6 2 24" xfId="2366"/>
    <cellStyle name="40% - Énfasis6 2 25" xfId="2367"/>
    <cellStyle name="40% - Énfasis6 2 26" xfId="2368"/>
    <cellStyle name="40% - Énfasis6 2 27" xfId="2369"/>
    <cellStyle name="40% - Énfasis6 2 28" xfId="2370"/>
    <cellStyle name="40% - Énfasis6 2 29" xfId="2371"/>
    <cellStyle name="40% - Énfasis6 2 3" xfId="2372"/>
    <cellStyle name="40% - Énfasis6 2 30" xfId="2373"/>
    <cellStyle name="40% - Énfasis6 2 31" xfId="2374"/>
    <cellStyle name="40% - Énfasis6 2 32" xfId="2375"/>
    <cellStyle name="40% - Énfasis6 2 33" xfId="2376"/>
    <cellStyle name="40% - Énfasis6 2 34" xfId="2377"/>
    <cellStyle name="40% - Énfasis6 2 35" xfId="2378"/>
    <cellStyle name="40% - Énfasis6 2 36" xfId="2379"/>
    <cellStyle name="40% - Énfasis6 2 37" xfId="2380"/>
    <cellStyle name="40% - Énfasis6 2 4" xfId="2381"/>
    <cellStyle name="40% - Énfasis6 2 5" xfId="2382"/>
    <cellStyle name="40% - Énfasis6 2 6" xfId="2383"/>
    <cellStyle name="40% - Énfasis6 2 7" xfId="2384"/>
    <cellStyle name="40% - Énfasis6 2 8" xfId="2385"/>
    <cellStyle name="40% - Énfasis6 2 9" xfId="2386"/>
    <cellStyle name="40% - Énfasis6 20" xfId="2387"/>
    <cellStyle name="40% - Énfasis6 21" xfId="2388"/>
    <cellStyle name="40% - Énfasis6 22" xfId="2389"/>
    <cellStyle name="40% - Énfasis6 23" xfId="2390"/>
    <cellStyle name="40% - Énfasis6 24" xfId="2391"/>
    <cellStyle name="40% - Énfasis6 25" xfId="2392"/>
    <cellStyle name="40% - Énfasis6 26" xfId="2393"/>
    <cellStyle name="40% - Énfasis6 27" xfId="2394"/>
    <cellStyle name="40% - Énfasis6 28" xfId="2395"/>
    <cellStyle name="40% - Énfasis6 29" xfId="2396"/>
    <cellStyle name="40% - Énfasis6 3" xfId="2397"/>
    <cellStyle name="40% - Énfasis6 3 10" xfId="2398"/>
    <cellStyle name="40% - Énfasis6 3 11" xfId="2399"/>
    <cellStyle name="40% - Énfasis6 3 12" xfId="2400"/>
    <cellStyle name="40% - Énfasis6 3 13" xfId="2401"/>
    <cellStyle name="40% - Énfasis6 3 14" xfId="2402"/>
    <cellStyle name="40% - Énfasis6 3 15" xfId="2403"/>
    <cellStyle name="40% - Énfasis6 3 16" xfId="2404"/>
    <cellStyle name="40% - Énfasis6 3 17" xfId="2405"/>
    <cellStyle name="40% - Énfasis6 3 18" xfId="2406"/>
    <cellStyle name="40% - Énfasis6 3 19" xfId="2407"/>
    <cellStyle name="40% - Énfasis6 3 2" xfId="2408"/>
    <cellStyle name="40% - Énfasis6 3 20" xfId="2409"/>
    <cellStyle name="40% - Énfasis6 3 21" xfId="2410"/>
    <cellStyle name="40% - Énfasis6 3 22" xfId="2411"/>
    <cellStyle name="40% - Énfasis6 3 23" xfId="2412"/>
    <cellStyle name="40% - Énfasis6 3 24" xfId="2413"/>
    <cellStyle name="40% - Énfasis6 3 25" xfId="2414"/>
    <cellStyle name="40% - Énfasis6 3 26" xfId="2415"/>
    <cellStyle name="40% - Énfasis6 3 27" xfId="2416"/>
    <cellStyle name="40% - Énfasis6 3 28" xfId="2417"/>
    <cellStyle name="40% - Énfasis6 3 29" xfId="2418"/>
    <cellStyle name="40% - Énfasis6 3 3" xfId="2419"/>
    <cellStyle name="40% - Énfasis6 3 30" xfId="2420"/>
    <cellStyle name="40% - Énfasis6 3 31" xfId="2421"/>
    <cellStyle name="40% - Énfasis6 3 32" xfId="2422"/>
    <cellStyle name="40% - Énfasis6 3 33" xfId="2423"/>
    <cellStyle name="40% - Énfasis6 3 34" xfId="2424"/>
    <cellStyle name="40% - Énfasis6 3 35" xfId="2425"/>
    <cellStyle name="40% - Énfasis6 3 36" xfId="2426"/>
    <cellStyle name="40% - Énfasis6 3 37" xfId="2427"/>
    <cellStyle name="40% - Énfasis6 3 4" xfId="2428"/>
    <cellStyle name="40% - Énfasis6 3 5" xfId="2429"/>
    <cellStyle name="40% - Énfasis6 3 6" xfId="2430"/>
    <cellStyle name="40% - Énfasis6 3 7" xfId="2431"/>
    <cellStyle name="40% - Énfasis6 3 8" xfId="2432"/>
    <cellStyle name="40% - Énfasis6 3 9" xfId="2433"/>
    <cellStyle name="40% - Énfasis6 30" xfId="2434"/>
    <cellStyle name="40% - Énfasis6 31" xfId="2435"/>
    <cellStyle name="40% - Énfasis6 32" xfId="2436"/>
    <cellStyle name="40% - Énfasis6 33" xfId="2437"/>
    <cellStyle name="40% - Énfasis6 34" xfId="2438"/>
    <cellStyle name="40% - Énfasis6 35" xfId="2439"/>
    <cellStyle name="40% - Énfasis6 36" xfId="2440"/>
    <cellStyle name="40% - Énfasis6 36 2" xfId="2441"/>
    <cellStyle name="40% - Énfasis6 36 2 2" xfId="2442"/>
    <cellStyle name="40% - Énfasis6 36 2 2 2" xfId="2443"/>
    <cellStyle name="40% - Énfasis6 36 2 2 3" xfId="2444"/>
    <cellStyle name="40% - Énfasis6 36 2 3" xfId="2445"/>
    <cellStyle name="40% - Énfasis6 36 2 4" xfId="2446"/>
    <cellStyle name="40% - Énfasis6 36 3" xfId="2447"/>
    <cellStyle name="40% - Énfasis6 36 3 2" xfId="2448"/>
    <cellStyle name="40% - Énfasis6 36 3 3" xfId="2449"/>
    <cellStyle name="40% - Énfasis6 36 4" xfId="2450"/>
    <cellStyle name="40% - Énfasis6 36 5" xfId="2451"/>
    <cellStyle name="40% - Énfasis6 37" xfId="2452"/>
    <cellStyle name="40% - Énfasis6 4" xfId="2453"/>
    <cellStyle name="40% - Énfasis6 4 10" xfId="2454"/>
    <cellStyle name="40% - Énfasis6 4 11" xfId="2455"/>
    <cellStyle name="40% - Énfasis6 4 12" xfId="2456"/>
    <cellStyle name="40% - Énfasis6 4 13" xfId="2457"/>
    <cellStyle name="40% - Énfasis6 4 14" xfId="2458"/>
    <cellStyle name="40% - Énfasis6 4 15" xfId="2459"/>
    <cellStyle name="40% - Énfasis6 4 16" xfId="2460"/>
    <cellStyle name="40% - Énfasis6 4 17" xfId="2461"/>
    <cellStyle name="40% - Énfasis6 4 18" xfId="2462"/>
    <cellStyle name="40% - Énfasis6 4 19" xfId="2463"/>
    <cellStyle name="40% - Énfasis6 4 2" xfId="2464"/>
    <cellStyle name="40% - Énfasis6 4 20" xfId="2465"/>
    <cellStyle name="40% - Énfasis6 4 21" xfId="2466"/>
    <cellStyle name="40% - Énfasis6 4 22" xfId="2467"/>
    <cellStyle name="40% - Énfasis6 4 23" xfId="2468"/>
    <cellStyle name="40% - Énfasis6 4 24" xfId="2469"/>
    <cellStyle name="40% - Énfasis6 4 25" xfId="2470"/>
    <cellStyle name="40% - Énfasis6 4 26" xfId="2471"/>
    <cellStyle name="40% - Énfasis6 4 27" xfId="2472"/>
    <cellStyle name="40% - Énfasis6 4 28" xfId="2473"/>
    <cellStyle name="40% - Énfasis6 4 29" xfId="2474"/>
    <cellStyle name="40% - Énfasis6 4 3" xfId="2475"/>
    <cellStyle name="40% - Énfasis6 4 30" xfId="2476"/>
    <cellStyle name="40% - Énfasis6 4 31" xfId="2477"/>
    <cellStyle name="40% - Énfasis6 4 32" xfId="2478"/>
    <cellStyle name="40% - Énfasis6 4 33" xfId="2479"/>
    <cellStyle name="40% - Énfasis6 4 34" xfId="2480"/>
    <cellStyle name="40% - Énfasis6 4 35" xfId="2481"/>
    <cellStyle name="40% - Énfasis6 4 36" xfId="2482"/>
    <cellStyle name="40% - Énfasis6 4 37" xfId="2483"/>
    <cellStyle name="40% - Énfasis6 4 4" xfId="2484"/>
    <cellStyle name="40% - Énfasis6 4 5" xfId="2485"/>
    <cellStyle name="40% - Énfasis6 4 6" xfId="2486"/>
    <cellStyle name="40% - Énfasis6 4 7" xfId="2487"/>
    <cellStyle name="40% - Énfasis6 4 8" xfId="2488"/>
    <cellStyle name="40% - Énfasis6 4 9" xfId="2489"/>
    <cellStyle name="40% - Énfasis6 5" xfId="2490"/>
    <cellStyle name="40% - Énfasis6 6" xfId="2491"/>
    <cellStyle name="40% - Énfasis6 7" xfId="2492"/>
    <cellStyle name="40% - Énfasis6 8" xfId="2493"/>
    <cellStyle name="40% - Énfasis6 9" xfId="2494"/>
    <cellStyle name="60% - Accent1" xfId="2495"/>
    <cellStyle name="60% - Accent2" xfId="2496"/>
    <cellStyle name="60% - Accent3" xfId="2497"/>
    <cellStyle name="60% - Accent4" xfId="2498"/>
    <cellStyle name="60% - Accent5" xfId="2499"/>
    <cellStyle name="60% - Accent6" xfId="2500"/>
    <cellStyle name="60% - Énfasis1 10" xfId="2501"/>
    <cellStyle name="60% - Énfasis1 11" xfId="2502"/>
    <cellStyle name="60% - Énfasis1 12" xfId="2503"/>
    <cellStyle name="60% - Énfasis1 13" xfId="2504"/>
    <cellStyle name="60% - Énfasis1 14" xfId="2505"/>
    <cellStyle name="60% - Énfasis1 15" xfId="2506"/>
    <cellStyle name="60% - Énfasis1 16" xfId="2507"/>
    <cellStyle name="60% - Énfasis1 17" xfId="2508"/>
    <cellStyle name="60% - Énfasis1 18" xfId="2509"/>
    <cellStyle name="60% - Énfasis1 19" xfId="2510"/>
    <cellStyle name="60% - Énfasis1 2" xfId="2511"/>
    <cellStyle name="60% - Énfasis1 2 2" xfId="2512"/>
    <cellStyle name="60% - Énfasis1 2 3" xfId="2513"/>
    <cellStyle name="60% - Énfasis1 2 4" xfId="2514"/>
    <cellStyle name="60% - Énfasis1 2 5" xfId="2515"/>
    <cellStyle name="60% - Énfasis1 2 6" xfId="2516"/>
    <cellStyle name="60% - Énfasis1 20" xfId="2517"/>
    <cellStyle name="60% - Énfasis1 21" xfId="2518"/>
    <cellStyle name="60% - Énfasis1 22" xfId="2519"/>
    <cellStyle name="60% - Énfasis1 23" xfId="2520"/>
    <cellStyle name="60% - Énfasis1 24" xfId="2521"/>
    <cellStyle name="60% - Énfasis1 25" xfId="2522"/>
    <cellStyle name="60% - Énfasis1 26" xfId="2523"/>
    <cellStyle name="60% - Énfasis1 27" xfId="2524"/>
    <cellStyle name="60% - Énfasis1 28" xfId="2525"/>
    <cellStyle name="60% - Énfasis1 29" xfId="2526"/>
    <cellStyle name="60% - Énfasis1 3" xfId="2527"/>
    <cellStyle name="60% - Énfasis1 30" xfId="2528"/>
    <cellStyle name="60% - Énfasis1 31" xfId="2529"/>
    <cellStyle name="60% - Énfasis1 32" xfId="2530"/>
    <cellStyle name="60% - Énfasis1 33" xfId="2531"/>
    <cellStyle name="60% - Énfasis1 34" xfId="2532"/>
    <cellStyle name="60% - Énfasis1 35" xfId="2533"/>
    <cellStyle name="60% - Énfasis1 36" xfId="2534"/>
    <cellStyle name="60% - Énfasis1 37" xfId="2535"/>
    <cellStyle name="60% - Énfasis1 4" xfId="2536"/>
    <cellStyle name="60% - Énfasis1 5" xfId="2537"/>
    <cellStyle name="60% - Énfasis1 6" xfId="2538"/>
    <cellStyle name="60% - Énfasis1 7" xfId="2539"/>
    <cellStyle name="60% - Énfasis1 8" xfId="2540"/>
    <cellStyle name="60% - Énfasis1 9" xfId="2541"/>
    <cellStyle name="60% - Énfasis2 10" xfId="2542"/>
    <cellStyle name="60% - Énfasis2 11" xfId="2543"/>
    <cellStyle name="60% - Énfasis2 12" xfId="2544"/>
    <cellStyle name="60% - Énfasis2 13" xfId="2545"/>
    <cellStyle name="60% - Énfasis2 14" xfId="2546"/>
    <cellStyle name="60% - Énfasis2 15" xfId="2547"/>
    <cellStyle name="60% - Énfasis2 16" xfId="2548"/>
    <cellStyle name="60% - Énfasis2 17" xfId="2549"/>
    <cellStyle name="60% - Énfasis2 18" xfId="2550"/>
    <cellStyle name="60% - Énfasis2 19" xfId="2551"/>
    <cellStyle name="60% - Énfasis2 2" xfId="2552"/>
    <cellStyle name="60% - Énfasis2 2 2" xfId="2553"/>
    <cellStyle name="60% - Énfasis2 2 3" xfId="2554"/>
    <cellStyle name="60% - Énfasis2 2 4" xfId="2555"/>
    <cellStyle name="60% - Énfasis2 2 5" xfId="2556"/>
    <cellStyle name="60% - Énfasis2 2 6" xfId="2557"/>
    <cellStyle name="60% - Énfasis2 20" xfId="2558"/>
    <cellStyle name="60% - Énfasis2 21" xfId="2559"/>
    <cellStyle name="60% - Énfasis2 22" xfId="2560"/>
    <cellStyle name="60% - Énfasis2 23" xfId="2561"/>
    <cellStyle name="60% - Énfasis2 24" xfId="2562"/>
    <cellStyle name="60% - Énfasis2 25" xfId="2563"/>
    <cellStyle name="60% - Énfasis2 26" xfId="2564"/>
    <cellStyle name="60% - Énfasis2 27" xfId="2565"/>
    <cellStyle name="60% - Énfasis2 28" xfId="2566"/>
    <cellStyle name="60% - Énfasis2 29" xfId="2567"/>
    <cellStyle name="60% - Énfasis2 3" xfId="2568"/>
    <cellStyle name="60% - Énfasis2 30" xfId="2569"/>
    <cellStyle name="60% - Énfasis2 31" xfId="2570"/>
    <cellStyle name="60% - Énfasis2 32" xfId="2571"/>
    <cellStyle name="60% - Énfasis2 33" xfId="2572"/>
    <cellStyle name="60% - Énfasis2 34" xfId="2573"/>
    <cellStyle name="60% - Énfasis2 35" xfId="2574"/>
    <cellStyle name="60% - Énfasis2 36" xfId="2575"/>
    <cellStyle name="60% - Énfasis2 37" xfId="2576"/>
    <cellStyle name="60% - Énfasis2 4" xfId="2577"/>
    <cellStyle name="60% - Énfasis2 5" xfId="2578"/>
    <cellStyle name="60% - Énfasis2 6" xfId="2579"/>
    <cellStyle name="60% - Énfasis2 7" xfId="2580"/>
    <cellStyle name="60% - Énfasis2 8" xfId="2581"/>
    <cellStyle name="60% - Énfasis2 9" xfId="2582"/>
    <cellStyle name="60% - Énfasis3 10" xfId="2583"/>
    <cellStyle name="60% - Énfasis3 11" xfId="2584"/>
    <cellStyle name="60% - Énfasis3 12" xfId="2585"/>
    <cellStyle name="60% - Énfasis3 13" xfId="2586"/>
    <cellStyle name="60% - Énfasis3 14" xfId="2587"/>
    <cellStyle name="60% - Énfasis3 15" xfId="2588"/>
    <cellStyle name="60% - Énfasis3 16" xfId="2589"/>
    <cellStyle name="60% - Énfasis3 17" xfId="2590"/>
    <cellStyle name="60% - Énfasis3 18" xfId="2591"/>
    <cellStyle name="60% - Énfasis3 19" xfId="2592"/>
    <cellStyle name="60% - Énfasis3 2" xfId="2593"/>
    <cellStyle name="60% - Énfasis3 2 2" xfId="2594"/>
    <cellStyle name="60% - Énfasis3 2 3" xfId="2595"/>
    <cellStyle name="60% - Énfasis3 2 4" xfId="2596"/>
    <cellStyle name="60% - Énfasis3 2 5" xfId="2597"/>
    <cellStyle name="60% - Énfasis3 2 6" xfId="2598"/>
    <cellStyle name="60% - Énfasis3 20" xfId="2599"/>
    <cellStyle name="60% - Énfasis3 21" xfId="2600"/>
    <cellStyle name="60% - Énfasis3 22" xfId="2601"/>
    <cellStyle name="60% - Énfasis3 23" xfId="2602"/>
    <cellStyle name="60% - Énfasis3 24" xfId="2603"/>
    <cellStyle name="60% - Énfasis3 25" xfId="2604"/>
    <cellStyle name="60% - Énfasis3 26" xfId="2605"/>
    <cellStyle name="60% - Énfasis3 27" xfId="2606"/>
    <cellStyle name="60% - Énfasis3 28" xfId="2607"/>
    <cellStyle name="60% - Énfasis3 29" xfId="2608"/>
    <cellStyle name="60% - Énfasis3 3" xfId="2609"/>
    <cellStyle name="60% - Énfasis3 30" xfId="2610"/>
    <cellStyle name="60% - Énfasis3 31" xfId="2611"/>
    <cellStyle name="60% - Énfasis3 32" xfId="2612"/>
    <cellStyle name="60% - Énfasis3 33" xfId="2613"/>
    <cellStyle name="60% - Énfasis3 34" xfId="2614"/>
    <cellStyle name="60% - Énfasis3 35" xfId="2615"/>
    <cellStyle name="60% - Énfasis3 36" xfId="2616"/>
    <cellStyle name="60% - Énfasis3 37" xfId="2617"/>
    <cellStyle name="60% - Énfasis3 4" xfId="2618"/>
    <cellStyle name="60% - Énfasis3 5" xfId="2619"/>
    <cellStyle name="60% - Énfasis3 6" xfId="2620"/>
    <cellStyle name="60% - Énfasis3 7" xfId="2621"/>
    <cellStyle name="60% - Énfasis3 8" xfId="2622"/>
    <cellStyle name="60% - Énfasis3 9" xfId="2623"/>
    <cellStyle name="60% - Énfasis4 10" xfId="2624"/>
    <cellStyle name="60% - Énfasis4 11" xfId="2625"/>
    <cellStyle name="60% - Énfasis4 12" xfId="2626"/>
    <cellStyle name="60% - Énfasis4 13" xfId="2627"/>
    <cellStyle name="60% - Énfasis4 14" xfId="2628"/>
    <cellStyle name="60% - Énfasis4 15" xfId="2629"/>
    <cellStyle name="60% - Énfasis4 16" xfId="2630"/>
    <cellStyle name="60% - Énfasis4 17" xfId="2631"/>
    <cellStyle name="60% - Énfasis4 18" xfId="2632"/>
    <cellStyle name="60% - Énfasis4 19" xfId="2633"/>
    <cellStyle name="60% - Énfasis4 2" xfId="2634"/>
    <cellStyle name="60% - Énfasis4 2 2" xfId="2635"/>
    <cellStyle name="60% - Énfasis4 2 3" xfId="2636"/>
    <cellStyle name="60% - Énfasis4 2 4" xfId="2637"/>
    <cellStyle name="60% - Énfasis4 2 5" xfId="2638"/>
    <cellStyle name="60% - Énfasis4 2 6" xfId="2639"/>
    <cellStyle name="60% - Énfasis4 20" xfId="2640"/>
    <cellStyle name="60% - Énfasis4 21" xfId="2641"/>
    <cellStyle name="60% - Énfasis4 22" xfId="2642"/>
    <cellStyle name="60% - Énfasis4 23" xfId="2643"/>
    <cellStyle name="60% - Énfasis4 24" xfId="2644"/>
    <cellStyle name="60% - Énfasis4 25" xfId="2645"/>
    <cellStyle name="60% - Énfasis4 26" xfId="2646"/>
    <cellStyle name="60% - Énfasis4 27" xfId="2647"/>
    <cellStyle name="60% - Énfasis4 28" xfId="2648"/>
    <cellStyle name="60% - Énfasis4 29" xfId="2649"/>
    <cellStyle name="60% - Énfasis4 3" xfId="2650"/>
    <cellStyle name="60% - Énfasis4 30" xfId="2651"/>
    <cellStyle name="60% - Énfasis4 31" xfId="2652"/>
    <cellStyle name="60% - Énfasis4 32" xfId="2653"/>
    <cellStyle name="60% - Énfasis4 33" xfId="2654"/>
    <cellStyle name="60% - Énfasis4 34" xfId="2655"/>
    <cellStyle name="60% - Énfasis4 35" xfId="2656"/>
    <cellStyle name="60% - Énfasis4 36" xfId="2657"/>
    <cellStyle name="60% - Énfasis4 37" xfId="2658"/>
    <cellStyle name="60% - Énfasis4 4" xfId="2659"/>
    <cellStyle name="60% - Énfasis4 5" xfId="2660"/>
    <cellStyle name="60% - Énfasis4 6" xfId="2661"/>
    <cellStyle name="60% - Énfasis4 7" xfId="2662"/>
    <cellStyle name="60% - Énfasis4 8" xfId="2663"/>
    <cellStyle name="60% - Énfasis4 9" xfId="2664"/>
    <cellStyle name="60% - Énfasis5 10" xfId="2665"/>
    <cellStyle name="60% - Énfasis5 11" xfId="2666"/>
    <cellStyle name="60% - Énfasis5 12" xfId="2667"/>
    <cellStyle name="60% - Énfasis5 13" xfId="2668"/>
    <cellStyle name="60% - Énfasis5 14" xfId="2669"/>
    <cellStyle name="60% - Énfasis5 15" xfId="2670"/>
    <cellStyle name="60% - Énfasis5 16" xfId="2671"/>
    <cellStyle name="60% - Énfasis5 17" xfId="2672"/>
    <cellStyle name="60% - Énfasis5 18" xfId="2673"/>
    <cellStyle name="60% - Énfasis5 19" xfId="2674"/>
    <cellStyle name="60% - Énfasis5 2" xfId="2675"/>
    <cellStyle name="60% - Énfasis5 2 2" xfId="2676"/>
    <cellStyle name="60% - Énfasis5 2 3" xfId="2677"/>
    <cellStyle name="60% - Énfasis5 2 4" xfId="2678"/>
    <cellStyle name="60% - Énfasis5 2 5" xfId="2679"/>
    <cellStyle name="60% - Énfasis5 2 6" xfId="2680"/>
    <cellStyle name="60% - Énfasis5 20" xfId="2681"/>
    <cellStyle name="60% - Énfasis5 21" xfId="2682"/>
    <cellStyle name="60% - Énfasis5 22" xfId="2683"/>
    <cellStyle name="60% - Énfasis5 23" xfId="2684"/>
    <cellStyle name="60% - Énfasis5 24" xfId="2685"/>
    <cellStyle name="60% - Énfasis5 25" xfId="2686"/>
    <cellStyle name="60% - Énfasis5 26" xfId="2687"/>
    <cellStyle name="60% - Énfasis5 27" xfId="2688"/>
    <cellStyle name="60% - Énfasis5 28" xfId="2689"/>
    <cellStyle name="60% - Énfasis5 29" xfId="2690"/>
    <cellStyle name="60% - Énfasis5 3" xfId="2691"/>
    <cellStyle name="60% - Énfasis5 30" xfId="2692"/>
    <cellStyle name="60% - Énfasis5 31" xfId="2693"/>
    <cellStyle name="60% - Énfasis5 32" xfId="2694"/>
    <cellStyle name="60% - Énfasis5 33" xfId="2695"/>
    <cellStyle name="60% - Énfasis5 34" xfId="2696"/>
    <cellStyle name="60% - Énfasis5 35" xfId="2697"/>
    <cellStyle name="60% - Énfasis5 36" xfId="2698"/>
    <cellStyle name="60% - Énfasis5 37" xfId="2699"/>
    <cellStyle name="60% - Énfasis5 4" xfId="2700"/>
    <cellStyle name="60% - Énfasis5 5" xfId="2701"/>
    <cellStyle name="60% - Énfasis5 6" xfId="2702"/>
    <cellStyle name="60% - Énfasis5 7" xfId="2703"/>
    <cellStyle name="60% - Énfasis5 8" xfId="2704"/>
    <cellStyle name="60% - Énfasis5 9" xfId="2705"/>
    <cellStyle name="60% - Énfasis6 10" xfId="2706"/>
    <cellStyle name="60% - Énfasis6 11" xfId="2707"/>
    <cellStyle name="60% - Énfasis6 12" xfId="2708"/>
    <cellStyle name="60% - Énfasis6 13" xfId="2709"/>
    <cellStyle name="60% - Énfasis6 14" xfId="2710"/>
    <cellStyle name="60% - Énfasis6 15" xfId="2711"/>
    <cellStyle name="60% - Énfasis6 16" xfId="2712"/>
    <cellStyle name="60% - Énfasis6 17" xfId="2713"/>
    <cellStyle name="60% - Énfasis6 18" xfId="2714"/>
    <cellStyle name="60% - Énfasis6 19" xfId="2715"/>
    <cellStyle name="60% - Énfasis6 2" xfId="2716"/>
    <cellStyle name="60% - Énfasis6 2 2" xfId="2717"/>
    <cellStyle name="60% - Énfasis6 2 3" xfId="2718"/>
    <cellStyle name="60% - Énfasis6 2 4" xfId="2719"/>
    <cellStyle name="60% - Énfasis6 2 5" xfId="2720"/>
    <cellStyle name="60% - Énfasis6 2 6" xfId="2721"/>
    <cellStyle name="60% - Énfasis6 20" xfId="2722"/>
    <cellStyle name="60% - Énfasis6 21" xfId="2723"/>
    <cellStyle name="60% - Énfasis6 22" xfId="2724"/>
    <cellStyle name="60% - Énfasis6 23" xfId="2725"/>
    <cellStyle name="60% - Énfasis6 24" xfId="2726"/>
    <cellStyle name="60% - Énfasis6 25" xfId="2727"/>
    <cellStyle name="60% - Énfasis6 26" xfId="2728"/>
    <cellStyle name="60% - Énfasis6 27" xfId="2729"/>
    <cellStyle name="60% - Énfasis6 28" xfId="2730"/>
    <cellStyle name="60% - Énfasis6 29" xfId="2731"/>
    <cellStyle name="60% - Énfasis6 3" xfId="2732"/>
    <cellStyle name="60% - Énfasis6 30" xfId="2733"/>
    <cellStyle name="60% - Énfasis6 31" xfId="2734"/>
    <cellStyle name="60% - Énfasis6 32" xfId="2735"/>
    <cellStyle name="60% - Énfasis6 33" xfId="2736"/>
    <cellStyle name="60% - Énfasis6 34" xfId="2737"/>
    <cellStyle name="60% - Énfasis6 35" xfId="2738"/>
    <cellStyle name="60% - Énfasis6 36" xfId="2739"/>
    <cellStyle name="60% - Énfasis6 37" xfId="2740"/>
    <cellStyle name="60% - Énfasis6 4" xfId="2741"/>
    <cellStyle name="60% - Énfasis6 5" xfId="2742"/>
    <cellStyle name="60% - Énfasis6 6" xfId="2743"/>
    <cellStyle name="60% - Énfasis6 7" xfId="2744"/>
    <cellStyle name="60% - Énfasis6 8" xfId="2745"/>
    <cellStyle name="60% - Énfasis6 9" xfId="2746"/>
    <cellStyle name="Accent1" xfId="2747"/>
    <cellStyle name="Accent2" xfId="2748"/>
    <cellStyle name="Accent3" xfId="2749"/>
    <cellStyle name="Accent4" xfId="2750"/>
    <cellStyle name="Accent5" xfId="2751"/>
    <cellStyle name="Accent6" xfId="2752"/>
    <cellStyle name="Bad" xfId="2753"/>
    <cellStyle name="Buena 10" xfId="2754"/>
    <cellStyle name="Buena 11" xfId="2755"/>
    <cellStyle name="Buena 12" xfId="2756"/>
    <cellStyle name="Buena 13" xfId="2757"/>
    <cellStyle name="Buena 14" xfId="2758"/>
    <cellStyle name="Buena 15" xfId="2759"/>
    <cellStyle name="Buena 16" xfId="2760"/>
    <cellStyle name="Buena 17" xfId="2761"/>
    <cellStyle name="Buena 18" xfId="2762"/>
    <cellStyle name="Buena 19" xfId="2763"/>
    <cellStyle name="Buena 2" xfId="2764"/>
    <cellStyle name="Buena 2 2" xfId="2765"/>
    <cellStyle name="Buena 2 3" xfId="2766"/>
    <cellStyle name="Buena 2 4" xfId="2767"/>
    <cellStyle name="Buena 2 5" xfId="2768"/>
    <cellStyle name="Buena 2 6" xfId="2769"/>
    <cellStyle name="Buena 20" xfId="2770"/>
    <cellStyle name="Buena 21" xfId="2771"/>
    <cellStyle name="Buena 22" xfId="2772"/>
    <cellStyle name="Buena 23" xfId="2773"/>
    <cellStyle name="Buena 24" xfId="2774"/>
    <cellStyle name="Buena 25" xfId="2775"/>
    <cellStyle name="Buena 26" xfId="2776"/>
    <cellStyle name="Buena 27" xfId="2777"/>
    <cellStyle name="Buena 28" xfId="2778"/>
    <cellStyle name="Buena 29" xfId="2779"/>
    <cellStyle name="Buena 3" xfId="2780"/>
    <cellStyle name="Buena 30" xfId="2781"/>
    <cellStyle name="Buena 31" xfId="2782"/>
    <cellStyle name="Buena 32" xfId="2783"/>
    <cellStyle name="Buena 33" xfId="2784"/>
    <cellStyle name="Buena 34" xfId="2785"/>
    <cellStyle name="Buena 35" xfId="2786"/>
    <cellStyle name="Buena 36" xfId="2787"/>
    <cellStyle name="Buena 37" xfId="2788"/>
    <cellStyle name="Buena 4" xfId="2789"/>
    <cellStyle name="Buena 5" xfId="2790"/>
    <cellStyle name="Buena 6" xfId="2791"/>
    <cellStyle name="Buena 7" xfId="2792"/>
    <cellStyle name="Buena 8" xfId="2793"/>
    <cellStyle name="Buena 9" xfId="2794"/>
    <cellStyle name="Calculation" xfId="2795"/>
    <cellStyle name="Cálculo 10" xfId="2796"/>
    <cellStyle name="Cálculo 11" xfId="2797"/>
    <cellStyle name="Cálculo 12" xfId="2798"/>
    <cellStyle name="Cálculo 13" xfId="2799"/>
    <cellStyle name="Cálculo 14" xfId="2800"/>
    <cellStyle name="Cálculo 15" xfId="2801"/>
    <cellStyle name="Cálculo 16" xfId="2802"/>
    <cellStyle name="Cálculo 17" xfId="2803"/>
    <cellStyle name="Cálculo 18" xfId="2804"/>
    <cellStyle name="Cálculo 19" xfId="2805"/>
    <cellStyle name="Cálculo 2" xfId="2806"/>
    <cellStyle name="Cálculo 2 2" xfId="2807"/>
    <cellStyle name="Cálculo 2 3" xfId="2808"/>
    <cellStyle name="Cálculo 2 4" xfId="2809"/>
    <cellStyle name="Cálculo 2 5" xfId="2810"/>
    <cellStyle name="Cálculo 2 6" xfId="2811"/>
    <cellStyle name="Cálculo 20" xfId="2812"/>
    <cellStyle name="Cálculo 21" xfId="2813"/>
    <cellStyle name="Cálculo 22" xfId="2814"/>
    <cellStyle name="Cálculo 23" xfId="2815"/>
    <cellStyle name="Cálculo 24" xfId="2816"/>
    <cellStyle name="Cálculo 25" xfId="2817"/>
    <cellStyle name="Cálculo 26" xfId="2818"/>
    <cellStyle name="Cálculo 27" xfId="2819"/>
    <cellStyle name="Cálculo 28" xfId="2820"/>
    <cellStyle name="Cálculo 29" xfId="2821"/>
    <cellStyle name="Cálculo 3" xfId="2822"/>
    <cellStyle name="Cálculo 30" xfId="2823"/>
    <cellStyle name="Cálculo 31" xfId="2824"/>
    <cellStyle name="Cálculo 32" xfId="2825"/>
    <cellStyle name="Cálculo 33" xfId="2826"/>
    <cellStyle name="Cálculo 34" xfId="2827"/>
    <cellStyle name="Cálculo 35" xfId="2828"/>
    <cellStyle name="Cálculo 36" xfId="2829"/>
    <cellStyle name="Cálculo 37" xfId="2830"/>
    <cellStyle name="Cálculo 4" xfId="2831"/>
    <cellStyle name="Cálculo 5" xfId="2832"/>
    <cellStyle name="Cálculo 6" xfId="2833"/>
    <cellStyle name="Cálculo 7" xfId="2834"/>
    <cellStyle name="Cálculo 8" xfId="2835"/>
    <cellStyle name="Cálculo 9" xfId="2836"/>
    <cellStyle name="Celda de comprobación 10" xfId="2837"/>
    <cellStyle name="Celda de comprobación 11" xfId="2838"/>
    <cellStyle name="Celda de comprobación 12" xfId="2839"/>
    <cellStyle name="Celda de comprobación 13" xfId="2840"/>
    <cellStyle name="Celda de comprobación 14" xfId="2841"/>
    <cellStyle name="Celda de comprobación 15" xfId="2842"/>
    <cellStyle name="Celda de comprobación 16" xfId="2843"/>
    <cellStyle name="Celda de comprobación 17" xfId="2844"/>
    <cellStyle name="Celda de comprobación 18" xfId="2845"/>
    <cellStyle name="Celda de comprobación 19" xfId="2846"/>
    <cellStyle name="Celda de comprobación 2" xfId="2847"/>
    <cellStyle name="Celda de comprobación 2 2" xfId="2848"/>
    <cellStyle name="Celda de comprobación 2 3" xfId="2849"/>
    <cellStyle name="Celda de comprobación 2 4" xfId="2850"/>
    <cellStyle name="Celda de comprobación 2 5" xfId="2851"/>
    <cellStyle name="Celda de comprobación 2 6" xfId="2852"/>
    <cellStyle name="Celda de comprobación 20" xfId="2853"/>
    <cellStyle name="Celda de comprobación 21" xfId="2854"/>
    <cellStyle name="Celda de comprobación 22" xfId="2855"/>
    <cellStyle name="Celda de comprobación 23" xfId="2856"/>
    <cellStyle name="Celda de comprobación 24" xfId="2857"/>
    <cellStyle name="Celda de comprobación 25" xfId="2858"/>
    <cellStyle name="Celda de comprobación 26" xfId="2859"/>
    <cellStyle name="Celda de comprobación 27" xfId="2860"/>
    <cellStyle name="Celda de comprobación 28" xfId="2861"/>
    <cellStyle name="Celda de comprobación 29" xfId="2862"/>
    <cellStyle name="Celda de comprobación 3" xfId="2863"/>
    <cellStyle name="Celda de comprobación 30" xfId="2864"/>
    <cellStyle name="Celda de comprobación 31" xfId="2865"/>
    <cellStyle name="Celda de comprobación 32" xfId="2866"/>
    <cellStyle name="Celda de comprobación 33" xfId="2867"/>
    <cellStyle name="Celda de comprobación 34" xfId="2868"/>
    <cellStyle name="Celda de comprobación 35" xfId="2869"/>
    <cellStyle name="Celda de comprobación 36" xfId="2870"/>
    <cellStyle name="Celda de comprobación 37" xfId="2871"/>
    <cellStyle name="Celda de comprobación 4" xfId="2872"/>
    <cellStyle name="Celda de comprobación 5" xfId="2873"/>
    <cellStyle name="Celda de comprobación 6" xfId="2874"/>
    <cellStyle name="Celda de comprobación 7" xfId="2875"/>
    <cellStyle name="Celda de comprobación 8" xfId="2876"/>
    <cellStyle name="Celda de comprobación 9" xfId="2877"/>
    <cellStyle name="Celda vinculada 10" xfId="2878"/>
    <cellStyle name="Celda vinculada 11" xfId="2879"/>
    <cellStyle name="Celda vinculada 12" xfId="2880"/>
    <cellStyle name="Celda vinculada 13" xfId="2881"/>
    <cellStyle name="Celda vinculada 14" xfId="2882"/>
    <cellStyle name="Celda vinculada 15" xfId="2883"/>
    <cellStyle name="Celda vinculada 16" xfId="2884"/>
    <cellStyle name="Celda vinculada 17" xfId="2885"/>
    <cellStyle name="Celda vinculada 18" xfId="2886"/>
    <cellStyle name="Celda vinculada 19" xfId="2887"/>
    <cellStyle name="Celda vinculada 2" xfId="2888"/>
    <cellStyle name="Celda vinculada 2 2" xfId="2889"/>
    <cellStyle name="Celda vinculada 2 3" xfId="2890"/>
    <cellStyle name="Celda vinculada 2 4" xfId="2891"/>
    <cellStyle name="Celda vinculada 2 5" xfId="2892"/>
    <cellStyle name="Celda vinculada 2 6" xfId="2893"/>
    <cellStyle name="Celda vinculada 20" xfId="2894"/>
    <cellStyle name="Celda vinculada 21" xfId="2895"/>
    <cellStyle name="Celda vinculada 22" xfId="2896"/>
    <cellStyle name="Celda vinculada 23" xfId="2897"/>
    <cellStyle name="Celda vinculada 24" xfId="2898"/>
    <cellStyle name="Celda vinculada 25" xfId="2899"/>
    <cellStyle name="Celda vinculada 26" xfId="2900"/>
    <cellStyle name="Celda vinculada 27" xfId="2901"/>
    <cellStyle name="Celda vinculada 28" xfId="2902"/>
    <cellStyle name="Celda vinculada 29" xfId="2903"/>
    <cellStyle name="Celda vinculada 3" xfId="2904"/>
    <cellStyle name="Celda vinculada 30" xfId="2905"/>
    <cellStyle name="Celda vinculada 31" xfId="2906"/>
    <cellStyle name="Celda vinculada 32" xfId="2907"/>
    <cellStyle name="Celda vinculada 33" xfId="2908"/>
    <cellStyle name="Celda vinculada 34" xfId="2909"/>
    <cellStyle name="Celda vinculada 35" xfId="2910"/>
    <cellStyle name="Celda vinculada 36" xfId="2911"/>
    <cellStyle name="Celda vinculada 37" xfId="2912"/>
    <cellStyle name="Celda vinculada 4" xfId="2913"/>
    <cellStyle name="Celda vinculada 5" xfId="2914"/>
    <cellStyle name="Celda vinculada 6" xfId="2915"/>
    <cellStyle name="Celda vinculada 7" xfId="2916"/>
    <cellStyle name="Celda vinculada 8" xfId="2917"/>
    <cellStyle name="Celda vinculada 9" xfId="2918"/>
    <cellStyle name="Check Cell" xfId="2919"/>
    <cellStyle name="Encabezado 4 10" xfId="2920"/>
    <cellStyle name="Encabezado 4 11" xfId="2921"/>
    <cellStyle name="Encabezado 4 12" xfId="2922"/>
    <cellStyle name="Encabezado 4 13" xfId="2923"/>
    <cellStyle name="Encabezado 4 14" xfId="2924"/>
    <cellStyle name="Encabezado 4 15" xfId="2925"/>
    <cellStyle name="Encabezado 4 16" xfId="2926"/>
    <cellStyle name="Encabezado 4 17" xfId="2927"/>
    <cellStyle name="Encabezado 4 18" xfId="2928"/>
    <cellStyle name="Encabezado 4 19" xfId="2929"/>
    <cellStyle name="Encabezado 4 2" xfId="2930"/>
    <cellStyle name="Encabezado 4 2 2" xfId="2931"/>
    <cellStyle name="Encabezado 4 2 3" xfId="2932"/>
    <cellStyle name="Encabezado 4 2 4" xfId="2933"/>
    <cellStyle name="Encabezado 4 2 5" xfId="2934"/>
    <cellStyle name="Encabezado 4 2 6" xfId="2935"/>
    <cellStyle name="Encabezado 4 20" xfId="2936"/>
    <cellStyle name="Encabezado 4 21" xfId="2937"/>
    <cellStyle name="Encabezado 4 22" xfId="2938"/>
    <cellStyle name="Encabezado 4 23" xfId="2939"/>
    <cellStyle name="Encabezado 4 24" xfId="2940"/>
    <cellStyle name="Encabezado 4 25" xfId="2941"/>
    <cellStyle name="Encabezado 4 26" xfId="2942"/>
    <cellStyle name="Encabezado 4 27" xfId="2943"/>
    <cellStyle name="Encabezado 4 28" xfId="2944"/>
    <cellStyle name="Encabezado 4 29" xfId="2945"/>
    <cellStyle name="Encabezado 4 3" xfId="2946"/>
    <cellStyle name="Encabezado 4 30" xfId="2947"/>
    <cellStyle name="Encabezado 4 31" xfId="2948"/>
    <cellStyle name="Encabezado 4 32" xfId="2949"/>
    <cellStyle name="Encabezado 4 33" xfId="2950"/>
    <cellStyle name="Encabezado 4 34" xfId="2951"/>
    <cellStyle name="Encabezado 4 35" xfId="2952"/>
    <cellStyle name="Encabezado 4 4" xfId="2953"/>
    <cellStyle name="Encabezado 4 5" xfId="2954"/>
    <cellStyle name="Encabezado 4 6" xfId="2955"/>
    <cellStyle name="Encabezado 4 7" xfId="2956"/>
    <cellStyle name="Encabezado 4 8" xfId="2957"/>
    <cellStyle name="Encabezado 4 9" xfId="2958"/>
    <cellStyle name="Énfasis1 10" xfId="2959"/>
    <cellStyle name="Énfasis1 11" xfId="2960"/>
    <cellStyle name="Énfasis1 12" xfId="2961"/>
    <cellStyle name="Énfasis1 13" xfId="2962"/>
    <cellStyle name="Énfasis1 14" xfId="2963"/>
    <cellStyle name="Énfasis1 15" xfId="2964"/>
    <cellStyle name="Énfasis1 16" xfId="2965"/>
    <cellStyle name="Énfasis1 17" xfId="2966"/>
    <cellStyle name="Énfasis1 18" xfId="2967"/>
    <cellStyle name="Énfasis1 19" xfId="2968"/>
    <cellStyle name="Énfasis1 2" xfId="2969"/>
    <cellStyle name="Énfasis1 2 2" xfId="2970"/>
    <cellStyle name="Énfasis1 2 3" xfId="2971"/>
    <cellStyle name="Énfasis1 2 4" xfId="2972"/>
    <cellStyle name="Énfasis1 2 5" xfId="2973"/>
    <cellStyle name="Énfasis1 2 6" xfId="2974"/>
    <cellStyle name="Énfasis1 20" xfId="2975"/>
    <cellStyle name="Énfasis1 21" xfId="2976"/>
    <cellStyle name="Énfasis1 22" xfId="2977"/>
    <cellStyle name="Énfasis1 23" xfId="2978"/>
    <cellStyle name="Énfasis1 24" xfId="2979"/>
    <cellStyle name="Énfasis1 25" xfId="2980"/>
    <cellStyle name="Énfasis1 26" xfId="2981"/>
    <cellStyle name="Énfasis1 27" xfId="2982"/>
    <cellStyle name="Énfasis1 28" xfId="2983"/>
    <cellStyle name="Énfasis1 29" xfId="2984"/>
    <cellStyle name="Énfasis1 3" xfId="2985"/>
    <cellStyle name="Énfasis1 30" xfId="2986"/>
    <cellStyle name="Énfasis1 31" xfId="2987"/>
    <cellStyle name="Énfasis1 32" xfId="2988"/>
    <cellStyle name="Énfasis1 33" xfId="2989"/>
    <cellStyle name="Énfasis1 34" xfId="2990"/>
    <cellStyle name="Énfasis1 35" xfId="2991"/>
    <cellStyle name="Énfasis1 36" xfId="2992"/>
    <cellStyle name="Énfasis1 37" xfId="2993"/>
    <cellStyle name="Énfasis1 4" xfId="2994"/>
    <cellStyle name="Énfasis1 5" xfId="2995"/>
    <cellStyle name="Énfasis1 6" xfId="2996"/>
    <cellStyle name="Énfasis1 7" xfId="2997"/>
    <cellStyle name="Énfasis1 8" xfId="2998"/>
    <cellStyle name="Énfasis1 9" xfId="2999"/>
    <cellStyle name="Énfasis2 10" xfId="3000"/>
    <cellStyle name="Énfasis2 11" xfId="3001"/>
    <cellStyle name="Énfasis2 12" xfId="3002"/>
    <cellStyle name="Énfasis2 13" xfId="3003"/>
    <cellStyle name="Énfasis2 14" xfId="3004"/>
    <cellStyle name="Énfasis2 15" xfId="3005"/>
    <cellStyle name="Énfasis2 16" xfId="3006"/>
    <cellStyle name="Énfasis2 17" xfId="3007"/>
    <cellStyle name="Énfasis2 18" xfId="3008"/>
    <cellStyle name="Énfasis2 19" xfId="3009"/>
    <cellStyle name="Énfasis2 2" xfId="3010"/>
    <cellStyle name="Énfasis2 2 2" xfId="3011"/>
    <cellStyle name="Énfasis2 2 3" xfId="3012"/>
    <cellStyle name="Énfasis2 2 4" xfId="3013"/>
    <cellStyle name="Énfasis2 2 5" xfId="3014"/>
    <cellStyle name="Énfasis2 2 6" xfId="3015"/>
    <cellStyle name="Énfasis2 20" xfId="3016"/>
    <cellStyle name="Énfasis2 21" xfId="3017"/>
    <cellStyle name="Énfasis2 22" xfId="3018"/>
    <cellStyle name="Énfasis2 23" xfId="3019"/>
    <cellStyle name="Énfasis2 24" xfId="3020"/>
    <cellStyle name="Énfasis2 25" xfId="3021"/>
    <cellStyle name="Énfasis2 26" xfId="3022"/>
    <cellStyle name="Énfasis2 27" xfId="3023"/>
    <cellStyle name="Énfasis2 28" xfId="3024"/>
    <cellStyle name="Énfasis2 29" xfId="3025"/>
    <cellStyle name="Énfasis2 3" xfId="3026"/>
    <cellStyle name="Énfasis2 30" xfId="3027"/>
    <cellStyle name="Énfasis2 31" xfId="3028"/>
    <cellStyle name="Énfasis2 32" xfId="3029"/>
    <cellStyle name="Énfasis2 33" xfId="3030"/>
    <cellStyle name="Énfasis2 34" xfId="3031"/>
    <cellStyle name="Énfasis2 35" xfId="3032"/>
    <cellStyle name="Énfasis2 36" xfId="3033"/>
    <cellStyle name="Énfasis2 37" xfId="3034"/>
    <cellStyle name="Énfasis2 4" xfId="3035"/>
    <cellStyle name="Énfasis2 5" xfId="3036"/>
    <cellStyle name="Énfasis2 6" xfId="3037"/>
    <cellStyle name="Énfasis2 7" xfId="3038"/>
    <cellStyle name="Énfasis2 8" xfId="3039"/>
    <cellStyle name="Énfasis2 9" xfId="3040"/>
    <cellStyle name="Énfasis3 10" xfId="3041"/>
    <cellStyle name="Énfasis3 11" xfId="3042"/>
    <cellStyle name="Énfasis3 12" xfId="3043"/>
    <cellStyle name="Énfasis3 13" xfId="3044"/>
    <cellStyle name="Énfasis3 14" xfId="3045"/>
    <cellStyle name="Énfasis3 15" xfId="3046"/>
    <cellStyle name="Énfasis3 16" xfId="3047"/>
    <cellStyle name="Énfasis3 17" xfId="3048"/>
    <cellStyle name="Énfasis3 18" xfId="3049"/>
    <cellStyle name="Énfasis3 19" xfId="3050"/>
    <cellStyle name="Énfasis3 2" xfId="3051"/>
    <cellStyle name="Énfasis3 2 2" xfId="3052"/>
    <cellStyle name="Énfasis3 2 3" xfId="3053"/>
    <cellStyle name="Énfasis3 2 4" xfId="3054"/>
    <cellStyle name="Énfasis3 2 5" xfId="3055"/>
    <cellStyle name="Énfasis3 2 6" xfId="3056"/>
    <cellStyle name="Énfasis3 20" xfId="3057"/>
    <cellStyle name="Énfasis3 21" xfId="3058"/>
    <cellStyle name="Énfasis3 22" xfId="3059"/>
    <cellStyle name="Énfasis3 23" xfId="3060"/>
    <cellStyle name="Énfasis3 24" xfId="3061"/>
    <cellStyle name="Énfasis3 25" xfId="3062"/>
    <cellStyle name="Énfasis3 26" xfId="3063"/>
    <cellStyle name="Énfasis3 27" xfId="3064"/>
    <cellStyle name="Énfasis3 28" xfId="3065"/>
    <cellStyle name="Énfasis3 29" xfId="3066"/>
    <cellStyle name="Énfasis3 3" xfId="3067"/>
    <cellStyle name="Énfasis3 30" xfId="3068"/>
    <cellStyle name="Énfasis3 31" xfId="3069"/>
    <cellStyle name="Énfasis3 32" xfId="3070"/>
    <cellStyle name="Énfasis3 33" xfId="3071"/>
    <cellStyle name="Énfasis3 34" xfId="3072"/>
    <cellStyle name="Énfasis3 35" xfId="3073"/>
    <cellStyle name="Énfasis3 36" xfId="3074"/>
    <cellStyle name="Énfasis3 37" xfId="3075"/>
    <cellStyle name="Énfasis3 4" xfId="3076"/>
    <cellStyle name="Énfasis3 5" xfId="3077"/>
    <cellStyle name="Énfasis3 6" xfId="3078"/>
    <cellStyle name="Énfasis3 7" xfId="3079"/>
    <cellStyle name="Énfasis3 8" xfId="3080"/>
    <cellStyle name="Énfasis3 9" xfId="3081"/>
    <cellStyle name="Énfasis4 10" xfId="3082"/>
    <cellStyle name="Énfasis4 11" xfId="3083"/>
    <cellStyle name="Énfasis4 12" xfId="3084"/>
    <cellStyle name="Énfasis4 13" xfId="3085"/>
    <cellStyle name="Énfasis4 14" xfId="3086"/>
    <cellStyle name="Énfasis4 15" xfId="3087"/>
    <cellStyle name="Énfasis4 16" xfId="3088"/>
    <cellStyle name="Énfasis4 17" xfId="3089"/>
    <cellStyle name="Énfasis4 18" xfId="3090"/>
    <cellStyle name="Énfasis4 19" xfId="3091"/>
    <cellStyle name="Énfasis4 2" xfId="3092"/>
    <cellStyle name="Énfasis4 2 2" xfId="3093"/>
    <cellStyle name="Énfasis4 2 3" xfId="3094"/>
    <cellStyle name="Énfasis4 2 4" xfId="3095"/>
    <cellStyle name="Énfasis4 2 5" xfId="3096"/>
    <cellStyle name="Énfasis4 2 6" xfId="3097"/>
    <cellStyle name="Énfasis4 20" xfId="3098"/>
    <cellStyle name="Énfasis4 21" xfId="3099"/>
    <cellStyle name="Énfasis4 22" xfId="3100"/>
    <cellStyle name="Énfasis4 23" xfId="3101"/>
    <cellStyle name="Énfasis4 24" xfId="3102"/>
    <cellStyle name="Énfasis4 25" xfId="3103"/>
    <cellStyle name="Énfasis4 26" xfId="3104"/>
    <cellStyle name="Énfasis4 27" xfId="3105"/>
    <cellStyle name="Énfasis4 28" xfId="3106"/>
    <cellStyle name="Énfasis4 29" xfId="3107"/>
    <cellStyle name="Énfasis4 3" xfId="3108"/>
    <cellStyle name="Énfasis4 30" xfId="3109"/>
    <cellStyle name="Énfasis4 31" xfId="3110"/>
    <cellStyle name="Énfasis4 32" xfId="3111"/>
    <cellStyle name="Énfasis4 33" xfId="3112"/>
    <cellStyle name="Énfasis4 34" xfId="3113"/>
    <cellStyle name="Énfasis4 35" xfId="3114"/>
    <cellStyle name="Énfasis4 36" xfId="3115"/>
    <cellStyle name="Énfasis4 37" xfId="3116"/>
    <cellStyle name="Énfasis4 4" xfId="3117"/>
    <cellStyle name="Énfasis4 5" xfId="3118"/>
    <cellStyle name="Énfasis4 6" xfId="3119"/>
    <cellStyle name="Énfasis4 7" xfId="3120"/>
    <cellStyle name="Énfasis4 8" xfId="3121"/>
    <cellStyle name="Énfasis4 9" xfId="3122"/>
    <cellStyle name="Énfasis5 10" xfId="3123"/>
    <cellStyle name="Énfasis5 11" xfId="3124"/>
    <cellStyle name="Énfasis5 12" xfId="3125"/>
    <cellStyle name="Énfasis5 13" xfId="3126"/>
    <cellStyle name="Énfasis5 14" xfId="3127"/>
    <cellStyle name="Énfasis5 15" xfId="3128"/>
    <cellStyle name="Énfasis5 16" xfId="3129"/>
    <cellStyle name="Énfasis5 17" xfId="3130"/>
    <cellStyle name="Énfasis5 18" xfId="3131"/>
    <cellStyle name="Énfasis5 19" xfId="3132"/>
    <cellStyle name="Énfasis5 2" xfId="3133"/>
    <cellStyle name="Énfasis5 2 2" xfId="3134"/>
    <cellStyle name="Énfasis5 2 3" xfId="3135"/>
    <cellStyle name="Énfasis5 2 4" xfId="3136"/>
    <cellStyle name="Énfasis5 2 5" xfId="3137"/>
    <cellStyle name="Énfasis5 2 6" xfId="3138"/>
    <cellStyle name="Énfasis5 20" xfId="3139"/>
    <cellStyle name="Énfasis5 21" xfId="3140"/>
    <cellStyle name="Énfasis5 22" xfId="3141"/>
    <cellStyle name="Énfasis5 23" xfId="3142"/>
    <cellStyle name="Énfasis5 24" xfId="3143"/>
    <cellStyle name="Énfasis5 25" xfId="3144"/>
    <cellStyle name="Énfasis5 26" xfId="3145"/>
    <cellStyle name="Énfasis5 27" xfId="3146"/>
    <cellStyle name="Énfasis5 28" xfId="3147"/>
    <cellStyle name="Énfasis5 29" xfId="3148"/>
    <cellStyle name="Énfasis5 3" xfId="3149"/>
    <cellStyle name="Énfasis5 30" xfId="3150"/>
    <cellStyle name="Énfasis5 31" xfId="3151"/>
    <cellStyle name="Énfasis5 32" xfId="3152"/>
    <cellStyle name="Énfasis5 33" xfId="3153"/>
    <cellStyle name="Énfasis5 34" xfId="3154"/>
    <cellStyle name="Énfasis5 35" xfId="3155"/>
    <cellStyle name="Énfasis5 36" xfId="3156"/>
    <cellStyle name="Énfasis5 37" xfId="3157"/>
    <cellStyle name="Énfasis5 4" xfId="3158"/>
    <cellStyle name="Énfasis5 5" xfId="3159"/>
    <cellStyle name="Énfasis5 6" xfId="3160"/>
    <cellStyle name="Énfasis5 7" xfId="3161"/>
    <cellStyle name="Énfasis5 8" xfId="3162"/>
    <cellStyle name="Énfasis5 9" xfId="3163"/>
    <cellStyle name="Énfasis6 10" xfId="3164"/>
    <cellStyle name="Énfasis6 11" xfId="3165"/>
    <cellStyle name="Énfasis6 12" xfId="3166"/>
    <cellStyle name="Énfasis6 13" xfId="3167"/>
    <cellStyle name="Énfasis6 14" xfId="3168"/>
    <cellStyle name="Énfasis6 15" xfId="3169"/>
    <cellStyle name="Énfasis6 16" xfId="3170"/>
    <cellStyle name="Énfasis6 17" xfId="3171"/>
    <cellStyle name="Énfasis6 18" xfId="3172"/>
    <cellStyle name="Énfasis6 19" xfId="3173"/>
    <cellStyle name="Énfasis6 2" xfId="3174"/>
    <cellStyle name="Énfasis6 2 2" xfId="3175"/>
    <cellStyle name="Énfasis6 2 3" xfId="3176"/>
    <cellStyle name="Énfasis6 2 4" xfId="3177"/>
    <cellStyle name="Énfasis6 2 5" xfId="3178"/>
    <cellStyle name="Énfasis6 2 6" xfId="3179"/>
    <cellStyle name="Énfasis6 20" xfId="3180"/>
    <cellStyle name="Énfasis6 21" xfId="3181"/>
    <cellStyle name="Énfasis6 22" xfId="3182"/>
    <cellStyle name="Énfasis6 23" xfId="3183"/>
    <cellStyle name="Énfasis6 24" xfId="3184"/>
    <cellStyle name="Énfasis6 25" xfId="3185"/>
    <cellStyle name="Énfasis6 26" xfId="3186"/>
    <cellStyle name="Énfasis6 27" xfId="3187"/>
    <cellStyle name="Énfasis6 28" xfId="3188"/>
    <cellStyle name="Énfasis6 29" xfId="3189"/>
    <cellStyle name="Énfasis6 3" xfId="3190"/>
    <cellStyle name="Énfasis6 30" xfId="3191"/>
    <cellStyle name="Énfasis6 31" xfId="3192"/>
    <cellStyle name="Énfasis6 32" xfId="3193"/>
    <cellStyle name="Énfasis6 33" xfId="3194"/>
    <cellStyle name="Énfasis6 34" xfId="3195"/>
    <cellStyle name="Énfasis6 35" xfId="3196"/>
    <cellStyle name="Énfasis6 36" xfId="3197"/>
    <cellStyle name="Énfasis6 37" xfId="3198"/>
    <cellStyle name="Énfasis6 4" xfId="3199"/>
    <cellStyle name="Énfasis6 5" xfId="3200"/>
    <cellStyle name="Énfasis6 6" xfId="3201"/>
    <cellStyle name="Énfasis6 7" xfId="3202"/>
    <cellStyle name="Énfasis6 8" xfId="3203"/>
    <cellStyle name="Énfasis6 9" xfId="3204"/>
    <cellStyle name="Entrada 10" xfId="3205"/>
    <cellStyle name="Entrada 11" xfId="3206"/>
    <cellStyle name="Entrada 12" xfId="3207"/>
    <cellStyle name="Entrada 13" xfId="3208"/>
    <cellStyle name="Entrada 14" xfId="3209"/>
    <cellStyle name="Entrada 15" xfId="3210"/>
    <cellStyle name="Entrada 16" xfId="3211"/>
    <cellStyle name="Entrada 17" xfId="3212"/>
    <cellStyle name="Entrada 18" xfId="3213"/>
    <cellStyle name="Entrada 19" xfId="3214"/>
    <cellStyle name="Entrada 2" xfId="3215"/>
    <cellStyle name="Entrada 2 2" xfId="3216"/>
    <cellStyle name="Entrada 2 3" xfId="3217"/>
    <cellStyle name="Entrada 2 4" xfId="3218"/>
    <cellStyle name="Entrada 2 5" xfId="3219"/>
    <cellStyle name="Entrada 2 6" xfId="3220"/>
    <cellStyle name="Entrada 20" xfId="3221"/>
    <cellStyle name="Entrada 21" xfId="3222"/>
    <cellStyle name="Entrada 22" xfId="3223"/>
    <cellStyle name="Entrada 23" xfId="3224"/>
    <cellStyle name="Entrada 24" xfId="3225"/>
    <cellStyle name="Entrada 25" xfId="3226"/>
    <cellStyle name="Entrada 26" xfId="3227"/>
    <cellStyle name="Entrada 27" xfId="3228"/>
    <cellStyle name="Entrada 28" xfId="3229"/>
    <cellStyle name="Entrada 29" xfId="3230"/>
    <cellStyle name="Entrada 3" xfId="3231"/>
    <cellStyle name="Entrada 30" xfId="3232"/>
    <cellStyle name="Entrada 31" xfId="3233"/>
    <cellStyle name="Entrada 32" xfId="3234"/>
    <cellStyle name="Entrada 33" xfId="3235"/>
    <cellStyle name="Entrada 34" xfId="3236"/>
    <cellStyle name="Entrada 35" xfId="3237"/>
    <cellStyle name="Entrada 36" xfId="3238"/>
    <cellStyle name="Entrada 37" xfId="3239"/>
    <cellStyle name="Entrada 4" xfId="3240"/>
    <cellStyle name="Entrada 5" xfId="3241"/>
    <cellStyle name="Entrada 6" xfId="3242"/>
    <cellStyle name="Entrada 7" xfId="3243"/>
    <cellStyle name="Entrada 8" xfId="3244"/>
    <cellStyle name="Entrada 9" xfId="3245"/>
    <cellStyle name="Explanatory Text" xfId="3246"/>
    <cellStyle name="Good" xfId="3247"/>
    <cellStyle name="Heading 1" xfId="3248"/>
    <cellStyle name="Heading 2" xfId="3249"/>
    <cellStyle name="Heading 3" xfId="3250"/>
    <cellStyle name="Heading 4" xfId="3251"/>
    <cellStyle name="Hipervínculo 2" xfId="3252"/>
    <cellStyle name="Incorrecto 10" xfId="3253"/>
    <cellStyle name="Incorrecto 11" xfId="3254"/>
    <cellStyle name="Incorrecto 12" xfId="3255"/>
    <cellStyle name="Incorrecto 13" xfId="3256"/>
    <cellStyle name="Incorrecto 14" xfId="3257"/>
    <cellStyle name="Incorrecto 15" xfId="3258"/>
    <cellStyle name="Incorrecto 16" xfId="3259"/>
    <cellStyle name="Incorrecto 17" xfId="3260"/>
    <cellStyle name="Incorrecto 18" xfId="3261"/>
    <cellStyle name="Incorrecto 19" xfId="3262"/>
    <cellStyle name="Incorrecto 2" xfId="3263"/>
    <cellStyle name="Incorrecto 2 2" xfId="3264"/>
    <cellStyle name="Incorrecto 2 3" xfId="3265"/>
    <cellStyle name="Incorrecto 2 4" xfId="3266"/>
    <cellStyle name="Incorrecto 2 5" xfId="3267"/>
    <cellStyle name="Incorrecto 2 6" xfId="3268"/>
    <cellStyle name="Incorrecto 20" xfId="3269"/>
    <cellStyle name="Incorrecto 21" xfId="3270"/>
    <cellStyle name="Incorrecto 22" xfId="3271"/>
    <cellStyle name="Incorrecto 23" xfId="3272"/>
    <cellStyle name="Incorrecto 24" xfId="3273"/>
    <cellStyle name="Incorrecto 25" xfId="3274"/>
    <cellStyle name="Incorrecto 26" xfId="3275"/>
    <cellStyle name="Incorrecto 27" xfId="3276"/>
    <cellStyle name="Incorrecto 28" xfId="3277"/>
    <cellStyle name="Incorrecto 29" xfId="3278"/>
    <cellStyle name="Incorrecto 3" xfId="3279"/>
    <cellStyle name="Incorrecto 30" xfId="3280"/>
    <cellStyle name="Incorrecto 31" xfId="3281"/>
    <cellStyle name="Incorrecto 32" xfId="3282"/>
    <cellStyle name="Incorrecto 33" xfId="3283"/>
    <cellStyle name="Incorrecto 34" xfId="3284"/>
    <cellStyle name="Incorrecto 35" xfId="3285"/>
    <cellStyle name="Incorrecto 36" xfId="3286"/>
    <cellStyle name="Incorrecto 37" xfId="3287"/>
    <cellStyle name="Incorrecto 4" xfId="3288"/>
    <cellStyle name="Incorrecto 5" xfId="3289"/>
    <cellStyle name="Incorrecto 6" xfId="3290"/>
    <cellStyle name="Incorrecto 7" xfId="3291"/>
    <cellStyle name="Incorrecto 8" xfId="3292"/>
    <cellStyle name="Incorrecto 9" xfId="3293"/>
    <cellStyle name="Input" xfId="3294"/>
    <cellStyle name="Linked Cell" xfId="3295"/>
    <cellStyle name="Millares 2" xfId="3296"/>
    <cellStyle name="Millares 2 2" xfId="3297"/>
    <cellStyle name="Millares 2 2 2" xfId="3298"/>
    <cellStyle name="Millares 2 2 2 2" xfId="3299"/>
    <cellStyle name="Millares 2 2 2 2 2" xfId="3300"/>
    <cellStyle name="Millares 2 2 2 2 3" xfId="3301"/>
    <cellStyle name="Millares 2 2 2 3" xfId="3302"/>
    <cellStyle name="Millares 2 2 2 4" xfId="3303"/>
    <cellStyle name="Millares 2 2 3" xfId="3304"/>
    <cellStyle name="Millares 2 2 3 2" xfId="3305"/>
    <cellStyle name="Millares 2 2 4" xfId="3306"/>
    <cellStyle name="Millares 2 2 4 2" xfId="3307"/>
    <cellStyle name="Millares 2 2 4 3" xfId="3308"/>
    <cellStyle name="Millares 2 2 5" xfId="3309"/>
    <cellStyle name="Millares 2 2 6" xfId="3310"/>
    <cellStyle name="Millares 2 3" xfId="3311"/>
    <cellStyle name="Millares 2 3 2" xfId="3312"/>
    <cellStyle name="Millares 2 3 2 2" xfId="3313"/>
    <cellStyle name="Millares 2 3 3" xfId="3314"/>
    <cellStyle name="Millares 2 3 3 2" xfId="3315"/>
    <cellStyle name="Millares 2 3 3 3" xfId="3316"/>
    <cellStyle name="Millares 2 3 4" xfId="3317"/>
    <cellStyle name="Millares 2 3 5" xfId="3318"/>
    <cellStyle name="Millares 2 4" xfId="3319"/>
    <cellStyle name="Millares 2 4 2" xfId="3320"/>
    <cellStyle name="Millares 2 4 3" xfId="3321"/>
    <cellStyle name="Millares 2 5" xfId="3322"/>
    <cellStyle name="Millares 2 6" xfId="3323"/>
    <cellStyle name="Millares 3" xfId="3324"/>
    <cellStyle name="Millares 3 2" xfId="3325"/>
    <cellStyle name="Millares 3 2 2" xfId="3326"/>
    <cellStyle name="Millares 3 2 2 2" xfId="3327"/>
    <cellStyle name="Millares 3 2 2 3" xfId="3328"/>
    <cellStyle name="Millares 3 2 3" xfId="3329"/>
    <cellStyle name="Millares 3 2 4" xfId="3330"/>
    <cellStyle name="Millares 3 3" xfId="3331"/>
    <cellStyle name="Millares 3 3 2" xfId="3332"/>
    <cellStyle name="Millares 3 3 3" xfId="3333"/>
    <cellStyle name="Millares 3 4" xfId="3334"/>
    <cellStyle name="Millares 3 5" xfId="3335"/>
    <cellStyle name="Millares 4" xfId="3336"/>
    <cellStyle name="Millares 4 2" xfId="3337"/>
    <cellStyle name="Millares 4 2 2" xfId="3338"/>
    <cellStyle name="Millares 4 2 2 2" xfId="3339"/>
    <cellStyle name="Millares 4 2 2 3" xfId="3340"/>
    <cellStyle name="Millares 4 2 3" xfId="3341"/>
    <cellStyle name="Millares 4 2 4" xfId="3342"/>
    <cellStyle name="Millares 4 3" xfId="3343"/>
    <cellStyle name="Millares 4 3 2" xfId="3344"/>
    <cellStyle name="Millares 4 3 3" xfId="3345"/>
    <cellStyle name="Millares 4 4" xfId="3346"/>
    <cellStyle name="Millares 4 5" xfId="3347"/>
    <cellStyle name="Millares 5" xfId="3348"/>
    <cellStyle name="Millares 5 2" xfId="3349"/>
    <cellStyle name="Millares 5 2 2" xfId="3350"/>
    <cellStyle name="Millares 5 2 2 2" xfId="3351"/>
    <cellStyle name="Millares 5 2 2 3" xfId="3352"/>
    <cellStyle name="Millares 5 2 3" xfId="3353"/>
    <cellStyle name="Millares 5 2 4" xfId="3354"/>
    <cellStyle name="Millares 5 3" xfId="3355"/>
    <cellStyle name="Millares 5 3 2" xfId="3356"/>
    <cellStyle name="Millares 5 3 3" xfId="3357"/>
    <cellStyle name="Millares 5 4" xfId="3358"/>
    <cellStyle name="Millares 5 5" xfId="3359"/>
    <cellStyle name="Millares 6" xfId="3360"/>
    <cellStyle name="Neutral 10" xfId="3361"/>
    <cellStyle name="Neutral 11" xfId="3362"/>
    <cellStyle name="Neutral 12" xfId="3363"/>
    <cellStyle name="Neutral 13" xfId="3364"/>
    <cellStyle name="Neutral 14" xfId="3365"/>
    <cellStyle name="Neutral 15" xfId="3366"/>
    <cellStyle name="Neutral 16" xfId="3367"/>
    <cellStyle name="Neutral 17" xfId="3368"/>
    <cellStyle name="Neutral 18" xfId="3369"/>
    <cellStyle name="Neutral 19" xfId="3370"/>
    <cellStyle name="Neutral 2" xfId="3371"/>
    <cellStyle name="Neutral 2 2" xfId="3372"/>
    <cellStyle name="Neutral 2 3" xfId="3373"/>
    <cellStyle name="Neutral 2 4" xfId="3374"/>
    <cellStyle name="Neutral 2 5" xfId="3375"/>
    <cellStyle name="Neutral 2 6" xfId="3376"/>
    <cellStyle name="Neutral 20" xfId="3377"/>
    <cellStyle name="Neutral 21" xfId="3378"/>
    <cellStyle name="Neutral 22" xfId="3379"/>
    <cellStyle name="Neutral 23" xfId="3380"/>
    <cellStyle name="Neutral 24" xfId="3381"/>
    <cellStyle name="Neutral 25" xfId="3382"/>
    <cellStyle name="Neutral 26" xfId="3383"/>
    <cellStyle name="Neutral 27" xfId="3384"/>
    <cellStyle name="Neutral 28" xfId="3385"/>
    <cellStyle name="Neutral 29" xfId="3386"/>
    <cellStyle name="Neutral 3" xfId="3387"/>
    <cellStyle name="Neutral 30" xfId="3388"/>
    <cellStyle name="Neutral 31" xfId="3389"/>
    <cellStyle name="Neutral 32" xfId="3390"/>
    <cellStyle name="Neutral 33" xfId="3391"/>
    <cellStyle name="Neutral 34" xfId="3392"/>
    <cellStyle name="Neutral 35" xfId="3393"/>
    <cellStyle name="Neutral 36" xfId="3394"/>
    <cellStyle name="Neutral 37" xfId="3395"/>
    <cellStyle name="Neutral 4" xfId="3396"/>
    <cellStyle name="Neutral 5" xfId="3397"/>
    <cellStyle name="Neutral 6" xfId="3398"/>
    <cellStyle name="Neutral 7" xfId="3399"/>
    <cellStyle name="Neutral 8" xfId="3400"/>
    <cellStyle name="Neutral 9" xfId="3401"/>
    <cellStyle name="Normal" xfId="0" builtinId="0"/>
    <cellStyle name="Normal 10" xfId="3402"/>
    <cellStyle name="Normal 10 2" xfId="3403"/>
    <cellStyle name="Normal 10 3" xfId="3404"/>
    <cellStyle name="Normal 10 4" xfId="3405"/>
    <cellStyle name="Normal 100" xfId="3406"/>
    <cellStyle name="Normal 100 2" xfId="3407"/>
    <cellStyle name="Normal 100 3" xfId="3408"/>
    <cellStyle name="Normal 101" xfId="3409"/>
    <cellStyle name="Normal 101 2" xfId="3410"/>
    <cellStyle name="Normal 101 3" xfId="3411"/>
    <cellStyle name="Normal 102" xfId="3412"/>
    <cellStyle name="Normal 102 2" xfId="3413"/>
    <cellStyle name="Normal 102 2 2" xfId="3414"/>
    <cellStyle name="Normal 102 2 2 2" xfId="3415"/>
    <cellStyle name="Normal 102 2 2 2 2" xfId="3416"/>
    <cellStyle name="Normal 102 2 2 2 2 2" xfId="3417"/>
    <cellStyle name="Normal 102 2 2 2 2 3" xfId="3418"/>
    <cellStyle name="Normal 102 2 2 2 3" xfId="3419"/>
    <cellStyle name="Normal 102 2 2 2 4" xfId="3420"/>
    <cellStyle name="Normal 102 2 2 3" xfId="3421"/>
    <cellStyle name="Normal 102 2 2 3 2" xfId="3422"/>
    <cellStyle name="Normal 102 2 2 3 3" xfId="3423"/>
    <cellStyle name="Normal 102 2 2 4" xfId="3424"/>
    <cellStyle name="Normal 102 2 2 5" xfId="3425"/>
    <cellStyle name="Normal 102 2 3" xfId="3426"/>
    <cellStyle name="Normal 102 2 3 2" xfId="3427"/>
    <cellStyle name="Normal 102 2 3 2 2" xfId="3428"/>
    <cellStyle name="Normal 102 2 3 2 2 2" xfId="3429"/>
    <cellStyle name="Normal 102 2 3 2 2 3" xfId="3430"/>
    <cellStyle name="Normal 102 2 3 2 3" xfId="3431"/>
    <cellStyle name="Normal 102 2 3 2 4" xfId="3432"/>
    <cellStyle name="Normal 102 2 3 3" xfId="3433"/>
    <cellStyle name="Normal 102 2 3 3 2" xfId="3434"/>
    <cellStyle name="Normal 102 2 3 3 3" xfId="3435"/>
    <cellStyle name="Normal 102 2 3 4" xfId="3436"/>
    <cellStyle name="Normal 102 2 3 5" xfId="3437"/>
    <cellStyle name="Normal 102 2 4" xfId="3438"/>
    <cellStyle name="Normal 102 2 4 2" xfId="3439"/>
    <cellStyle name="Normal 102 2 4 2 2" xfId="3440"/>
    <cellStyle name="Normal 102 2 4 2 3" xfId="3441"/>
    <cellStyle name="Normal 102 2 4 3" xfId="3442"/>
    <cellStyle name="Normal 102 2 4 4" xfId="3443"/>
    <cellStyle name="Normal 102 2 5" xfId="3444"/>
    <cellStyle name="Normal 102 2 5 2" xfId="3445"/>
    <cellStyle name="Normal 102 2 5 3" xfId="3446"/>
    <cellStyle name="Normal 102 2 6" xfId="3447"/>
    <cellStyle name="Normal 102 2 7" xfId="3448"/>
    <cellStyle name="Normal 102 3" xfId="3449"/>
    <cellStyle name="Normal 102 3 2" xfId="3450"/>
    <cellStyle name="Normal 102 3 2 2" xfId="3451"/>
    <cellStyle name="Normal 102 3 2 2 2" xfId="3452"/>
    <cellStyle name="Normal 102 3 2 2 2 2" xfId="3453"/>
    <cellStyle name="Normal 102 3 2 2 2 3" xfId="3454"/>
    <cellStyle name="Normal 102 3 2 2 3" xfId="3455"/>
    <cellStyle name="Normal 102 3 2 2 4" xfId="3456"/>
    <cellStyle name="Normal 102 3 2 3" xfId="3457"/>
    <cellStyle name="Normal 102 3 2 3 2" xfId="3458"/>
    <cellStyle name="Normal 102 3 2 3 3" xfId="3459"/>
    <cellStyle name="Normal 102 3 2 4" xfId="3460"/>
    <cellStyle name="Normal 102 3 2 5" xfId="3461"/>
    <cellStyle name="Normal 102 3 3" xfId="3462"/>
    <cellStyle name="Normal 102 3 3 2" xfId="3463"/>
    <cellStyle name="Normal 102 3 3 2 2" xfId="3464"/>
    <cellStyle name="Normal 102 3 3 2 3" xfId="3465"/>
    <cellStyle name="Normal 102 3 3 3" xfId="3466"/>
    <cellStyle name="Normal 102 3 3 4" xfId="3467"/>
    <cellStyle name="Normal 102 3 4" xfId="3468"/>
    <cellStyle name="Normal 102 3 4 2" xfId="3469"/>
    <cellStyle name="Normal 102 3 4 3" xfId="3470"/>
    <cellStyle name="Normal 102 3 5" xfId="3471"/>
    <cellStyle name="Normal 102 3 6" xfId="3472"/>
    <cellStyle name="Normal 102 4" xfId="3473"/>
    <cellStyle name="Normal 102 4 2" xfId="3474"/>
    <cellStyle name="Normal 102 4 2 2" xfId="3475"/>
    <cellStyle name="Normal 102 4 2 2 2" xfId="3476"/>
    <cellStyle name="Normal 102 4 2 2 3" xfId="3477"/>
    <cellStyle name="Normal 102 4 2 3" xfId="3478"/>
    <cellStyle name="Normal 102 4 2 4" xfId="3479"/>
    <cellStyle name="Normal 102 4 3" xfId="3480"/>
    <cellStyle name="Normal 102 4 3 2" xfId="3481"/>
    <cellStyle name="Normal 102 4 3 3" xfId="3482"/>
    <cellStyle name="Normal 102 4 4" xfId="3483"/>
    <cellStyle name="Normal 102 4 5" xfId="3484"/>
    <cellStyle name="Normal 102 5" xfId="3485"/>
    <cellStyle name="Normal 102 5 2" xfId="3486"/>
    <cellStyle name="Normal 102 5 2 2" xfId="3487"/>
    <cellStyle name="Normal 102 5 2 3" xfId="3488"/>
    <cellStyle name="Normal 102 5 3" xfId="3489"/>
    <cellStyle name="Normal 102 5 4" xfId="3490"/>
    <cellStyle name="Normal 102 6" xfId="3491"/>
    <cellStyle name="Normal 102 6 2" xfId="3492"/>
    <cellStyle name="Normal 102 6 3" xfId="3493"/>
    <cellStyle name="Normal 102 7" xfId="3494"/>
    <cellStyle name="Normal 102 8" xfId="3495"/>
    <cellStyle name="Normal 103" xfId="3496"/>
    <cellStyle name="Normal 103 2" xfId="3497"/>
    <cellStyle name="Normal 103 2 2" xfId="3498"/>
    <cellStyle name="Normal 103 3" xfId="3499"/>
    <cellStyle name="Normal 104" xfId="3500"/>
    <cellStyle name="Normal 104 2" xfId="3501"/>
    <cellStyle name="Normal 104 2 2" xfId="3502"/>
    <cellStyle name="Normal 104 2 2 2" xfId="3503"/>
    <cellStyle name="Normal 104 2 2 2 2" xfId="3504"/>
    <cellStyle name="Normal 104 2 2 2 3" xfId="3505"/>
    <cellStyle name="Normal 104 2 2 3" xfId="3506"/>
    <cellStyle name="Normal 104 2 2 4" xfId="3507"/>
    <cellStyle name="Normal 104 2 3" xfId="3508"/>
    <cellStyle name="Normal 104 2 3 2" xfId="3509"/>
    <cellStyle name="Normal 104 2 3 3" xfId="3510"/>
    <cellStyle name="Normal 104 2 4" xfId="3511"/>
    <cellStyle name="Normal 104 2 5" xfId="3512"/>
    <cellStyle name="Normal 104 3" xfId="3513"/>
    <cellStyle name="Normal 104 3 2" xfId="3514"/>
    <cellStyle name="Normal 104 3 2 2" xfId="3515"/>
    <cellStyle name="Normal 104 3 2 3" xfId="3516"/>
    <cellStyle name="Normal 104 3 3" xfId="3517"/>
    <cellStyle name="Normal 104 3 4" xfId="3518"/>
    <cellStyle name="Normal 104 4" xfId="3519"/>
    <cellStyle name="Normal 104 4 2" xfId="3520"/>
    <cellStyle name="Normal 104 4 3" xfId="3521"/>
    <cellStyle name="Normal 104 5" xfId="3522"/>
    <cellStyle name="Normal 104 6" xfId="3523"/>
    <cellStyle name="Normal 105" xfId="3524"/>
    <cellStyle name="Normal 105 2" xfId="3525"/>
    <cellStyle name="Normal 105 2 2" xfId="3526"/>
    <cellStyle name="Normal 105 2 2 2" xfId="3527"/>
    <cellStyle name="Normal 105 2 2 2 2" xfId="3528"/>
    <cellStyle name="Normal 105 2 2 2 3" xfId="3529"/>
    <cellStyle name="Normal 105 2 2 3" xfId="3530"/>
    <cellStyle name="Normal 105 2 2 4" xfId="3531"/>
    <cellStyle name="Normal 105 2 3" xfId="3532"/>
    <cellStyle name="Normal 105 2 3 2" xfId="3533"/>
    <cellStyle name="Normal 105 2 3 3" xfId="3534"/>
    <cellStyle name="Normal 105 2 4" xfId="3535"/>
    <cellStyle name="Normal 105 2 5" xfId="3536"/>
    <cellStyle name="Normal 105 3" xfId="3537"/>
    <cellStyle name="Normal 105 3 2" xfId="3538"/>
    <cellStyle name="Normal 105 3 2 2" xfId="3539"/>
    <cellStyle name="Normal 105 3 2 3" xfId="3540"/>
    <cellStyle name="Normal 105 3 3" xfId="3541"/>
    <cellStyle name="Normal 105 3 4" xfId="3542"/>
    <cellStyle name="Normal 105 4" xfId="3543"/>
    <cellStyle name="Normal 105 4 2" xfId="3544"/>
    <cellStyle name="Normal 105 4 3" xfId="3545"/>
    <cellStyle name="Normal 105 5" xfId="3546"/>
    <cellStyle name="Normal 105 6" xfId="3547"/>
    <cellStyle name="Normal 106" xfId="3548"/>
    <cellStyle name="Normal 106 2" xfId="3549"/>
    <cellStyle name="Normal 106 2 2" xfId="3550"/>
    <cellStyle name="Normal 106 2 2 2" xfId="3551"/>
    <cellStyle name="Normal 106 2 2 2 2" xfId="3552"/>
    <cellStyle name="Normal 106 2 2 2 3" xfId="3553"/>
    <cellStyle name="Normal 106 2 2 3" xfId="3554"/>
    <cellStyle name="Normal 106 2 2 4" xfId="3555"/>
    <cellStyle name="Normal 106 2 3" xfId="3556"/>
    <cellStyle name="Normal 106 2 3 2" xfId="3557"/>
    <cellStyle name="Normal 106 2 3 3" xfId="3558"/>
    <cellStyle name="Normal 106 2 4" xfId="3559"/>
    <cellStyle name="Normal 106 2 5" xfId="3560"/>
    <cellStyle name="Normal 106 3" xfId="3561"/>
    <cellStyle name="Normal 106 3 2" xfId="3562"/>
    <cellStyle name="Normal 106 3 2 2" xfId="3563"/>
    <cellStyle name="Normal 106 3 2 3" xfId="3564"/>
    <cellStyle name="Normal 106 3 3" xfId="3565"/>
    <cellStyle name="Normal 106 3 4" xfId="3566"/>
    <cellStyle name="Normal 106 4" xfId="3567"/>
    <cellStyle name="Normal 106 4 2" xfId="3568"/>
    <cellStyle name="Normal 106 4 3" xfId="3569"/>
    <cellStyle name="Normal 106 5" xfId="3570"/>
    <cellStyle name="Normal 106 6" xfId="3571"/>
    <cellStyle name="Normal 107" xfId="3572"/>
    <cellStyle name="Normal 107 2" xfId="3573"/>
    <cellStyle name="Normal 107 2 2" xfId="3574"/>
    <cellStyle name="Normal 107 2 2 2" xfId="3575"/>
    <cellStyle name="Normal 107 2 2 3" xfId="3576"/>
    <cellStyle name="Normal 107 2 3" xfId="3577"/>
    <cellStyle name="Normal 107 2 4" xfId="3578"/>
    <cellStyle name="Normal 107 3" xfId="3579"/>
    <cellStyle name="Normal 107 3 2" xfId="3580"/>
    <cellStyle name="Normal 107 3 3" xfId="3581"/>
    <cellStyle name="Normal 107 4" xfId="3582"/>
    <cellStyle name="Normal 107 5" xfId="3583"/>
    <cellStyle name="Normal 108" xfId="3584"/>
    <cellStyle name="Normal 108 2" xfId="3585"/>
    <cellStyle name="Normal 108 2 2" xfId="3586"/>
    <cellStyle name="Normal 108 2 2 2" xfId="3587"/>
    <cellStyle name="Normal 108 2 2 3" xfId="3588"/>
    <cellStyle name="Normal 108 2 3" xfId="3589"/>
    <cellStyle name="Normal 108 2 4" xfId="3590"/>
    <cellStyle name="Normal 108 3" xfId="3591"/>
    <cellStyle name="Normal 108 3 2" xfId="3592"/>
    <cellStyle name="Normal 108 3 3" xfId="3593"/>
    <cellStyle name="Normal 108 4" xfId="3594"/>
    <cellStyle name="Normal 108 5" xfId="3595"/>
    <cellStyle name="Normal 109" xfId="3596"/>
    <cellStyle name="Normal 109 2" xfId="3597"/>
    <cellStyle name="Normal 109 2 2" xfId="3598"/>
    <cellStyle name="Normal 109 2 2 2" xfId="3599"/>
    <cellStyle name="Normal 109 2 2 3" xfId="3600"/>
    <cellStyle name="Normal 109 2 3" xfId="3601"/>
    <cellStyle name="Normal 109 2 4" xfId="3602"/>
    <cellStyle name="Normal 109 3" xfId="3603"/>
    <cellStyle name="Normal 109 3 2" xfId="3604"/>
    <cellStyle name="Normal 109 3 3" xfId="3605"/>
    <cellStyle name="Normal 109 4" xfId="3606"/>
    <cellStyle name="Normal 109 5" xfId="3607"/>
    <cellStyle name="Normal 11" xfId="3608"/>
    <cellStyle name="Normal 11 2" xfId="3609"/>
    <cellStyle name="Normal 11 3" xfId="3610"/>
    <cellStyle name="Normal 11 4" xfId="3611"/>
    <cellStyle name="Normal 110" xfId="3612"/>
    <cellStyle name="Normal 110 2" xfId="3613"/>
    <cellStyle name="Normal 110 2 2" xfId="3614"/>
    <cellStyle name="Normal 110 2 2 2" xfId="3615"/>
    <cellStyle name="Normal 110 2 2 3" xfId="3616"/>
    <cellStyle name="Normal 110 2 3" xfId="3617"/>
    <cellStyle name="Normal 110 2 4" xfId="3618"/>
    <cellStyle name="Normal 110 3" xfId="3619"/>
    <cellStyle name="Normal 110 3 2" xfId="3620"/>
    <cellStyle name="Normal 110 3 3" xfId="3621"/>
    <cellStyle name="Normal 110 4" xfId="3622"/>
    <cellStyle name="Normal 110 5" xfId="3623"/>
    <cellStyle name="Normal 111" xfId="3624"/>
    <cellStyle name="Normal 111 2" xfId="3625"/>
    <cellStyle name="Normal 111 2 2" xfId="3626"/>
    <cellStyle name="Normal 111 2 2 2" xfId="3627"/>
    <cellStyle name="Normal 111 2 2 3" xfId="3628"/>
    <cellStyle name="Normal 111 2 3" xfId="3629"/>
    <cellStyle name="Normal 111 2 4" xfId="3630"/>
    <cellStyle name="Normal 111 3" xfId="3631"/>
    <cellStyle name="Normal 111 3 2" xfId="3632"/>
    <cellStyle name="Normal 111 3 3" xfId="3633"/>
    <cellStyle name="Normal 111 4" xfId="3634"/>
    <cellStyle name="Normal 111 5" xfId="3635"/>
    <cellStyle name="Normal 112" xfId="3636"/>
    <cellStyle name="Normal 112 2" xfId="3637"/>
    <cellStyle name="Normal 112 2 2" xfId="3638"/>
    <cellStyle name="Normal 112 2 2 2" xfId="3639"/>
    <cellStyle name="Normal 112 2 2 3" xfId="3640"/>
    <cellStyle name="Normal 112 2 3" xfId="3641"/>
    <cellStyle name="Normal 112 2 4" xfId="3642"/>
    <cellStyle name="Normal 112 3" xfId="3643"/>
    <cellStyle name="Normal 112 3 2" xfId="3644"/>
    <cellStyle name="Normal 112 3 2 2" xfId="3645"/>
    <cellStyle name="Normal 112 3 2 3" xfId="3646"/>
    <cellStyle name="Normal 112 3 3" xfId="3647"/>
    <cellStyle name="Normal 112 3 4" xfId="3648"/>
    <cellStyle name="Normal 112 4" xfId="3649"/>
    <cellStyle name="Normal 112 4 2" xfId="3650"/>
    <cellStyle name="Normal 112 4 3" xfId="3651"/>
    <cellStyle name="Normal 112 5" xfId="3652"/>
    <cellStyle name="Normal 112 6" xfId="3653"/>
    <cellStyle name="Normal 113" xfId="3654"/>
    <cellStyle name="Normal 113 2" xfId="3655"/>
    <cellStyle name="Normal 113 2 2" xfId="3656"/>
    <cellStyle name="Normal 113 2 3" xfId="3657"/>
    <cellStyle name="Normal 113 3" xfId="3658"/>
    <cellStyle name="Normal 113 4" xfId="3659"/>
    <cellStyle name="Normal 114" xfId="3660"/>
    <cellStyle name="Normal 114 2" xfId="3661"/>
    <cellStyle name="Normal 115" xfId="3662"/>
    <cellStyle name="Normal 116" xfId="3663"/>
    <cellStyle name="Normal 12" xfId="3664"/>
    <cellStyle name="Normal 12 2" xfId="3665"/>
    <cellStyle name="Normal 12 3" xfId="3666"/>
    <cellStyle name="Normal 12 4" xfId="3667"/>
    <cellStyle name="Normal 122" xfId="3668"/>
    <cellStyle name="Normal 13" xfId="3669"/>
    <cellStyle name="Normal 13 2" xfId="3670"/>
    <cellStyle name="Normal 13 3" xfId="3671"/>
    <cellStyle name="Normal 13 4" xfId="3672"/>
    <cellStyle name="Normal 14" xfId="3673"/>
    <cellStyle name="Normal 14 2" xfId="3674"/>
    <cellStyle name="Normal 14 3" xfId="3675"/>
    <cellStyle name="Normal 14 4" xfId="3676"/>
    <cellStyle name="Normal 15" xfId="3677"/>
    <cellStyle name="Normal 15 2" xfId="3678"/>
    <cellStyle name="Normal 15 3" xfId="3679"/>
    <cellStyle name="Normal 16" xfId="3680"/>
    <cellStyle name="Normal 16 2" xfId="3681"/>
    <cellStyle name="Normal 16 3" xfId="3682"/>
    <cellStyle name="Normal 17" xfId="3683"/>
    <cellStyle name="Normal 17 2" xfId="3684"/>
    <cellStyle name="Normal 17 3" xfId="3685"/>
    <cellStyle name="Normal 18" xfId="3686"/>
    <cellStyle name="Normal 18 2" xfId="3687"/>
    <cellStyle name="Normal 18 3" xfId="3688"/>
    <cellStyle name="Normal 19" xfId="3689"/>
    <cellStyle name="Normal 19 2" xfId="3690"/>
    <cellStyle name="Normal 19 3" xfId="3691"/>
    <cellStyle name="Normal 2" xfId="3692"/>
    <cellStyle name="Normal 2 10" xfId="3693"/>
    <cellStyle name="Normal 2 10 10" xfId="3694"/>
    <cellStyle name="Normal 2 10 10 2" xfId="3695"/>
    <cellStyle name="Normal 2 10 10 2 2" xfId="3696"/>
    <cellStyle name="Normal 2 10 10 3" xfId="3697"/>
    <cellStyle name="Normal 2 10 11" xfId="3698"/>
    <cellStyle name="Normal 2 10 11 2" xfId="3699"/>
    <cellStyle name="Normal 2 10 11 2 2" xfId="3700"/>
    <cellStyle name="Normal 2 10 11 3" xfId="3701"/>
    <cellStyle name="Normal 2 10 12" xfId="3702"/>
    <cellStyle name="Normal 2 10 12 2" xfId="3703"/>
    <cellStyle name="Normal 2 10 12 2 2" xfId="3704"/>
    <cellStyle name="Normal 2 10 12 3" xfId="3705"/>
    <cellStyle name="Normal 2 10 13" xfId="3706"/>
    <cellStyle name="Normal 2 10 13 2" xfId="3707"/>
    <cellStyle name="Normal 2 10 13 2 2" xfId="3708"/>
    <cellStyle name="Normal 2 10 13 3" xfId="3709"/>
    <cellStyle name="Normal 2 10 14" xfId="3710"/>
    <cellStyle name="Normal 2 10 14 2" xfId="3711"/>
    <cellStyle name="Normal 2 10 14 2 2" xfId="3712"/>
    <cellStyle name="Normal 2 10 14 3" xfId="3713"/>
    <cellStyle name="Normal 2 10 15" xfId="3714"/>
    <cellStyle name="Normal 2 10 15 2" xfId="3715"/>
    <cellStyle name="Normal 2 10 15 2 2" xfId="3716"/>
    <cellStyle name="Normal 2 10 15 3" xfId="3717"/>
    <cellStyle name="Normal 2 10 16" xfId="3718"/>
    <cellStyle name="Normal 2 10 16 2" xfId="3719"/>
    <cellStyle name="Normal 2 10 16 2 2" xfId="3720"/>
    <cellStyle name="Normal 2 10 16 3" xfId="3721"/>
    <cellStyle name="Normal 2 10 17" xfId="3722"/>
    <cellStyle name="Normal 2 10 17 2" xfId="3723"/>
    <cellStyle name="Normal 2 10 17 2 2" xfId="3724"/>
    <cellStyle name="Normal 2 10 17 3" xfId="3725"/>
    <cellStyle name="Normal 2 10 18" xfId="3726"/>
    <cellStyle name="Normal 2 10 18 2" xfId="3727"/>
    <cellStyle name="Normal 2 10 18 2 2" xfId="3728"/>
    <cellStyle name="Normal 2 10 18 3" xfId="3729"/>
    <cellStyle name="Normal 2 10 19" xfId="3730"/>
    <cellStyle name="Normal 2 10 19 2" xfId="3731"/>
    <cellStyle name="Normal 2 10 19 2 2" xfId="3732"/>
    <cellStyle name="Normal 2 10 19 3" xfId="3733"/>
    <cellStyle name="Normal 2 10 2" xfId="3734"/>
    <cellStyle name="Normal 2 10 2 2" xfId="3735"/>
    <cellStyle name="Normal 2 10 2 2 2" xfId="3736"/>
    <cellStyle name="Normal 2 10 2 3" xfId="3737"/>
    <cellStyle name="Normal 2 10 20" xfId="3738"/>
    <cellStyle name="Normal 2 10 20 2" xfId="3739"/>
    <cellStyle name="Normal 2 10 20 2 2" xfId="3740"/>
    <cellStyle name="Normal 2 10 20 3" xfId="3741"/>
    <cellStyle name="Normal 2 10 21" xfId="3742"/>
    <cellStyle name="Normal 2 10 21 2" xfId="3743"/>
    <cellStyle name="Normal 2 10 21 2 2" xfId="3744"/>
    <cellStyle name="Normal 2 10 21 3" xfId="3745"/>
    <cellStyle name="Normal 2 10 22" xfId="3746"/>
    <cellStyle name="Normal 2 10 22 2" xfId="3747"/>
    <cellStyle name="Normal 2 10 22 2 2" xfId="3748"/>
    <cellStyle name="Normal 2 10 22 3" xfId="3749"/>
    <cellStyle name="Normal 2 10 23" xfId="3750"/>
    <cellStyle name="Normal 2 10 23 2" xfId="3751"/>
    <cellStyle name="Normal 2 10 23 2 2" xfId="3752"/>
    <cellStyle name="Normal 2 10 23 3" xfId="3753"/>
    <cellStyle name="Normal 2 10 24" xfId="3754"/>
    <cellStyle name="Normal 2 10 24 2" xfId="3755"/>
    <cellStyle name="Normal 2 10 24 2 2" xfId="3756"/>
    <cellStyle name="Normal 2 10 24 3" xfId="3757"/>
    <cellStyle name="Normal 2 10 25" xfId="3758"/>
    <cellStyle name="Normal 2 10 25 2" xfId="3759"/>
    <cellStyle name="Normal 2 10 25 2 2" xfId="3760"/>
    <cellStyle name="Normal 2 10 25 3" xfId="3761"/>
    <cellStyle name="Normal 2 10 26" xfId="3762"/>
    <cellStyle name="Normal 2 10 26 2" xfId="3763"/>
    <cellStyle name="Normal 2 10 26 2 2" xfId="3764"/>
    <cellStyle name="Normal 2 10 26 3" xfId="3765"/>
    <cellStyle name="Normal 2 10 27" xfId="3766"/>
    <cellStyle name="Normal 2 10 27 2" xfId="3767"/>
    <cellStyle name="Normal 2 10 28" xfId="3768"/>
    <cellStyle name="Normal 2 10 3" xfId="3769"/>
    <cellStyle name="Normal 2 10 3 2" xfId="3770"/>
    <cellStyle name="Normal 2 10 3 2 2" xfId="3771"/>
    <cellStyle name="Normal 2 10 3 3" xfId="3772"/>
    <cellStyle name="Normal 2 10 4" xfId="3773"/>
    <cellStyle name="Normal 2 10 4 2" xfId="3774"/>
    <cellStyle name="Normal 2 10 4 2 2" xfId="3775"/>
    <cellStyle name="Normal 2 10 4 3" xfId="3776"/>
    <cellStyle name="Normal 2 10 5" xfId="3777"/>
    <cellStyle name="Normal 2 10 5 2" xfId="3778"/>
    <cellStyle name="Normal 2 10 5 2 2" xfId="3779"/>
    <cellStyle name="Normal 2 10 5 3" xfId="3780"/>
    <cellStyle name="Normal 2 10 6" xfId="3781"/>
    <cellStyle name="Normal 2 10 6 2" xfId="3782"/>
    <cellStyle name="Normal 2 10 6 2 2" xfId="3783"/>
    <cellStyle name="Normal 2 10 6 3" xfId="3784"/>
    <cellStyle name="Normal 2 10 7" xfId="3785"/>
    <cellStyle name="Normal 2 10 7 2" xfId="3786"/>
    <cellStyle name="Normal 2 10 7 2 2" xfId="3787"/>
    <cellStyle name="Normal 2 10 7 3" xfId="3788"/>
    <cellStyle name="Normal 2 10 8" xfId="3789"/>
    <cellStyle name="Normal 2 10 8 2" xfId="3790"/>
    <cellStyle name="Normal 2 10 8 2 2" xfId="3791"/>
    <cellStyle name="Normal 2 10 8 3" xfId="3792"/>
    <cellStyle name="Normal 2 10 9" xfId="3793"/>
    <cellStyle name="Normal 2 10 9 2" xfId="3794"/>
    <cellStyle name="Normal 2 10 9 2 2" xfId="3795"/>
    <cellStyle name="Normal 2 10 9 3" xfId="3796"/>
    <cellStyle name="Normal 2 11" xfId="3797"/>
    <cellStyle name="Normal 2 11 10" xfId="3798"/>
    <cellStyle name="Normal 2 11 10 2" xfId="3799"/>
    <cellStyle name="Normal 2 11 10 2 2" xfId="3800"/>
    <cellStyle name="Normal 2 11 10 3" xfId="3801"/>
    <cellStyle name="Normal 2 11 11" xfId="3802"/>
    <cellStyle name="Normal 2 11 11 2" xfId="3803"/>
    <cellStyle name="Normal 2 11 11 2 2" xfId="3804"/>
    <cellStyle name="Normal 2 11 11 3" xfId="3805"/>
    <cellStyle name="Normal 2 11 12" xfId="3806"/>
    <cellStyle name="Normal 2 11 12 2" xfId="3807"/>
    <cellStyle name="Normal 2 11 12 2 2" xfId="3808"/>
    <cellStyle name="Normal 2 11 12 3" xfId="3809"/>
    <cellStyle name="Normal 2 11 13" xfId="3810"/>
    <cellStyle name="Normal 2 11 13 2" xfId="3811"/>
    <cellStyle name="Normal 2 11 13 2 2" xfId="3812"/>
    <cellStyle name="Normal 2 11 13 3" xfId="3813"/>
    <cellStyle name="Normal 2 11 14" xfId="3814"/>
    <cellStyle name="Normal 2 11 14 2" xfId="3815"/>
    <cellStyle name="Normal 2 11 14 2 2" xfId="3816"/>
    <cellStyle name="Normal 2 11 14 3" xfId="3817"/>
    <cellStyle name="Normal 2 11 15" xfId="3818"/>
    <cellStyle name="Normal 2 11 15 2" xfId="3819"/>
    <cellStyle name="Normal 2 11 15 2 2" xfId="3820"/>
    <cellStyle name="Normal 2 11 15 3" xfId="3821"/>
    <cellStyle name="Normal 2 11 16" xfId="3822"/>
    <cellStyle name="Normal 2 11 16 2" xfId="3823"/>
    <cellStyle name="Normal 2 11 16 2 2" xfId="3824"/>
    <cellStyle name="Normal 2 11 16 3" xfId="3825"/>
    <cellStyle name="Normal 2 11 17" xfId="3826"/>
    <cellStyle name="Normal 2 11 17 2" xfId="3827"/>
    <cellStyle name="Normal 2 11 17 2 2" xfId="3828"/>
    <cellStyle name="Normal 2 11 17 3" xfId="3829"/>
    <cellStyle name="Normal 2 11 18" xfId="3830"/>
    <cellStyle name="Normal 2 11 18 2" xfId="3831"/>
    <cellStyle name="Normal 2 11 18 2 2" xfId="3832"/>
    <cellStyle name="Normal 2 11 18 3" xfId="3833"/>
    <cellStyle name="Normal 2 11 19" xfId="3834"/>
    <cellStyle name="Normal 2 11 19 2" xfId="3835"/>
    <cellStyle name="Normal 2 11 19 2 2" xfId="3836"/>
    <cellStyle name="Normal 2 11 19 3" xfId="3837"/>
    <cellStyle name="Normal 2 11 2" xfId="3838"/>
    <cellStyle name="Normal 2 11 2 2" xfId="3839"/>
    <cellStyle name="Normal 2 11 2 2 2" xfId="3840"/>
    <cellStyle name="Normal 2 11 2 3" xfId="3841"/>
    <cellStyle name="Normal 2 11 20" xfId="3842"/>
    <cellStyle name="Normal 2 11 20 2" xfId="3843"/>
    <cellStyle name="Normal 2 11 20 2 2" xfId="3844"/>
    <cellStyle name="Normal 2 11 20 3" xfId="3845"/>
    <cellStyle name="Normal 2 11 21" xfId="3846"/>
    <cellStyle name="Normal 2 11 21 2" xfId="3847"/>
    <cellStyle name="Normal 2 11 21 2 2" xfId="3848"/>
    <cellStyle name="Normal 2 11 21 3" xfId="3849"/>
    <cellStyle name="Normal 2 11 22" xfId="3850"/>
    <cellStyle name="Normal 2 11 22 2" xfId="3851"/>
    <cellStyle name="Normal 2 11 22 2 2" xfId="3852"/>
    <cellStyle name="Normal 2 11 22 3" xfId="3853"/>
    <cellStyle name="Normal 2 11 23" xfId="3854"/>
    <cellStyle name="Normal 2 11 23 2" xfId="3855"/>
    <cellStyle name="Normal 2 11 23 2 2" xfId="3856"/>
    <cellStyle name="Normal 2 11 23 3" xfId="3857"/>
    <cellStyle name="Normal 2 11 24" xfId="3858"/>
    <cellStyle name="Normal 2 11 24 2" xfId="3859"/>
    <cellStyle name="Normal 2 11 24 2 2" xfId="3860"/>
    <cellStyle name="Normal 2 11 24 3" xfId="3861"/>
    <cellStyle name="Normal 2 11 25" xfId="3862"/>
    <cellStyle name="Normal 2 11 25 2" xfId="3863"/>
    <cellStyle name="Normal 2 11 25 2 2" xfId="3864"/>
    <cellStyle name="Normal 2 11 25 3" xfId="3865"/>
    <cellStyle name="Normal 2 11 26" xfId="3866"/>
    <cellStyle name="Normal 2 11 26 2" xfId="3867"/>
    <cellStyle name="Normal 2 11 26 2 2" xfId="3868"/>
    <cellStyle name="Normal 2 11 26 3" xfId="3869"/>
    <cellStyle name="Normal 2 11 27" xfId="3870"/>
    <cellStyle name="Normal 2 11 27 2" xfId="3871"/>
    <cellStyle name="Normal 2 11 28" xfId="3872"/>
    <cellStyle name="Normal 2 11 3" xfId="3873"/>
    <cellStyle name="Normal 2 11 3 2" xfId="3874"/>
    <cellStyle name="Normal 2 11 3 2 2" xfId="3875"/>
    <cellStyle name="Normal 2 11 3 3" xfId="3876"/>
    <cellStyle name="Normal 2 11 4" xfId="3877"/>
    <cellStyle name="Normal 2 11 4 2" xfId="3878"/>
    <cellStyle name="Normal 2 11 4 2 2" xfId="3879"/>
    <cellStyle name="Normal 2 11 4 3" xfId="3880"/>
    <cellStyle name="Normal 2 11 5" xfId="3881"/>
    <cellStyle name="Normal 2 11 5 2" xfId="3882"/>
    <cellStyle name="Normal 2 11 5 2 2" xfId="3883"/>
    <cellStyle name="Normal 2 11 5 3" xfId="3884"/>
    <cellStyle name="Normal 2 11 6" xfId="3885"/>
    <cellStyle name="Normal 2 11 6 2" xfId="3886"/>
    <cellStyle name="Normal 2 11 6 2 2" xfId="3887"/>
    <cellStyle name="Normal 2 11 6 3" xfId="3888"/>
    <cellStyle name="Normal 2 11 7" xfId="3889"/>
    <cellStyle name="Normal 2 11 7 2" xfId="3890"/>
    <cellStyle name="Normal 2 11 7 2 2" xfId="3891"/>
    <cellStyle name="Normal 2 11 7 3" xfId="3892"/>
    <cellStyle name="Normal 2 11 8" xfId="3893"/>
    <cellStyle name="Normal 2 11 8 2" xfId="3894"/>
    <cellStyle name="Normal 2 11 8 2 2" xfId="3895"/>
    <cellStyle name="Normal 2 11 8 3" xfId="3896"/>
    <cellStyle name="Normal 2 11 9" xfId="3897"/>
    <cellStyle name="Normal 2 11 9 2" xfId="3898"/>
    <cellStyle name="Normal 2 11 9 2 2" xfId="3899"/>
    <cellStyle name="Normal 2 11 9 3" xfId="3900"/>
    <cellStyle name="Normal 2 12" xfId="3901"/>
    <cellStyle name="Normal 2 12 10" xfId="3902"/>
    <cellStyle name="Normal 2 12 10 2" xfId="3903"/>
    <cellStyle name="Normal 2 12 10 2 2" xfId="3904"/>
    <cellStyle name="Normal 2 12 10 3" xfId="3905"/>
    <cellStyle name="Normal 2 12 11" xfId="3906"/>
    <cellStyle name="Normal 2 12 11 2" xfId="3907"/>
    <cellStyle name="Normal 2 12 11 2 2" xfId="3908"/>
    <cellStyle name="Normal 2 12 11 3" xfId="3909"/>
    <cellStyle name="Normal 2 12 12" xfId="3910"/>
    <cellStyle name="Normal 2 12 12 2" xfId="3911"/>
    <cellStyle name="Normal 2 12 12 2 2" xfId="3912"/>
    <cellStyle name="Normal 2 12 12 3" xfId="3913"/>
    <cellStyle name="Normal 2 12 13" xfId="3914"/>
    <cellStyle name="Normal 2 12 13 2" xfId="3915"/>
    <cellStyle name="Normal 2 12 13 2 2" xfId="3916"/>
    <cellStyle name="Normal 2 12 13 3" xfId="3917"/>
    <cellStyle name="Normal 2 12 14" xfId="3918"/>
    <cellStyle name="Normal 2 12 14 2" xfId="3919"/>
    <cellStyle name="Normal 2 12 14 2 2" xfId="3920"/>
    <cellStyle name="Normal 2 12 14 3" xfId="3921"/>
    <cellStyle name="Normal 2 12 15" xfId="3922"/>
    <cellStyle name="Normal 2 12 15 2" xfId="3923"/>
    <cellStyle name="Normal 2 12 15 2 2" xfId="3924"/>
    <cellStyle name="Normal 2 12 15 3" xfId="3925"/>
    <cellStyle name="Normal 2 12 16" xfId="3926"/>
    <cellStyle name="Normal 2 12 16 2" xfId="3927"/>
    <cellStyle name="Normal 2 12 16 2 2" xfId="3928"/>
    <cellStyle name="Normal 2 12 16 3" xfId="3929"/>
    <cellStyle name="Normal 2 12 17" xfId="3930"/>
    <cellStyle name="Normal 2 12 17 2" xfId="3931"/>
    <cellStyle name="Normal 2 12 17 2 2" xfId="3932"/>
    <cellStyle name="Normal 2 12 17 3" xfId="3933"/>
    <cellStyle name="Normal 2 12 18" xfId="3934"/>
    <cellStyle name="Normal 2 12 18 2" xfId="3935"/>
    <cellStyle name="Normal 2 12 18 2 2" xfId="3936"/>
    <cellStyle name="Normal 2 12 18 3" xfId="3937"/>
    <cellStyle name="Normal 2 12 19" xfId="3938"/>
    <cellStyle name="Normal 2 12 19 2" xfId="3939"/>
    <cellStyle name="Normal 2 12 19 2 2" xfId="3940"/>
    <cellStyle name="Normal 2 12 19 3" xfId="3941"/>
    <cellStyle name="Normal 2 12 2" xfId="3942"/>
    <cellStyle name="Normal 2 12 2 2" xfId="3943"/>
    <cellStyle name="Normal 2 12 2 2 2" xfId="3944"/>
    <cellStyle name="Normal 2 12 2 3" xfId="3945"/>
    <cellStyle name="Normal 2 12 20" xfId="3946"/>
    <cellStyle name="Normal 2 12 20 2" xfId="3947"/>
    <cellStyle name="Normal 2 12 20 2 2" xfId="3948"/>
    <cellStyle name="Normal 2 12 20 3" xfId="3949"/>
    <cellStyle name="Normal 2 12 21" xfId="3950"/>
    <cellStyle name="Normal 2 12 21 2" xfId="3951"/>
    <cellStyle name="Normal 2 12 21 2 2" xfId="3952"/>
    <cellStyle name="Normal 2 12 21 3" xfId="3953"/>
    <cellStyle name="Normal 2 12 22" xfId="3954"/>
    <cellStyle name="Normal 2 12 22 2" xfId="3955"/>
    <cellStyle name="Normal 2 12 22 2 2" xfId="3956"/>
    <cellStyle name="Normal 2 12 22 3" xfId="3957"/>
    <cellStyle name="Normal 2 12 23" xfId="3958"/>
    <cellStyle name="Normal 2 12 23 2" xfId="3959"/>
    <cellStyle name="Normal 2 12 23 2 2" xfId="3960"/>
    <cellStyle name="Normal 2 12 23 3" xfId="3961"/>
    <cellStyle name="Normal 2 12 24" xfId="3962"/>
    <cellStyle name="Normal 2 12 24 2" xfId="3963"/>
    <cellStyle name="Normal 2 12 24 2 2" xfId="3964"/>
    <cellStyle name="Normal 2 12 24 3" xfId="3965"/>
    <cellStyle name="Normal 2 12 25" xfId="3966"/>
    <cellStyle name="Normal 2 12 25 2" xfId="3967"/>
    <cellStyle name="Normal 2 12 25 2 2" xfId="3968"/>
    <cellStyle name="Normal 2 12 25 3" xfId="3969"/>
    <cellStyle name="Normal 2 12 26" xfId="3970"/>
    <cellStyle name="Normal 2 12 26 2" xfId="3971"/>
    <cellStyle name="Normal 2 12 26 2 2" xfId="3972"/>
    <cellStyle name="Normal 2 12 26 3" xfId="3973"/>
    <cellStyle name="Normal 2 12 27" xfId="3974"/>
    <cellStyle name="Normal 2 12 27 2" xfId="3975"/>
    <cellStyle name="Normal 2 12 28" xfId="3976"/>
    <cellStyle name="Normal 2 12 3" xfId="3977"/>
    <cellStyle name="Normal 2 12 3 2" xfId="3978"/>
    <cellStyle name="Normal 2 12 3 2 2" xfId="3979"/>
    <cellStyle name="Normal 2 12 3 3" xfId="3980"/>
    <cellStyle name="Normal 2 12 4" xfId="3981"/>
    <cellStyle name="Normal 2 12 4 2" xfId="3982"/>
    <cellStyle name="Normal 2 12 4 2 2" xfId="3983"/>
    <cellStyle name="Normal 2 12 4 3" xfId="3984"/>
    <cellStyle name="Normal 2 12 5" xfId="3985"/>
    <cellStyle name="Normal 2 12 5 2" xfId="3986"/>
    <cellStyle name="Normal 2 12 5 2 2" xfId="3987"/>
    <cellStyle name="Normal 2 12 5 3" xfId="3988"/>
    <cellStyle name="Normal 2 12 6" xfId="3989"/>
    <cellStyle name="Normal 2 12 6 2" xfId="3990"/>
    <cellStyle name="Normal 2 12 6 2 2" xfId="3991"/>
    <cellStyle name="Normal 2 12 6 3" xfId="3992"/>
    <cellStyle name="Normal 2 12 7" xfId="3993"/>
    <cellStyle name="Normal 2 12 7 2" xfId="3994"/>
    <cellStyle name="Normal 2 12 7 2 2" xfId="3995"/>
    <cellStyle name="Normal 2 12 7 3" xfId="3996"/>
    <cellStyle name="Normal 2 12 8" xfId="3997"/>
    <cellStyle name="Normal 2 12 8 2" xfId="3998"/>
    <cellStyle name="Normal 2 12 8 2 2" xfId="3999"/>
    <cellStyle name="Normal 2 12 8 3" xfId="4000"/>
    <cellStyle name="Normal 2 12 9" xfId="4001"/>
    <cellStyle name="Normal 2 12 9 2" xfId="4002"/>
    <cellStyle name="Normal 2 12 9 2 2" xfId="4003"/>
    <cellStyle name="Normal 2 12 9 3" xfId="4004"/>
    <cellStyle name="Normal 2 13" xfId="4005"/>
    <cellStyle name="Normal 2 13 10" xfId="4006"/>
    <cellStyle name="Normal 2 13 10 2" xfId="4007"/>
    <cellStyle name="Normal 2 13 10 2 2" xfId="4008"/>
    <cellStyle name="Normal 2 13 10 3" xfId="4009"/>
    <cellStyle name="Normal 2 13 11" xfId="4010"/>
    <cellStyle name="Normal 2 13 11 2" xfId="4011"/>
    <cellStyle name="Normal 2 13 11 2 2" xfId="4012"/>
    <cellStyle name="Normal 2 13 11 3" xfId="4013"/>
    <cellStyle name="Normal 2 13 12" xfId="4014"/>
    <cellStyle name="Normal 2 13 12 2" xfId="4015"/>
    <cellStyle name="Normal 2 13 12 2 2" xfId="4016"/>
    <cellStyle name="Normal 2 13 12 3" xfId="4017"/>
    <cellStyle name="Normal 2 13 13" xfId="4018"/>
    <cellStyle name="Normal 2 13 13 2" xfId="4019"/>
    <cellStyle name="Normal 2 13 13 2 2" xfId="4020"/>
    <cellStyle name="Normal 2 13 13 3" xfId="4021"/>
    <cellStyle name="Normal 2 13 14" xfId="4022"/>
    <cellStyle name="Normal 2 13 14 2" xfId="4023"/>
    <cellStyle name="Normal 2 13 14 2 2" xfId="4024"/>
    <cellStyle name="Normal 2 13 14 3" xfId="4025"/>
    <cellStyle name="Normal 2 13 15" xfId="4026"/>
    <cellStyle name="Normal 2 13 15 2" xfId="4027"/>
    <cellStyle name="Normal 2 13 15 2 2" xfId="4028"/>
    <cellStyle name="Normal 2 13 15 3" xfId="4029"/>
    <cellStyle name="Normal 2 13 16" xfId="4030"/>
    <cellStyle name="Normal 2 13 16 2" xfId="4031"/>
    <cellStyle name="Normal 2 13 16 2 2" xfId="4032"/>
    <cellStyle name="Normal 2 13 16 3" xfId="4033"/>
    <cellStyle name="Normal 2 13 17" xfId="4034"/>
    <cellStyle name="Normal 2 13 17 2" xfId="4035"/>
    <cellStyle name="Normal 2 13 17 2 2" xfId="4036"/>
    <cellStyle name="Normal 2 13 17 3" xfId="4037"/>
    <cellStyle name="Normal 2 13 18" xfId="4038"/>
    <cellStyle name="Normal 2 13 18 2" xfId="4039"/>
    <cellStyle name="Normal 2 13 18 2 2" xfId="4040"/>
    <cellStyle name="Normal 2 13 18 3" xfId="4041"/>
    <cellStyle name="Normal 2 13 19" xfId="4042"/>
    <cellStyle name="Normal 2 13 19 2" xfId="4043"/>
    <cellStyle name="Normal 2 13 19 2 2" xfId="4044"/>
    <cellStyle name="Normal 2 13 19 3" xfId="4045"/>
    <cellStyle name="Normal 2 13 2" xfId="4046"/>
    <cellStyle name="Normal 2 13 2 2" xfId="4047"/>
    <cellStyle name="Normal 2 13 2 2 2" xfId="4048"/>
    <cellStyle name="Normal 2 13 2 3" xfId="4049"/>
    <cellStyle name="Normal 2 13 20" xfId="4050"/>
    <cellStyle name="Normal 2 13 20 2" xfId="4051"/>
    <cellStyle name="Normal 2 13 20 2 2" xfId="4052"/>
    <cellStyle name="Normal 2 13 20 3" xfId="4053"/>
    <cellStyle name="Normal 2 13 21" xfId="4054"/>
    <cellStyle name="Normal 2 13 21 2" xfId="4055"/>
    <cellStyle name="Normal 2 13 21 2 2" xfId="4056"/>
    <cellStyle name="Normal 2 13 21 3" xfId="4057"/>
    <cellStyle name="Normal 2 13 22" xfId="4058"/>
    <cellStyle name="Normal 2 13 22 2" xfId="4059"/>
    <cellStyle name="Normal 2 13 22 2 2" xfId="4060"/>
    <cellStyle name="Normal 2 13 22 3" xfId="4061"/>
    <cellStyle name="Normal 2 13 23" xfId="4062"/>
    <cellStyle name="Normal 2 13 23 2" xfId="4063"/>
    <cellStyle name="Normal 2 13 23 2 2" xfId="4064"/>
    <cellStyle name="Normal 2 13 23 3" xfId="4065"/>
    <cellStyle name="Normal 2 13 24" xfId="4066"/>
    <cellStyle name="Normal 2 13 24 2" xfId="4067"/>
    <cellStyle name="Normal 2 13 24 2 2" xfId="4068"/>
    <cellStyle name="Normal 2 13 24 3" xfId="4069"/>
    <cellStyle name="Normal 2 13 25" xfId="4070"/>
    <cellStyle name="Normal 2 13 25 2" xfId="4071"/>
    <cellStyle name="Normal 2 13 25 2 2" xfId="4072"/>
    <cellStyle name="Normal 2 13 25 3" xfId="4073"/>
    <cellStyle name="Normal 2 13 26" xfId="4074"/>
    <cellStyle name="Normal 2 13 26 2" xfId="4075"/>
    <cellStyle name="Normal 2 13 26 2 2" xfId="4076"/>
    <cellStyle name="Normal 2 13 26 3" xfId="4077"/>
    <cellStyle name="Normal 2 13 27" xfId="4078"/>
    <cellStyle name="Normal 2 13 27 2" xfId="4079"/>
    <cellStyle name="Normal 2 13 28" xfId="4080"/>
    <cellStyle name="Normal 2 13 3" xfId="4081"/>
    <cellStyle name="Normal 2 13 3 2" xfId="4082"/>
    <cellStyle name="Normal 2 13 3 2 2" xfId="4083"/>
    <cellStyle name="Normal 2 13 3 3" xfId="4084"/>
    <cellStyle name="Normal 2 13 4" xfId="4085"/>
    <cellStyle name="Normal 2 13 4 2" xfId="4086"/>
    <cellStyle name="Normal 2 13 4 2 2" xfId="4087"/>
    <cellStyle name="Normal 2 13 4 3" xfId="4088"/>
    <cellStyle name="Normal 2 13 5" xfId="4089"/>
    <cellStyle name="Normal 2 13 5 2" xfId="4090"/>
    <cellStyle name="Normal 2 13 5 2 2" xfId="4091"/>
    <cellStyle name="Normal 2 13 5 3" xfId="4092"/>
    <cellStyle name="Normal 2 13 6" xfId="4093"/>
    <cellStyle name="Normal 2 13 6 2" xfId="4094"/>
    <cellStyle name="Normal 2 13 6 2 2" xfId="4095"/>
    <cellStyle name="Normal 2 13 6 3" xfId="4096"/>
    <cellStyle name="Normal 2 13 7" xfId="4097"/>
    <cellStyle name="Normal 2 13 7 2" xfId="4098"/>
    <cellStyle name="Normal 2 13 7 2 2" xfId="4099"/>
    <cellStyle name="Normal 2 13 7 3" xfId="4100"/>
    <cellStyle name="Normal 2 13 8" xfId="4101"/>
    <cellStyle name="Normal 2 13 8 2" xfId="4102"/>
    <cellStyle name="Normal 2 13 8 2 2" xfId="4103"/>
    <cellStyle name="Normal 2 13 8 3" xfId="4104"/>
    <cellStyle name="Normal 2 13 9" xfId="4105"/>
    <cellStyle name="Normal 2 13 9 2" xfId="4106"/>
    <cellStyle name="Normal 2 13 9 2 2" xfId="4107"/>
    <cellStyle name="Normal 2 13 9 3" xfId="4108"/>
    <cellStyle name="Normal 2 14" xfId="4109"/>
    <cellStyle name="Normal 2 14 10" xfId="4110"/>
    <cellStyle name="Normal 2 14 10 2" xfId="4111"/>
    <cellStyle name="Normal 2 14 10 2 2" xfId="4112"/>
    <cellStyle name="Normal 2 14 10 3" xfId="4113"/>
    <cellStyle name="Normal 2 14 11" xfId="4114"/>
    <cellStyle name="Normal 2 14 11 2" xfId="4115"/>
    <cellStyle name="Normal 2 14 11 2 2" xfId="4116"/>
    <cellStyle name="Normal 2 14 11 3" xfId="4117"/>
    <cellStyle name="Normal 2 14 12" xfId="4118"/>
    <cellStyle name="Normal 2 14 12 2" xfId="4119"/>
    <cellStyle name="Normal 2 14 12 2 2" xfId="4120"/>
    <cellStyle name="Normal 2 14 12 3" xfId="4121"/>
    <cellStyle name="Normal 2 14 13" xfId="4122"/>
    <cellStyle name="Normal 2 14 13 2" xfId="4123"/>
    <cellStyle name="Normal 2 14 13 2 2" xfId="4124"/>
    <cellStyle name="Normal 2 14 13 3" xfId="4125"/>
    <cellStyle name="Normal 2 14 14" xfId="4126"/>
    <cellStyle name="Normal 2 14 14 2" xfId="4127"/>
    <cellStyle name="Normal 2 14 14 2 2" xfId="4128"/>
    <cellStyle name="Normal 2 14 14 3" xfId="4129"/>
    <cellStyle name="Normal 2 14 15" xfId="4130"/>
    <cellStyle name="Normal 2 14 15 2" xfId="4131"/>
    <cellStyle name="Normal 2 14 15 2 2" xfId="4132"/>
    <cellStyle name="Normal 2 14 15 3" xfId="4133"/>
    <cellStyle name="Normal 2 14 16" xfId="4134"/>
    <cellStyle name="Normal 2 14 16 2" xfId="4135"/>
    <cellStyle name="Normal 2 14 16 2 2" xfId="4136"/>
    <cellStyle name="Normal 2 14 16 3" xfId="4137"/>
    <cellStyle name="Normal 2 14 17" xfId="4138"/>
    <cellStyle name="Normal 2 14 17 2" xfId="4139"/>
    <cellStyle name="Normal 2 14 17 2 2" xfId="4140"/>
    <cellStyle name="Normal 2 14 17 3" xfId="4141"/>
    <cellStyle name="Normal 2 14 18" xfId="4142"/>
    <cellStyle name="Normal 2 14 18 2" xfId="4143"/>
    <cellStyle name="Normal 2 14 18 2 2" xfId="4144"/>
    <cellStyle name="Normal 2 14 18 3" xfId="4145"/>
    <cellStyle name="Normal 2 14 19" xfId="4146"/>
    <cellStyle name="Normal 2 14 19 2" xfId="4147"/>
    <cellStyle name="Normal 2 14 19 2 2" xfId="4148"/>
    <cellStyle name="Normal 2 14 19 3" xfId="4149"/>
    <cellStyle name="Normal 2 14 2" xfId="4150"/>
    <cellStyle name="Normal 2 14 2 2" xfId="4151"/>
    <cellStyle name="Normal 2 14 2 2 2" xfId="4152"/>
    <cellStyle name="Normal 2 14 2 3" xfId="4153"/>
    <cellStyle name="Normal 2 14 20" xfId="4154"/>
    <cellStyle name="Normal 2 14 20 2" xfId="4155"/>
    <cellStyle name="Normal 2 14 20 2 2" xfId="4156"/>
    <cellStyle name="Normal 2 14 20 3" xfId="4157"/>
    <cellStyle name="Normal 2 14 21" xfId="4158"/>
    <cellStyle name="Normal 2 14 21 2" xfId="4159"/>
    <cellStyle name="Normal 2 14 21 2 2" xfId="4160"/>
    <cellStyle name="Normal 2 14 21 3" xfId="4161"/>
    <cellStyle name="Normal 2 14 22" xfId="4162"/>
    <cellStyle name="Normal 2 14 22 2" xfId="4163"/>
    <cellStyle name="Normal 2 14 22 2 2" xfId="4164"/>
    <cellStyle name="Normal 2 14 22 3" xfId="4165"/>
    <cellStyle name="Normal 2 14 23" xfId="4166"/>
    <cellStyle name="Normal 2 14 23 2" xfId="4167"/>
    <cellStyle name="Normal 2 14 23 2 2" xfId="4168"/>
    <cellStyle name="Normal 2 14 23 3" xfId="4169"/>
    <cellStyle name="Normal 2 14 24" xfId="4170"/>
    <cellStyle name="Normal 2 14 24 2" xfId="4171"/>
    <cellStyle name="Normal 2 14 24 2 2" xfId="4172"/>
    <cellStyle name="Normal 2 14 24 3" xfId="4173"/>
    <cellStyle name="Normal 2 14 25" xfId="4174"/>
    <cellStyle name="Normal 2 14 25 2" xfId="4175"/>
    <cellStyle name="Normal 2 14 25 2 2" xfId="4176"/>
    <cellStyle name="Normal 2 14 25 3" xfId="4177"/>
    <cellStyle name="Normal 2 14 26" xfId="4178"/>
    <cellStyle name="Normal 2 14 26 2" xfId="4179"/>
    <cellStyle name="Normal 2 14 26 2 2" xfId="4180"/>
    <cellStyle name="Normal 2 14 26 3" xfId="4181"/>
    <cellStyle name="Normal 2 14 27" xfId="4182"/>
    <cellStyle name="Normal 2 14 27 2" xfId="4183"/>
    <cellStyle name="Normal 2 14 28" xfId="4184"/>
    <cellStyle name="Normal 2 14 3" xfId="4185"/>
    <cellStyle name="Normal 2 14 3 2" xfId="4186"/>
    <cellStyle name="Normal 2 14 3 2 2" xfId="4187"/>
    <cellStyle name="Normal 2 14 3 3" xfId="4188"/>
    <cellStyle name="Normal 2 14 4" xfId="4189"/>
    <cellStyle name="Normal 2 14 4 2" xfId="4190"/>
    <cellStyle name="Normal 2 14 4 2 2" xfId="4191"/>
    <cellStyle name="Normal 2 14 4 3" xfId="4192"/>
    <cellStyle name="Normal 2 14 5" xfId="4193"/>
    <cellStyle name="Normal 2 14 5 2" xfId="4194"/>
    <cellStyle name="Normal 2 14 5 2 2" xfId="4195"/>
    <cellStyle name="Normal 2 14 5 3" xfId="4196"/>
    <cellStyle name="Normal 2 14 6" xfId="4197"/>
    <cellStyle name="Normal 2 14 6 2" xfId="4198"/>
    <cellStyle name="Normal 2 14 6 2 2" xfId="4199"/>
    <cellStyle name="Normal 2 14 6 3" xfId="4200"/>
    <cellStyle name="Normal 2 14 7" xfId="4201"/>
    <cellStyle name="Normal 2 14 7 2" xfId="4202"/>
    <cellStyle name="Normal 2 14 7 2 2" xfId="4203"/>
    <cellStyle name="Normal 2 14 7 3" xfId="4204"/>
    <cellStyle name="Normal 2 14 8" xfId="4205"/>
    <cellStyle name="Normal 2 14 8 2" xfId="4206"/>
    <cellStyle name="Normal 2 14 8 2 2" xfId="4207"/>
    <cellStyle name="Normal 2 14 8 3" xfId="4208"/>
    <cellStyle name="Normal 2 14 9" xfId="4209"/>
    <cellStyle name="Normal 2 14 9 2" xfId="4210"/>
    <cellStyle name="Normal 2 14 9 2 2" xfId="4211"/>
    <cellStyle name="Normal 2 14 9 3" xfId="4212"/>
    <cellStyle name="Normal 2 15" xfId="4213"/>
    <cellStyle name="Normal 2 15 10" xfId="4214"/>
    <cellStyle name="Normal 2 15 10 2" xfId="4215"/>
    <cellStyle name="Normal 2 15 10 2 2" xfId="4216"/>
    <cellStyle name="Normal 2 15 10 3" xfId="4217"/>
    <cellStyle name="Normal 2 15 11" xfId="4218"/>
    <cellStyle name="Normal 2 15 11 2" xfId="4219"/>
    <cellStyle name="Normal 2 15 11 2 2" xfId="4220"/>
    <cellStyle name="Normal 2 15 11 3" xfId="4221"/>
    <cellStyle name="Normal 2 15 12" xfId="4222"/>
    <cellStyle name="Normal 2 15 12 2" xfId="4223"/>
    <cellStyle name="Normal 2 15 12 2 2" xfId="4224"/>
    <cellStyle name="Normal 2 15 12 3" xfId="4225"/>
    <cellStyle name="Normal 2 15 13" xfId="4226"/>
    <cellStyle name="Normal 2 15 13 2" xfId="4227"/>
    <cellStyle name="Normal 2 15 13 2 2" xfId="4228"/>
    <cellStyle name="Normal 2 15 13 3" xfId="4229"/>
    <cellStyle name="Normal 2 15 14" xfId="4230"/>
    <cellStyle name="Normal 2 15 14 2" xfId="4231"/>
    <cellStyle name="Normal 2 15 14 2 2" xfId="4232"/>
    <cellStyle name="Normal 2 15 14 3" xfId="4233"/>
    <cellStyle name="Normal 2 15 15" xfId="4234"/>
    <cellStyle name="Normal 2 15 15 2" xfId="4235"/>
    <cellStyle name="Normal 2 15 15 2 2" xfId="4236"/>
    <cellStyle name="Normal 2 15 15 3" xfId="4237"/>
    <cellStyle name="Normal 2 15 16" xfId="4238"/>
    <cellStyle name="Normal 2 15 16 2" xfId="4239"/>
    <cellStyle name="Normal 2 15 16 2 2" xfId="4240"/>
    <cellStyle name="Normal 2 15 16 3" xfId="4241"/>
    <cellStyle name="Normal 2 15 17" xfId="4242"/>
    <cellStyle name="Normal 2 15 17 2" xfId="4243"/>
    <cellStyle name="Normal 2 15 17 2 2" xfId="4244"/>
    <cellStyle name="Normal 2 15 17 3" xfId="4245"/>
    <cellStyle name="Normal 2 15 18" xfId="4246"/>
    <cellStyle name="Normal 2 15 18 2" xfId="4247"/>
    <cellStyle name="Normal 2 15 18 2 2" xfId="4248"/>
    <cellStyle name="Normal 2 15 18 3" xfId="4249"/>
    <cellStyle name="Normal 2 15 19" xfId="4250"/>
    <cellStyle name="Normal 2 15 19 2" xfId="4251"/>
    <cellStyle name="Normal 2 15 19 2 2" xfId="4252"/>
    <cellStyle name="Normal 2 15 19 3" xfId="4253"/>
    <cellStyle name="Normal 2 15 2" xfId="4254"/>
    <cellStyle name="Normal 2 15 2 2" xfId="4255"/>
    <cellStyle name="Normal 2 15 2 2 2" xfId="4256"/>
    <cellStyle name="Normal 2 15 2 3" xfId="4257"/>
    <cellStyle name="Normal 2 15 20" xfId="4258"/>
    <cellStyle name="Normal 2 15 20 2" xfId="4259"/>
    <cellStyle name="Normal 2 15 20 2 2" xfId="4260"/>
    <cellStyle name="Normal 2 15 20 3" xfId="4261"/>
    <cellStyle name="Normal 2 15 21" xfId="4262"/>
    <cellStyle name="Normal 2 15 21 2" xfId="4263"/>
    <cellStyle name="Normal 2 15 21 2 2" xfId="4264"/>
    <cellStyle name="Normal 2 15 21 3" xfId="4265"/>
    <cellStyle name="Normal 2 15 22" xfId="4266"/>
    <cellStyle name="Normal 2 15 22 2" xfId="4267"/>
    <cellStyle name="Normal 2 15 22 2 2" xfId="4268"/>
    <cellStyle name="Normal 2 15 22 3" xfId="4269"/>
    <cellStyle name="Normal 2 15 23" xfId="4270"/>
    <cellStyle name="Normal 2 15 23 2" xfId="4271"/>
    <cellStyle name="Normal 2 15 23 2 2" xfId="4272"/>
    <cellStyle name="Normal 2 15 23 3" xfId="4273"/>
    <cellStyle name="Normal 2 15 24" xfId="4274"/>
    <cellStyle name="Normal 2 15 24 2" xfId="4275"/>
    <cellStyle name="Normal 2 15 24 2 2" xfId="4276"/>
    <cellStyle name="Normal 2 15 24 3" xfId="4277"/>
    <cellStyle name="Normal 2 15 25" xfId="4278"/>
    <cellStyle name="Normal 2 15 25 2" xfId="4279"/>
    <cellStyle name="Normal 2 15 25 2 2" xfId="4280"/>
    <cellStyle name="Normal 2 15 25 3" xfId="4281"/>
    <cellStyle name="Normal 2 15 26" xfId="4282"/>
    <cellStyle name="Normal 2 15 26 2" xfId="4283"/>
    <cellStyle name="Normal 2 15 26 2 2" xfId="4284"/>
    <cellStyle name="Normal 2 15 26 3" xfId="4285"/>
    <cellStyle name="Normal 2 15 27" xfId="4286"/>
    <cellStyle name="Normal 2 15 27 2" xfId="4287"/>
    <cellStyle name="Normal 2 15 28" xfId="4288"/>
    <cellStyle name="Normal 2 15 3" xfId="4289"/>
    <cellStyle name="Normal 2 15 3 2" xfId="4290"/>
    <cellStyle name="Normal 2 15 3 2 2" xfId="4291"/>
    <cellStyle name="Normal 2 15 3 3" xfId="4292"/>
    <cellStyle name="Normal 2 15 4" xfId="4293"/>
    <cellStyle name="Normal 2 15 4 2" xfId="4294"/>
    <cellStyle name="Normal 2 15 4 2 2" xfId="4295"/>
    <cellStyle name="Normal 2 15 4 3" xfId="4296"/>
    <cellStyle name="Normal 2 15 5" xfId="4297"/>
    <cellStyle name="Normal 2 15 5 2" xfId="4298"/>
    <cellStyle name="Normal 2 15 5 2 2" xfId="4299"/>
    <cellStyle name="Normal 2 15 5 3" xfId="4300"/>
    <cellStyle name="Normal 2 15 6" xfId="4301"/>
    <cellStyle name="Normal 2 15 6 2" xfId="4302"/>
    <cellStyle name="Normal 2 15 6 2 2" xfId="4303"/>
    <cellStyle name="Normal 2 15 6 3" xfId="4304"/>
    <cellStyle name="Normal 2 15 7" xfId="4305"/>
    <cellStyle name="Normal 2 15 7 2" xfId="4306"/>
    <cellStyle name="Normal 2 15 7 2 2" xfId="4307"/>
    <cellStyle name="Normal 2 15 7 3" xfId="4308"/>
    <cellStyle name="Normal 2 15 8" xfId="4309"/>
    <cellStyle name="Normal 2 15 8 2" xfId="4310"/>
    <cellStyle name="Normal 2 15 8 2 2" xfId="4311"/>
    <cellStyle name="Normal 2 15 8 3" xfId="4312"/>
    <cellStyle name="Normal 2 15 9" xfId="4313"/>
    <cellStyle name="Normal 2 15 9 2" xfId="4314"/>
    <cellStyle name="Normal 2 15 9 2 2" xfId="4315"/>
    <cellStyle name="Normal 2 15 9 3" xfId="4316"/>
    <cellStyle name="Normal 2 16" xfId="4317"/>
    <cellStyle name="Normal 2 16 2" xfId="4318"/>
    <cellStyle name="Normal 2 16 2 2" xfId="4319"/>
    <cellStyle name="Normal 2 16 2 2 2" xfId="4320"/>
    <cellStyle name="Normal 2 16 2 2 2 2" xfId="4321"/>
    <cellStyle name="Normal 2 16 2 2 3" xfId="4322"/>
    <cellStyle name="Normal 2 16 2 3" xfId="4323"/>
    <cellStyle name="Normal 2 16 2 3 2" xfId="4324"/>
    <cellStyle name="Normal 2 16 2 4" xfId="4325"/>
    <cellStyle name="Normal 2 16 3" xfId="4326"/>
    <cellStyle name="Normal 2 16 3 2" xfId="4327"/>
    <cellStyle name="Normal 2 16 4" xfId="4328"/>
    <cellStyle name="Normal 2 17" xfId="4329"/>
    <cellStyle name="Normal 2 17 2" xfId="4330"/>
    <cellStyle name="Normal 2 17 2 2" xfId="4331"/>
    <cellStyle name="Normal 2 17 3" xfId="4332"/>
    <cellStyle name="Normal 2 18" xfId="4333"/>
    <cellStyle name="Normal 2 18 2" xfId="4334"/>
    <cellStyle name="Normal 2 18 2 2" xfId="4335"/>
    <cellStyle name="Normal 2 18 3" xfId="4336"/>
    <cellStyle name="Normal 2 19" xfId="4337"/>
    <cellStyle name="Normal 2 19 2" xfId="4338"/>
    <cellStyle name="Normal 2 19 2 2" xfId="4339"/>
    <cellStyle name="Normal 2 19 3" xfId="4340"/>
    <cellStyle name="Normal 2 2" xfId="4341"/>
    <cellStyle name="Normal 2 2 2" xfId="4342"/>
    <cellStyle name="Normal 2 2 2 2" xfId="4343"/>
    <cellStyle name="Normal 2 2 3" xfId="4344"/>
    <cellStyle name="Normal 2 2 4" xfId="4345"/>
    <cellStyle name="Normal 2 20" xfId="4346"/>
    <cellStyle name="Normal 2 20 2" xfId="4347"/>
    <cellStyle name="Normal 2 20 2 2" xfId="4348"/>
    <cellStyle name="Normal 2 20 3" xfId="4349"/>
    <cellStyle name="Normal 2 21" xfId="4350"/>
    <cellStyle name="Normal 2 21 2" xfId="4351"/>
    <cellStyle name="Normal 2 21 2 2" xfId="4352"/>
    <cellStyle name="Normal 2 21 3" xfId="4353"/>
    <cellStyle name="Normal 2 22" xfId="4354"/>
    <cellStyle name="Normal 2 22 2" xfId="4355"/>
    <cellStyle name="Normal 2 22 2 2" xfId="4356"/>
    <cellStyle name="Normal 2 22 3" xfId="4357"/>
    <cellStyle name="Normal 2 23" xfId="4358"/>
    <cellStyle name="Normal 2 23 2" xfId="4359"/>
    <cellStyle name="Normal 2 23 2 2" xfId="4360"/>
    <cellStyle name="Normal 2 23 3" xfId="4361"/>
    <cellStyle name="Normal 2 24" xfId="4362"/>
    <cellStyle name="Normal 2 24 2" xfId="4363"/>
    <cellStyle name="Normal 2 24 2 2" xfId="4364"/>
    <cellStyle name="Normal 2 24 2 2 2" xfId="4365"/>
    <cellStyle name="Normal 2 24 2 3" xfId="4366"/>
    <cellStyle name="Normal 2 24 3" xfId="4367"/>
    <cellStyle name="Normal 2 24 3 2" xfId="4368"/>
    <cellStyle name="Normal 2 24 4" xfId="4369"/>
    <cellStyle name="Normal 2 25" xfId="4370"/>
    <cellStyle name="Normal 2 25 2" xfId="4371"/>
    <cellStyle name="Normal 2 25 2 2" xfId="4372"/>
    <cellStyle name="Normal 2 25 2 2 2" xfId="4373"/>
    <cellStyle name="Normal 2 25 2 3" xfId="4374"/>
    <cellStyle name="Normal 2 25 3" xfId="4375"/>
    <cellStyle name="Normal 2 25 3 2" xfId="4376"/>
    <cellStyle name="Normal 2 25 4" xfId="4377"/>
    <cellStyle name="Normal 2 26" xfId="4378"/>
    <cellStyle name="Normal 2 26 2" xfId="4379"/>
    <cellStyle name="Normal 2 26 2 2" xfId="4380"/>
    <cellStyle name="Normal 2 26 2 2 2" xfId="4381"/>
    <cellStyle name="Normal 2 26 2 2 2 2" xfId="4382"/>
    <cellStyle name="Normal 2 26 2 2 2 2 2" xfId="4383"/>
    <cellStyle name="Normal 2 26 2 2 2 3" xfId="4384"/>
    <cellStyle name="Normal 2 26 2 2 3" xfId="4385"/>
    <cellStyle name="Normal 2 26 2 2 3 2" xfId="4386"/>
    <cellStyle name="Normal 2 26 2 2 4" xfId="4387"/>
    <cellStyle name="Normal 2 26 2 3" xfId="4388"/>
    <cellStyle name="Normal 2 26 2 3 2" xfId="4389"/>
    <cellStyle name="Normal 2 26 2 4" xfId="4390"/>
    <cellStyle name="Normal 2 26 3" xfId="4391"/>
    <cellStyle name="Normal 2 26 3 2" xfId="4392"/>
    <cellStyle name="Normal 2 26 3 2 2" xfId="4393"/>
    <cellStyle name="Normal 2 26 3 2 2 2" xfId="4394"/>
    <cellStyle name="Normal 2 26 3 2 3" xfId="4395"/>
    <cellStyle name="Normal 2 26 3 3" xfId="4396"/>
    <cellStyle name="Normal 2 26 3 3 2" xfId="4397"/>
    <cellStyle name="Normal 2 26 3 4" xfId="4398"/>
    <cellStyle name="Normal 2 26 4" xfId="4399"/>
    <cellStyle name="Normal 2 26 4 2" xfId="4400"/>
    <cellStyle name="Normal 2 26 4 2 2" xfId="4401"/>
    <cellStyle name="Normal 2 26 4 3" xfId="4402"/>
    <cellStyle name="Normal 2 26 5" xfId="4403"/>
    <cellStyle name="Normal 2 26 5 2" xfId="4404"/>
    <cellStyle name="Normal 2 26 6" xfId="4405"/>
    <cellStyle name="Normal 2 27" xfId="4406"/>
    <cellStyle name="Normal 2 27 2" xfId="4407"/>
    <cellStyle name="Normal 2 27 2 2" xfId="4408"/>
    <cellStyle name="Normal 2 27 2 2 2" xfId="4409"/>
    <cellStyle name="Normal 2 27 2 3" xfId="4410"/>
    <cellStyle name="Normal 2 27 3" xfId="4411"/>
    <cellStyle name="Normal 2 27 3 2" xfId="4412"/>
    <cellStyle name="Normal 2 27 3 2 2" xfId="4413"/>
    <cellStyle name="Normal 2 27 3 3" xfId="4414"/>
    <cellStyle name="Normal 2 27 4" xfId="4415"/>
    <cellStyle name="Normal 2 27 4 2" xfId="4416"/>
    <cellStyle name="Normal 2 27 5" xfId="4417"/>
    <cellStyle name="Normal 2 28" xfId="4418"/>
    <cellStyle name="Normal 2 28 2" xfId="4419"/>
    <cellStyle name="Normal 2 28 2 2" xfId="4420"/>
    <cellStyle name="Normal 2 28 2 2 2" xfId="4421"/>
    <cellStyle name="Normal 2 28 2 3" xfId="4422"/>
    <cellStyle name="Normal 2 28 3" xfId="4423"/>
    <cellStyle name="Normal 2 28 3 2" xfId="4424"/>
    <cellStyle name="Normal 2 28 4" xfId="4425"/>
    <cellStyle name="Normal 2 29" xfId="4426"/>
    <cellStyle name="Normal 2 29 2" xfId="4427"/>
    <cellStyle name="Normal 2 29 2 2" xfId="4428"/>
    <cellStyle name="Normal 2 29 2 2 2" xfId="4429"/>
    <cellStyle name="Normal 2 29 2 3" xfId="4430"/>
    <cellStyle name="Normal 2 29 3" xfId="4431"/>
    <cellStyle name="Normal 2 29 3 2" xfId="4432"/>
    <cellStyle name="Normal 2 29 4" xfId="4433"/>
    <cellStyle name="Normal 2 3" xfId="4434"/>
    <cellStyle name="Normal 2 3 2" xfId="4435"/>
    <cellStyle name="Normal 2 3 2 2" xfId="4436"/>
    <cellStyle name="Normal 2 3 3" xfId="4437"/>
    <cellStyle name="Normal 2 30" xfId="4438"/>
    <cellStyle name="Normal 2 30 2" xfId="4439"/>
    <cellStyle name="Normal 2 30 2 2" xfId="4440"/>
    <cellStyle name="Normal 2 30 2 2 2" xfId="4441"/>
    <cellStyle name="Normal 2 30 2 3" xfId="4442"/>
    <cellStyle name="Normal 2 30 3" xfId="4443"/>
    <cellStyle name="Normal 2 30 3 2" xfId="4444"/>
    <cellStyle name="Normal 2 30 4" xfId="4445"/>
    <cellStyle name="Normal 2 31" xfId="4446"/>
    <cellStyle name="Normal 2 31 2" xfId="4447"/>
    <cellStyle name="Normal 2 31 2 2" xfId="4448"/>
    <cellStyle name="Normal 2 31 2 2 2" xfId="4449"/>
    <cellStyle name="Normal 2 31 2 3" xfId="4450"/>
    <cellStyle name="Normal 2 31 3" xfId="4451"/>
    <cellStyle name="Normal 2 31 3 2" xfId="4452"/>
    <cellStyle name="Normal 2 31 4" xfId="4453"/>
    <cellStyle name="Normal 2 32" xfId="4454"/>
    <cellStyle name="Normal 2 32 2" xfId="4455"/>
    <cellStyle name="Normal 2 32 2 2" xfId="4456"/>
    <cellStyle name="Normal 2 32 2 2 2" xfId="4457"/>
    <cellStyle name="Normal 2 32 2 3" xfId="4458"/>
    <cellStyle name="Normal 2 32 3" xfId="4459"/>
    <cellStyle name="Normal 2 32 3 2" xfId="4460"/>
    <cellStyle name="Normal 2 32 4" xfId="4461"/>
    <cellStyle name="Normal 2 33" xfId="4462"/>
    <cellStyle name="Normal 2 33 2" xfId="4463"/>
    <cellStyle name="Normal 2 33 2 2" xfId="4464"/>
    <cellStyle name="Normal 2 33 2 2 2" xfId="4465"/>
    <cellStyle name="Normal 2 33 2 3" xfId="4466"/>
    <cellStyle name="Normal 2 33 3" xfId="4467"/>
    <cellStyle name="Normal 2 33 3 2" xfId="4468"/>
    <cellStyle name="Normal 2 33 4" xfId="4469"/>
    <cellStyle name="Normal 2 34" xfId="4470"/>
    <cellStyle name="Normal 2 34 2" xfId="4471"/>
    <cellStyle name="Normal 2 34 2 2" xfId="4472"/>
    <cellStyle name="Normal 2 34 2 2 2" xfId="4473"/>
    <cellStyle name="Normal 2 34 2 3" xfId="4474"/>
    <cellStyle name="Normal 2 34 3" xfId="4475"/>
    <cellStyle name="Normal 2 34 3 2" xfId="4476"/>
    <cellStyle name="Normal 2 34 4" xfId="4477"/>
    <cellStyle name="Normal 2 35" xfId="4478"/>
    <cellStyle name="Normal 2 35 2" xfId="4479"/>
    <cellStyle name="Normal 2 35 2 2" xfId="4480"/>
    <cellStyle name="Normal 2 35 2 2 2" xfId="4481"/>
    <cellStyle name="Normal 2 35 2 3" xfId="4482"/>
    <cellStyle name="Normal 2 35 3" xfId="4483"/>
    <cellStyle name="Normal 2 35 3 2" xfId="4484"/>
    <cellStyle name="Normal 2 35 4" xfId="4485"/>
    <cellStyle name="Normal 2 36" xfId="4486"/>
    <cellStyle name="Normal 2 36 2" xfId="4487"/>
    <cellStyle name="Normal 2 36 2 2" xfId="4488"/>
    <cellStyle name="Normal 2 36 2 2 2" xfId="4489"/>
    <cellStyle name="Normal 2 36 2 3" xfId="4490"/>
    <cellStyle name="Normal 2 36 3" xfId="4491"/>
    <cellStyle name="Normal 2 36 3 2" xfId="4492"/>
    <cellStyle name="Normal 2 36 3 2 2" xfId="4493"/>
    <cellStyle name="Normal 2 36 3 3" xfId="4494"/>
    <cellStyle name="Normal 2 36 4" xfId="4495"/>
    <cellStyle name="Normal 2 36 4 2" xfId="4496"/>
    <cellStyle name="Normal 2 36 4 2 2" xfId="4497"/>
    <cellStyle name="Normal 2 36 4 3" xfId="4498"/>
    <cellStyle name="Normal 2 36 5" xfId="4499"/>
    <cellStyle name="Normal 2 36 5 2" xfId="4500"/>
    <cellStyle name="Normal 2 36 5 2 2" xfId="4501"/>
    <cellStyle name="Normal 2 36 5 3" xfId="4502"/>
    <cellStyle name="Normal 2 36 6" xfId="4503"/>
    <cellStyle name="Normal 2 36 6 2" xfId="4504"/>
    <cellStyle name="Normal 2 36 7" xfId="4505"/>
    <cellStyle name="Normal 2 37" xfId="4506"/>
    <cellStyle name="Normal 2 37 2" xfId="4507"/>
    <cellStyle name="Normal 2 37 2 2" xfId="4508"/>
    <cellStyle name="Normal 2 37 2 2 2" xfId="4509"/>
    <cellStyle name="Normal 2 37 2 3" xfId="4510"/>
    <cellStyle name="Normal 2 37 3" xfId="4511"/>
    <cellStyle name="Normal 2 37 3 2" xfId="4512"/>
    <cellStyle name="Normal 2 37 4" xfId="4513"/>
    <cellStyle name="Normal 2 38" xfId="4514"/>
    <cellStyle name="Normal 2 38 2" xfId="4515"/>
    <cellStyle name="Normal 2 38 2 2" xfId="4516"/>
    <cellStyle name="Normal 2 38 2 2 2" xfId="4517"/>
    <cellStyle name="Normal 2 38 2 3" xfId="4518"/>
    <cellStyle name="Normal 2 38 3" xfId="4519"/>
    <cellStyle name="Normal 2 38 3 2" xfId="4520"/>
    <cellStyle name="Normal 2 38 4" xfId="4521"/>
    <cellStyle name="Normal 2 39" xfId="4522"/>
    <cellStyle name="Normal 2 4" xfId="4523"/>
    <cellStyle name="Normal 2 4 2" xfId="4524"/>
    <cellStyle name="Normal 2 4 2 2" xfId="4525"/>
    <cellStyle name="Normal 2 4 3" xfId="4526"/>
    <cellStyle name="Normal 2 40" xfId="4527"/>
    <cellStyle name="Normal 2 41" xfId="4528"/>
    <cellStyle name="Normal 2 5" xfId="4529"/>
    <cellStyle name="Normal 2 5 10" xfId="4530"/>
    <cellStyle name="Normal 2 5 10 2" xfId="4531"/>
    <cellStyle name="Normal 2 5 10 2 2" xfId="4532"/>
    <cellStyle name="Normal 2 5 10 3" xfId="4533"/>
    <cellStyle name="Normal 2 5 11" xfId="4534"/>
    <cellStyle name="Normal 2 5 11 2" xfId="4535"/>
    <cellStyle name="Normal 2 5 11 2 2" xfId="4536"/>
    <cellStyle name="Normal 2 5 11 3" xfId="4537"/>
    <cellStyle name="Normal 2 5 12" xfId="4538"/>
    <cellStyle name="Normal 2 5 12 2" xfId="4539"/>
    <cellStyle name="Normal 2 5 12 2 2" xfId="4540"/>
    <cellStyle name="Normal 2 5 12 3" xfId="4541"/>
    <cellStyle name="Normal 2 5 13" xfId="4542"/>
    <cellStyle name="Normal 2 5 13 2" xfId="4543"/>
    <cellStyle name="Normal 2 5 13 2 2" xfId="4544"/>
    <cellStyle name="Normal 2 5 13 3" xfId="4545"/>
    <cellStyle name="Normal 2 5 14" xfId="4546"/>
    <cellStyle name="Normal 2 5 14 2" xfId="4547"/>
    <cellStyle name="Normal 2 5 14 2 2" xfId="4548"/>
    <cellStyle name="Normal 2 5 14 3" xfId="4549"/>
    <cellStyle name="Normal 2 5 15" xfId="4550"/>
    <cellStyle name="Normal 2 5 15 2" xfId="4551"/>
    <cellStyle name="Normal 2 5 15 2 2" xfId="4552"/>
    <cellStyle name="Normal 2 5 15 3" xfId="4553"/>
    <cellStyle name="Normal 2 5 16" xfId="4554"/>
    <cellStyle name="Normal 2 5 16 2" xfId="4555"/>
    <cellStyle name="Normal 2 5 16 2 2" xfId="4556"/>
    <cellStyle name="Normal 2 5 16 3" xfId="4557"/>
    <cellStyle name="Normal 2 5 17" xfId="4558"/>
    <cellStyle name="Normal 2 5 17 2" xfId="4559"/>
    <cellStyle name="Normal 2 5 17 2 2" xfId="4560"/>
    <cellStyle name="Normal 2 5 17 3" xfId="4561"/>
    <cellStyle name="Normal 2 5 18" xfId="4562"/>
    <cellStyle name="Normal 2 5 18 2" xfId="4563"/>
    <cellStyle name="Normal 2 5 18 2 2" xfId="4564"/>
    <cellStyle name="Normal 2 5 18 3" xfId="4565"/>
    <cellStyle name="Normal 2 5 19" xfId="4566"/>
    <cellStyle name="Normal 2 5 19 2" xfId="4567"/>
    <cellStyle name="Normal 2 5 19 2 2" xfId="4568"/>
    <cellStyle name="Normal 2 5 19 3" xfId="4569"/>
    <cellStyle name="Normal 2 5 2" xfId="4570"/>
    <cellStyle name="Normal 2 5 2 2" xfId="4571"/>
    <cellStyle name="Normal 2 5 2 2 2" xfId="4572"/>
    <cellStyle name="Normal 2 5 2 3" xfId="4573"/>
    <cellStyle name="Normal 2 5 20" xfId="4574"/>
    <cellStyle name="Normal 2 5 20 2" xfId="4575"/>
    <cellStyle name="Normal 2 5 20 2 2" xfId="4576"/>
    <cellStyle name="Normal 2 5 20 3" xfId="4577"/>
    <cellStyle name="Normal 2 5 21" xfId="4578"/>
    <cellStyle name="Normal 2 5 21 2" xfId="4579"/>
    <cellStyle name="Normal 2 5 21 2 2" xfId="4580"/>
    <cellStyle name="Normal 2 5 21 3" xfId="4581"/>
    <cellStyle name="Normal 2 5 22" xfId="4582"/>
    <cellStyle name="Normal 2 5 22 2" xfId="4583"/>
    <cellStyle name="Normal 2 5 22 2 2" xfId="4584"/>
    <cellStyle name="Normal 2 5 22 3" xfId="4585"/>
    <cellStyle name="Normal 2 5 23" xfId="4586"/>
    <cellStyle name="Normal 2 5 23 2" xfId="4587"/>
    <cellStyle name="Normal 2 5 23 2 2" xfId="4588"/>
    <cellStyle name="Normal 2 5 23 3" xfId="4589"/>
    <cellStyle name="Normal 2 5 24" xfId="4590"/>
    <cellStyle name="Normal 2 5 24 2" xfId="4591"/>
    <cellStyle name="Normal 2 5 24 2 2" xfId="4592"/>
    <cellStyle name="Normal 2 5 24 3" xfId="4593"/>
    <cellStyle name="Normal 2 5 25" xfId="4594"/>
    <cellStyle name="Normal 2 5 25 2" xfId="4595"/>
    <cellStyle name="Normal 2 5 25 2 2" xfId="4596"/>
    <cellStyle name="Normal 2 5 25 3" xfId="4597"/>
    <cellStyle name="Normal 2 5 26" xfId="4598"/>
    <cellStyle name="Normal 2 5 26 2" xfId="4599"/>
    <cellStyle name="Normal 2 5 26 2 2" xfId="4600"/>
    <cellStyle name="Normal 2 5 26 3" xfId="4601"/>
    <cellStyle name="Normal 2 5 27" xfId="4602"/>
    <cellStyle name="Normal 2 5 27 2" xfId="4603"/>
    <cellStyle name="Normal 2 5 28" xfId="4604"/>
    <cellStyle name="Normal 2 5 3" xfId="4605"/>
    <cellStyle name="Normal 2 5 3 2" xfId="4606"/>
    <cellStyle name="Normal 2 5 3 2 2" xfId="4607"/>
    <cellStyle name="Normal 2 5 3 3" xfId="4608"/>
    <cellStyle name="Normal 2 5 4" xfId="4609"/>
    <cellStyle name="Normal 2 5 4 2" xfId="4610"/>
    <cellStyle name="Normal 2 5 4 2 2" xfId="4611"/>
    <cellStyle name="Normal 2 5 4 3" xfId="4612"/>
    <cellStyle name="Normal 2 5 5" xfId="4613"/>
    <cellStyle name="Normal 2 5 5 2" xfId="4614"/>
    <cellStyle name="Normal 2 5 5 2 2" xfId="4615"/>
    <cellStyle name="Normal 2 5 5 3" xfId="4616"/>
    <cellStyle name="Normal 2 5 6" xfId="4617"/>
    <cellStyle name="Normal 2 5 6 2" xfId="4618"/>
    <cellStyle name="Normal 2 5 6 2 2" xfId="4619"/>
    <cellStyle name="Normal 2 5 6 3" xfId="4620"/>
    <cellStyle name="Normal 2 5 7" xfId="4621"/>
    <cellStyle name="Normal 2 5 7 2" xfId="4622"/>
    <cellStyle name="Normal 2 5 7 2 2" xfId="4623"/>
    <cellStyle name="Normal 2 5 7 3" xfId="4624"/>
    <cellStyle name="Normal 2 5 8" xfId="4625"/>
    <cellStyle name="Normal 2 5 8 2" xfId="4626"/>
    <cellStyle name="Normal 2 5 8 2 2" xfId="4627"/>
    <cellStyle name="Normal 2 5 8 3" xfId="4628"/>
    <cellStyle name="Normal 2 5 9" xfId="4629"/>
    <cellStyle name="Normal 2 5 9 2" xfId="4630"/>
    <cellStyle name="Normal 2 5 9 2 2" xfId="4631"/>
    <cellStyle name="Normal 2 5 9 3" xfId="4632"/>
    <cellStyle name="Normal 2 6" xfId="4633"/>
    <cellStyle name="Normal 2 6 10" xfId="4634"/>
    <cellStyle name="Normal 2 6 10 2" xfId="4635"/>
    <cellStyle name="Normal 2 6 10 2 2" xfId="4636"/>
    <cellStyle name="Normal 2 6 10 3" xfId="4637"/>
    <cellStyle name="Normal 2 6 11" xfId="4638"/>
    <cellStyle name="Normal 2 6 11 2" xfId="4639"/>
    <cellStyle name="Normal 2 6 11 2 2" xfId="4640"/>
    <cellStyle name="Normal 2 6 11 3" xfId="4641"/>
    <cellStyle name="Normal 2 6 12" xfId="4642"/>
    <cellStyle name="Normal 2 6 12 2" xfId="4643"/>
    <cellStyle name="Normal 2 6 12 2 2" xfId="4644"/>
    <cellStyle name="Normal 2 6 12 3" xfId="4645"/>
    <cellStyle name="Normal 2 6 13" xfId="4646"/>
    <cellStyle name="Normal 2 6 13 2" xfId="4647"/>
    <cellStyle name="Normal 2 6 13 2 2" xfId="4648"/>
    <cellStyle name="Normal 2 6 13 3" xfId="4649"/>
    <cellStyle name="Normal 2 6 14" xfId="4650"/>
    <cellStyle name="Normal 2 6 14 2" xfId="4651"/>
    <cellStyle name="Normal 2 6 14 2 2" xfId="4652"/>
    <cellStyle name="Normal 2 6 14 3" xfId="4653"/>
    <cellStyle name="Normal 2 6 15" xfId="4654"/>
    <cellStyle name="Normal 2 6 15 2" xfId="4655"/>
    <cellStyle name="Normal 2 6 15 2 2" xfId="4656"/>
    <cellStyle name="Normal 2 6 15 3" xfId="4657"/>
    <cellStyle name="Normal 2 6 16" xfId="4658"/>
    <cellStyle name="Normal 2 6 16 2" xfId="4659"/>
    <cellStyle name="Normal 2 6 16 2 2" xfId="4660"/>
    <cellStyle name="Normal 2 6 16 3" xfId="4661"/>
    <cellStyle name="Normal 2 6 17" xfId="4662"/>
    <cellStyle name="Normal 2 6 17 2" xfId="4663"/>
    <cellStyle name="Normal 2 6 17 2 2" xfId="4664"/>
    <cellStyle name="Normal 2 6 17 3" xfId="4665"/>
    <cellStyle name="Normal 2 6 18" xfId="4666"/>
    <cellStyle name="Normal 2 6 18 2" xfId="4667"/>
    <cellStyle name="Normal 2 6 18 2 2" xfId="4668"/>
    <cellStyle name="Normal 2 6 18 3" xfId="4669"/>
    <cellStyle name="Normal 2 6 19" xfId="4670"/>
    <cellStyle name="Normal 2 6 19 2" xfId="4671"/>
    <cellStyle name="Normal 2 6 19 2 2" xfId="4672"/>
    <cellStyle name="Normal 2 6 19 3" xfId="4673"/>
    <cellStyle name="Normal 2 6 2" xfId="4674"/>
    <cellStyle name="Normal 2 6 2 2" xfId="4675"/>
    <cellStyle name="Normal 2 6 2 2 2" xfId="4676"/>
    <cellStyle name="Normal 2 6 2 3" xfId="4677"/>
    <cellStyle name="Normal 2 6 20" xfId="4678"/>
    <cellStyle name="Normal 2 6 20 2" xfId="4679"/>
    <cellStyle name="Normal 2 6 20 2 2" xfId="4680"/>
    <cellStyle name="Normal 2 6 20 3" xfId="4681"/>
    <cellStyle name="Normal 2 6 21" xfId="4682"/>
    <cellStyle name="Normal 2 6 21 2" xfId="4683"/>
    <cellStyle name="Normal 2 6 21 2 2" xfId="4684"/>
    <cellStyle name="Normal 2 6 21 3" xfId="4685"/>
    <cellStyle name="Normal 2 6 22" xfId="4686"/>
    <cellStyle name="Normal 2 6 22 2" xfId="4687"/>
    <cellStyle name="Normal 2 6 22 2 2" xfId="4688"/>
    <cellStyle name="Normal 2 6 22 3" xfId="4689"/>
    <cellStyle name="Normal 2 6 23" xfId="4690"/>
    <cellStyle name="Normal 2 6 23 2" xfId="4691"/>
    <cellStyle name="Normal 2 6 23 2 2" xfId="4692"/>
    <cellStyle name="Normal 2 6 23 3" xfId="4693"/>
    <cellStyle name="Normal 2 6 24" xfId="4694"/>
    <cellStyle name="Normal 2 6 24 2" xfId="4695"/>
    <cellStyle name="Normal 2 6 24 2 2" xfId="4696"/>
    <cellStyle name="Normal 2 6 24 3" xfId="4697"/>
    <cellStyle name="Normal 2 6 25" xfId="4698"/>
    <cellStyle name="Normal 2 6 25 2" xfId="4699"/>
    <cellStyle name="Normal 2 6 25 2 2" xfId="4700"/>
    <cellStyle name="Normal 2 6 25 3" xfId="4701"/>
    <cellStyle name="Normal 2 6 26" xfId="4702"/>
    <cellStyle name="Normal 2 6 26 2" xfId="4703"/>
    <cellStyle name="Normal 2 6 26 2 2" xfId="4704"/>
    <cellStyle name="Normal 2 6 26 3" xfId="4705"/>
    <cellStyle name="Normal 2 6 27" xfId="4706"/>
    <cellStyle name="Normal 2 6 27 2" xfId="4707"/>
    <cellStyle name="Normal 2 6 28" xfId="4708"/>
    <cellStyle name="Normal 2 6 3" xfId="4709"/>
    <cellStyle name="Normal 2 6 3 2" xfId="4710"/>
    <cellStyle name="Normal 2 6 3 2 2" xfId="4711"/>
    <cellStyle name="Normal 2 6 3 3" xfId="4712"/>
    <cellStyle name="Normal 2 6 4" xfId="4713"/>
    <cellStyle name="Normal 2 6 4 2" xfId="4714"/>
    <cellStyle name="Normal 2 6 4 2 2" xfId="4715"/>
    <cellStyle name="Normal 2 6 4 3" xfId="4716"/>
    <cellStyle name="Normal 2 6 5" xfId="4717"/>
    <cellStyle name="Normal 2 6 5 2" xfId="4718"/>
    <cellStyle name="Normal 2 6 5 2 2" xfId="4719"/>
    <cellStyle name="Normal 2 6 5 3" xfId="4720"/>
    <cellStyle name="Normal 2 6 6" xfId="4721"/>
    <cellStyle name="Normal 2 6 6 2" xfId="4722"/>
    <cellStyle name="Normal 2 6 6 2 2" xfId="4723"/>
    <cellStyle name="Normal 2 6 6 3" xfId="4724"/>
    <cellStyle name="Normal 2 6 7" xfId="4725"/>
    <cellStyle name="Normal 2 6 7 2" xfId="4726"/>
    <cellStyle name="Normal 2 6 7 2 2" xfId="4727"/>
    <cellStyle name="Normal 2 6 7 3" xfId="4728"/>
    <cellStyle name="Normal 2 6 8" xfId="4729"/>
    <cellStyle name="Normal 2 6 8 2" xfId="4730"/>
    <cellStyle name="Normal 2 6 8 2 2" xfId="4731"/>
    <cellStyle name="Normal 2 6 8 3" xfId="4732"/>
    <cellStyle name="Normal 2 6 9" xfId="4733"/>
    <cellStyle name="Normal 2 6 9 2" xfId="4734"/>
    <cellStyle name="Normal 2 6 9 2 2" xfId="4735"/>
    <cellStyle name="Normal 2 6 9 3" xfId="4736"/>
    <cellStyle name="Normal 2 7" xfId="4737"/>
    <cellStyle name="Normal 2 7 10" xfId="4738"/>
    <cellStyle name="Normal 2 7 10 2" xfId="4739"/>
    <cellStyle name="Normal 2 7 10 2 2" xfId="4740"/>
    <cellStyle name="Normal 2 7 10 3" xfId="4741"/>
    <cellStyle name="Normal 2 7 11" xfId="4742"/>
    <cellStyle name="Normal 2 7 11 2" xfId="4743"/>
    <cellStyle name="Normal 2 7 11 2 2" xfId="4744"/>
    <cellStyle name="Normal 2 7 11 3" xfId="4745"/>
    <cellStyle name="Normal 2 7 12" xfId="4746"/>
    <cellStyle name="Normal 2 7 12 2" xfId="4747"/>
    <cellStyle name="Normal 2 7 12 2 2" xfId="4748"/>
    <cellStyle name="Normal 2 7 12 3" xfId="4749"/>
    <cellStyle name="Normal 2 7 13" xfId="4750"/>
    <cellStyle name="Normal 2 7 13 2" xfId="4751"/>
    <cellStyle name="Normal 2 7 13 2 2" xfId="4752"/>
    <cellStyle name="Normal 2 7 13 3" xfId="4753"/>
    <cellStyle name="Normal 2 7 14" xfId="4754"/>
    <cellStyle name="Normal 2 7 14 2" xfId="4755"/>
    <cellStyle name="Normal 2 7 14 2 2" xfId="4756"/>
    <cellStyle name="Normal 2 7 14 3" xfId="4757"/>
    <cellStyle name="Normal 2 7 15" xfId="4758"/>
    <cellStyle name="Normal 2 7 15 2" xfId="4759"/>
    <cellStyle name="Normal 2 7 15 2 2" xfId="4760"/>
    <cellStyle name="Normal 2 7 15 3" xfId="4761"/>
    <cellStyle name="Normal 2 7 16" xfId="4762"/>
    <cellStyle name="Normal 2 7 16 2" xfId="4763"/>
    <cellStyle name="Normal 2 7 16 2 2" xfId="4764"/>
    <cellStyle name="Normal 2 7 16 3" xfId="4765"/>
    <cellStyle name="Normal 2 7 17" xfId="4766"/>
    <cellStyle name="Normal 2 7 17 2" xfId="4767"/>
    <cellStyle name="Normal 2 7 17 2 2" xfId="4768"/>
    <cellStyle name="Normal 2 7 17 3" xfId="4769"/>
    <cellStyle name="Normal 2 7 18" xfId="4770"/>
    <cellStyle name="Normal 2 7 18 2" xfId="4771"/>
    <cellStyle name="Normal 2 7 18 2 2" xfId="4772"/>
    <cellStyle name="Normal 2 7 18 3" xfId="4773"/>
    <cellStyle name="Normal 2 7 19" xfId="4774"/>
    <cellStyle name="Normal 2 7 19 2" xfId="4775"/>
    <cellStyle name="Normal 2 7 19 2 2" xfId="4776"/>
    <cellStyle name="Normal 2 7 19 3" xfId="4777"/>
    <cellStyle name="Normal 2 7 2" xfId="4778"/>
    <cellStyle name="Normal 2 7 2 2" xfId="4779"/>
    <cellStyle name="Normal 2 7 2 2 2" xfId="4780"/>
    <cellStyle name="Normal 2 7 2 3" xfId="4781"/>
    <cellStyle name="Normal 2 7 20" xfId="4782"/>
    <cellStyle name="Normal 2 7 20 2" xfId="4783"/>
    <cellStyle name="Normal 2 7 20 2 2" xfId="4784"/>
    <cellStyle name="Normal 2 7 20 3" xfId="4785"/>
    <cellStyle name="Normal 2 7 21" xfId="4786"/>
    <cellStyle name="Normal 2 7 21 2" xfId="4787"/>
    <cellStyle name="Normal 2 7 21 2 2" xfId="4788"/>
    <cellStyle name="Normal 2 7 21 3" xfId="4789"/>
    <cellStyle name="Normal 2 7 22" xfId="4790"/>
    <cellStyle name="Normal 2 7 22 2" xfId="4791"/>
    <cellStyle name="Normal 2 7 22 2 2" xfId="4792"/>
    <cellStyle name="Normal 2 7 22 3" xfId="4793"/>
    <cellStyle name="Normal 2 7 23" xfId="4794"/>
    <cellStyle name="Normal 2 7 23 2" xfId="4795"/>
    <cellStyle name="Normal 2 7 23 2 2" xfId="4796"/>
    <cellStyle name="Normal 2 7 23 3" xfId="4797"/>
    <cellStyle name="Normal 2 7 24" xfId="4798"/>
    <cellStyle name="Normal 2 7 24 2" xfId="4799"/>
    <cellStyle name="Normal 2 7 24 2 2" xfId="4800"/>
    <cellStyle name="Normal 2 7 24 3" xfId="4801"/>
    <cellStyle name="Normal 2 7 25" xfId="4802"/>
    <cellStyle name="Normal 2 7 25 2" xfId="4803"/>
    <cellStyle name="Normal 2 7 25 2 2" xfId="4804"/>
    <cellStyle name="Normal 2 7 25 3" xfId="4805"/>
    <cellStyle name="Normal 2 7 26" xfId="4806"/>
    <cellStyle name="Normal 2 7 26 2" xfId="4807"/>
    <cellStyle name="Normal 2 7 26 2 2" xfId="4808"/>
    <cellStyle name="Normal 2 7 26 3" xfId="4809"/>
    <cellStyle name="Normal 2 7 27" xfId="4810"/>
    <cellStyle name="Normal 2 7 27 2" xfId="4811"/>
    <cellStyle name="Normal 2 7 28" xfId="4812"/>
    <cellStyle name="Normal 2 7 3" xfId="4813"/>
    <cellStyle name="Normal 2 7 3 2" xfId="4814"/>
    <cellStyle name="Normal 2 7 3 2 2" xfId="4815"/>
    <cellStyle name="Normal 2 7 3 3" xfId="4816"/>
    <cellStyle name="Normal 2 7 4" xfId="4817"/>
    <cellStyle name="Normal 2 7 4 2" xfId="4818"/>
    <cellStyle name="Normal 2 7 4 2 2" xfId="4819"/>
    <cellStyle name="Normal 2 7 4 3" xfId="4820"/>
    <cellStyle name="Normal 2 7 5" xfId="4821"/>
    <cellStyle name="Normal 2 7 5 2" xfId="4822"/>
    <cellStyle name="Normal 2 7 5 2 2" xfId="4823"/>
    <cellStyle name="Normal 2 7 5 3" xfId="4824"/>
    <cellStyle name="Normal 2 7 6" xfId="4825"/>
    <cellStyle name="Normal 2 7 6 2" xfId="4826"/>
    <cellStyle name="Normal 2 7 6 2 2" xfId="4827"/>
    <cellStyle name="Normal 2 7 6 3" xfId="4828"/>
    <cellStyle name="Normal 2 7 7" xfId="4829"/>
    <cellStyle name="Normal 2 7 7 2" xfId="4830"/>
    <cellStyle name="Normal 2 7 7 2 2" xfId="4831"/>
    <cellStyle name="Normal 2 7 7 3" xfId="4832"/>
    <cellStyle name="Normal 2 7 8" xfId="4833"/>
    <cellStyle name="Normal 2 7 8 2" xfId="4834"/>
    <cellStyle name="Normal 2 7 8 2 2" xfId="4835"/>
    <cellStyle name="Normal 2 7 8 3" xfId="4836"/>
    <cellStyle name="Normal 2 7 9" xfId="4837"/>
    <cellStyle name="Normal 2 7 9 2" xfId="4838"/>
    <cellStyle name="Normal 2 7 9 2 2" xfId="4839"/>
    <cellStyle name="Normal 2 7 9 3" xfId="4840"/>
    <cellStyle name="Normal 2 8" xfId="4841"/>
    <cellStyle name="Normal 2 8 10" xfId="4842"/>
    <cellStyle name="Normal 2 8 10 2" xfId="4843"/>
    <cellStyle name="Normal 2 8 10 2 2" xfId="4844"/>
    <cellStyle name="Normal 2 8 10 3" xfId="4845"/>
    <cellStyle name="Normal 2 8 11" xfId="4846"/>
    <cellStyle name="Normal 2 8 11 2" xfId="4847"/>
    <cellStyle name="Normal 2 8 11 2 2" xfId="4848"/>
    <cellStyle name="Normal 2 8 11 3" xfId="4849"/>
    <cellStyle name="Normal 2 8 12" xfId="4850"/>
    <cellStyle name="Normal 2 8 12 2" xfId="4851"/>
    <cellStyle name="Normal 2 8 12 2 2" xfId="4852"/>
    <cellStyle name="Normal 2 8 12 3" xfId="4853"/>
    <cellStyle name="Normal 2 8 13" xfId="4854"/>
    <cellStyle name="Normal 2 8 13 2" xfId="4855"/>
    <cellStyle name="Normal 2 8 13 2 2" xfId="4856"/>
    <cellStyle name="Normal 2 8 13 3" xfId="4857"/>
    <cellStyle name="Normal 2 8 14" xfId="4858"/>
    <cellStyle name="Normal 2 8 14 2" xfId="4859"/>
    <cellStyle name="Normal 2 8 14 2 2" xfId="4860"/>
    <cellStyle name="Normal 2 8 14 3" xfId="4861"/>
    <cellStyle name="Normal 2 8 15" xfId="4862"/>
    <cellStyle name="Normal 2 8 15 2" xfId="4863"/>
    <cellStyle name="Normal 2 8 15 2 2" xfId="4864"/>
    <cellStyle name="Normal 2 8 15 3" xfId="4865"/>
    <cellStyle name="Normal 2 8 16" xfId="4866"/>
    <cellStyle name="Normal 2 8 16 2" xfId="4867"/>
    <cellStyle name="Normal 2 8 16 2 2" xfId="4868"/>
    <cellStyle name="Normal 2 8 16 3" xfId="4869"/>
    <cellStyle name="Normal 2 8 17" xfId="4870"/>
    <cellStyle name="Normal 2 8 17 2" xfId="4871"/>
    <cellStyle name="Normal 2 8 17 2 2" xfId="4872"/>
    <cellStyle name="Normal 2 8 17 3" xfId="4873"/>
    <cellStyle name="Normal 2 8 18" xfId="4874"/>
    <cellStyle name="Normal 2 8 18 2" xfId="4875"/>
    <cellStyle name="Normal 2 8 18 2 2" xfId="4876"/>
    <cellStyle name="Normal 2 8 18 3" xfId="4877"/>
    <cellStyle name="Normal 2 8 19" xfId="4878"/>
    <cellStyle name="Normal 2 8 19 2" xfId="4879"/>
    <cellStyle name="Normal 2 8 19 2 2" xfId="4880"/>
    <cellStyle name="Normal 2 8 19 3" xfId="4881"/>
    <cellStyle name="Normal 2 8 2" xfId="4882"/>
    <cellStyle name="Normal 2 8 2 2" xfId="4883"/>
    <cellStyle name="Normal 2 8 2 2 2" xfId="4884"/>
    <cellStyle name="Normal 2 8 2 3" xfId="4885"/>
    <cellStyle name="Normal 2 8 20" xfId="4886"/>
    <cellStyle name="Normal 2 8 20 2" xfId="4887"/>
    <cellStyle name="Normal 2 8 20 2 2" xfId="4888"/>
    <cellStyle name="Normal 2 8 20 3" xfId="4889"/>
    <cellStyle name="Normal 2 8 21" xfId="4890"/>
    <cellStyle name="Normal 2 8 21 2" xfId="4891"/>
    <cellStyle name="Normal 2 8 21 2 2" xfId="4892"/>
    <cellStyle name="Normal 2 8 21 3" xfId="4893"/>
    <cellStyle name="Normal 2 8 22" xfId="4894"/>
    <cellStyle name="Normal 2 8 22 2" xfId="4895"/>
    <cellStyle name="Normal 2 8 22 2 2" xfId="4896"/>
    <cellStyle name="Normal 2 8 22 3" xfId="4897"/>
    <cellStyle name="Normal 2 8 23" xfId="4898"/>
    <cellStyle name="Normal 2 8 23 2" xfId="4899"/>
    <cellStyle name="Normal 2 8 23 2 2" xfId="4900"/>
    <cellStyle name="Normal 2 8 23 3" xfId="4901"/>
    <cellStyle name="Normal 2 8 24" xfId="4902"/>
    <cellStyle name="Normal 2 8 24 2" xfId="4903"/>
    <cellStyle name="Normal 2 8 24 2 2" xfId="4904"/>
    <cellStyle name="Normal 2 8 24 3" xfId="4905"/>
    <cellStyle name="Normal 2 8 25" xfId="4906"/>
    <cellStyle name="Normal 2 8 25 2" xfId="4907"/>
    <cellStyle name="Normal 2 8 25 2 2" xfId="4908"/>
    <cellStyle name="Normal 2 8 25 3" xfId="4909"/>
    <cellStyle name="Normal 2 8 26" xfId="4910"/>
    <cellStyle name="Normal 2 8 26 2" xfId="4911"/>
    <cellStyle name="Normal 2 8 26 2 2" xfId="4912"/>
    <cellStyle name="Normal 2 8 26 3" xfId="4913"/>
    <cellStyle name="Normal 2 8 27" xfId="4914"/>
    <cellStyle name="Normal 2 8 27 2" xfId="4915"/>
    <cellStyle name="Normal 2 8 28" xfId="4916"/>
    <cellStyle name="Normal 2 8 3" xfId="4917"/>
    <cellStyle name="Normal 2 8 3 2" xfId="4918"/>
    <cellStyle name="Normal 2 8 3 2 2" xfId="4919"/>
    <cellStyle name="Normal 2 8 3 3" xfId="4920"/>
    <cellStyle name="Normal 2 8 4" xfId="4921"/>
    <cellStyle name="Normal 2 8 4 2" xfId="4922"/>
    <cellStyle name="Normal 2 8 4 2 2" xfId="4923"/>
    <cellStyle name="Normal 2 8 4 3" xfId="4924"/>
    <cellStyle name="Normal 2 8 5" xfId="4925"/>
    <cellStyle name="Normal 2 8 5 2" xfId="4926"/>
    <cellStyle name="Normal 2 8 5 2 2" xfId="4927"/>
    <cellStyle name="Normal 2 8 5 3" xfId="4928"/>
    <cellStyle name="Normal 2 8 6" xfId="4929"/>
    <cellStyle name="Normal 2 8 6 2" xfId="4930"/>
    <cellStyle name="Normal 2 8 6 2 2" xfId="4931"/>
    <cellStyle name="Normal 2 8 6 3" xfId="4932"/>
    <cellStyle name="Normal 2 8 7" xfId="4933"/>
    <cellStyle name="Normal 2 8 7 2" xfId="4934"/>
    <cellStyle name="Normal 2 8 7 2 2" xfId="4935"/>
    <cellStyle name="Normal 2 8 7 3" xfId="4936"/>
    <cellStyle name="Normal 2 8 8" xfId="4937"/>
    <cellStyle name="Normal 2 8 8 2" xfId="4938"/>
    <cellStyle name="Normal 2 8 8 2 2" xfId="4939"/>
    <cellStyle name="Normal 2 8 8 3" xfId="4940"/>
    <cellStyle name="Normal 2 8 9" xfId="4941"/>
    <cellStyle name="Normal 2 8 9 2" xfId="4942"/>
    <cellStyle name="Normal 2 8 9 2 2" xfId="4943"/>
    <cellStyle name="Normal 2 8 9 3" xfId="4944"/>
    <cellStyle name="Normal 2 9" xfId="4945"/>
    <cellStyle name="Normal 2 9 10" xfId="4946"/>
    <cellStyle name="Normal 2 9 10 2" xfId="4947"/>
    <cellStyle name="Normal 2 9 10 2 2" xfId="4948"/>
    <cellStyle name="Normal 2 9 10 3" xfId="4949"/>
    <cellStyle name="Normal 2 9 11" xfId="4950"/>
    <cellStyle name="Normal 2 9 11 2" xfId="4951"/>
    <cellStyle name="Normal 2 9 11 2 2" xfId="4952"/>
    <cellStyle name="Normal 2 9 11 3" xfId="4953"/>
    <cellStyle name="Normal 2 9 12" xfId="4954"/>
    <cellStyle name="Normal 2 9 12 2" xfId="4955"/>
    <cellStyle name="Normal 2 9 12 2 2" xfId="4956"/>
    <cellStyle name="Normal 2 9 12 3" xfId="4957"/>
    <cellStyle name="Normal 2 9 13" xfId="4958"/>
    <cellStyle name="Normal 2 9 13 2" xfId="4959"/>
    <cellStyle name="Normal 2 9 13 2 2" xfId="4960"/>
    <cellStyle name="Normal 2 9 13 3" xfId="4961"/>
    <cellStyle name="Normal 2 9 14" xfId="4962"/>
    <cellStyle name="Normal 2 9 14 2" xfId="4963"/>
    <cellStyle name="Normal 2 9 14 2 2" xfId="4964"/>
    <cellStyle name="Normal 2 9 14 3" xfId="4965"/>
    <cellStyle name="Normal 2 9 15" xfId="4966"/>
    <cellStyle name="Normal 2 9 15 2" xfId="4967"/>
    <cellStyle name="Normal 2 9 15 2 2" xfId="4968"/>
    <cellStyle name="Normal 2 9 15 3" xfId="4969"/>
    <cellStyle name="Normal 2 9 16" xfId="4970"/>
    <cellStyle name="Normal 2 9 16 2" xfId="4971"/>
    <cellStyle name="Normal 2 9 16 2 2" xfId="4972"/>
    <cellStyle name="Normal 2 9 16 3" xfId="4973"/>
    <cellStyle name="Normal 2 9 17" xfId="4974"/>
    <cellStyle name="Normal 2 9 17 2" xfId="4975"/>
    <cellStyle name="Normal 2 9 17 2 2" xfId="4976"/>
    <cellStyle name="Normal 2 9 17 3" xfId="4977"/>
    <cellStyle name="Normal 2 9 18" xfId="4978"/>
    <cellStyle name="Normal 2 9 18 2" xfId="4979"/>
    <cellStyle name="Normal 2 9 18 2 2" xfId="4980"/>
    <cellStyle name="Normal 2 9 18 3" xfId="4981"/>
    <cellStyle name="Normal 2 9 19" xfId="4982"/>
    <cellStyle name="Normal 2 9 19 2" xfId="4983"/>
    <cellStyle name="Normal 2 9 19 2 2" xfId="4984"/>
    <cellStyle name="Normal 2 9 19 3" xfId="4985"/>
    <cellStyle name="Normal 2 9 2" xfId="4986"/>
    <cellStyle name="Normal 2 9 2 2" xfId="4987"/>
    <cellStyle name="Normal 2 9 2 2 2" xfId="4988"/>
    <cellStyle name="Normal 2 9 2 3" xfId="4989"/>
    <cellStyle name="Normal 2 9 20" xfId="4990"/>
    <cellStyle name="Normal 2 9 20 2" xfId="4991"/>
    <cellStyle name="Normal 2 9 20 2 2" xfId="4992"/>
    <cellStyle name="Normal 2 9 20 3" xfId="4993"/>
    <cellStyle name="Normal 2 9 21" xfId="4994"/>
    <cellStyle name="Normal 2 9 21 2" xfId="4995"/>
    <cellStyle name="Normal 2 9 21 2 2" xfId="4996"/>
    <cellStyle name="Normal 2 9 21 3" xfId="4997"/>
    <cellStyle name="Normal 2 9 22" xfId="4998"/>
    <cellStyle name="Normal 2 9 22 2" xfId="4999"/>
    <cellStyle name="Normal 2 9 22 2 2" xfId="5000"/>
    <cellStyle name="Normal 2 9 22 3" xfId="5001"/>
    <cellStyle name="Normal 2 9 23" xfId="5002"/>
    <cellStyle name="Normal 2 9 23 2" xfId="5003"/>
    <cellStyle name="Normal 2 9 23 2 2" xfId="5004"/>
    <cellStyle name="Normal 2 9 23 3" xfId="5005"/>
    <cellStyle name="Normal 2 9 24" xfId="5006"/>
    <cellStyle name="Normal 2 9 24 2" xfId="5007"/>
    <cellStyle name="Normal 2 9 24 2 2" xfId="5008"/>
    <cellStyle name="Normal 2 9 24 3" xfId="5009"/>
    <cellStyle name="Normal 2 9 25" xfId="5010"/>
    <cellStyle name="Normal 2 9 25 2" xfId="5011"/>
    <cellStyle name="Normal 2 9 25 2 2" xfId="5012"/>
    <cellStyle name="Normal 2 9 25 3" xfId="5013"/>
    <cellStyle name="Normal 2 9 26" xfId="5014"/>
    <cellStyle name="Normal 2 9 26 2" xfId="5015"/>
    <cellStyle name="Normal 2 9 26 2 2" xfId="5016"/>
    <cellStyle name="Normal 2 9 26 3" xfId="5017"/>
    <cellStyle name="Normal 2 9 27" xfId="5018"/>
    <cellStyle name="Normal 2 9 27 2" xfId="5019"/>
    <cellStyle name="Normal 2 9 28" xfId="5020"/>
    <cellStyle name="Normal 2 9 3" xfId="5021"/>
    <cellStyle name="Normal 2 9 3 2" xfId="5022"/>
    <cellStyle name="Normal 2 9 3 2 2" xfId="5023"/>
    <cellStyle name="Normal 2 9 3 3" xfId="5024"/>
    <cellStyle name="Normal 2 9 4" xfId="5025"/>
    <cellStyle name="Normal 2 9 4 2" xfId="5026"/>
    <cellStyle name="Normal 2 9 4 2 2" xfId="5027"/>
    <cellStyle name="Normal 2 9 4 3" xfId="5028"/>
    <cellStyle name="Normal 2 9 5" xfId="5029"/>
    <cellStyle name="Normal 2 9 5 2" xfId="5030"/>
    <cellStyle name="Normal 2 9 5 2 2" xfId="5031"/>
    <cellStyle name="Normal 2 9 5 3" xfId="5032"/>
    <cellStyle name="Normal 2 9 6" xfId="5033"/>
    <cellStyle name="Normal 2 9 6 2" xfId="5034"/>
    <cellStyle name="Normal 2 9 6 2 2" xfId="5035"/>
    <cellStyle name="Normal 2 9 6 3" xfId="5036"/>
    <cellStyle name="Normal 2 9 7" xfId="5037"/>
    <cellStyle name="Normal 2 9 7 2" xfId="5038"/>
    <cellStyle name="Normal 2 9 7 2 2" xfId="5039"/>
    <cellStyle name="Normal 2 9 7 3" xfId="5040"/>
    <cellStyle name="Normal 2 9 8" xfId="5041"/>
    <cellStyle name="Normal 2 9 8 2" xfId="5042"/>
    <cellStyle name="Normal 2 9 8 2 2" xfId="5043"/>
    <cellStyle name="Normal 2 9 8 3" xfId="5044"/>
    <cellStyle name="Normal 2 9 9" xfId="5045"/>
    <cellStyle name="Normal 2 9 9 2" xfId="5046"/>
    <cellStyle name="Normal 2 9 9 2 2" xfId="5047"/>
    <cellStyle name="Normal 2 9 9 3" xfId="5048"/>
    <cellStyle name="Normal 2_Hoja1" xfId="5049"/>
    <cellStyle name="Normal 20" xfId="5050"/>
    <cellStyle name="Normal 20 2" xfId="5051"/>
    <cellStyle name="Normal 20 3" xfId="5052"/>
    <cellStyle name="Normal 21" xfId="5053"/>
    <cellStyle name="Normal 21 2" xfId="5054"/>
    <cellStyle name="Normal 21 3" xfId="5055"/>
    <cellStyle name="Normal 22" xfId="5056"/>
    <cellStyle name="Normal 22 2" xfId="5057"/>
    <cellStyle name="Normal 22 3" xfId="5058"/>
    <cellStyle name="Normal 23" xfId="5059"/>
    <cellStyle name="Normal 23 2" xfId="5060"/>
    <cellStyle name="Normal 23 3" xfId="5061"/>
    <cellStyle name="Normal 24" xfId="5062"/>
    <cellStyle name="Normal 24 2" xfId="5063"/>
    <cellStyle name="Normal 24 3" xfId="5064"/>
    <cellStyle name="Normal 25" xfId="5065"/>
    <cellStyle name="Normal 25 2" xfId="5066"/>
    <cellStyle name="Normal 25 3" xfId="5067"/>
    <cellStyle name="Normal 26" xfId="5068"/>
    <cellStyle name="Normal 26 2" xfId="5069"/>
    <cellStyle name="Normal 26 3" xfId="5070"/>
    <cellStyle name="Normal 27" xfId="5071"/>
    <cellStyle name="Normal 27 2" xfId="5072"/>
    <cellStyle name="Normal 27 3" xfId="5073"/>
    <cellStyle name="Normal 28" xfId="5074"/>
    <cellStyle name="Normal 28 2" xfId="5075"/>
    <cellStyle name="Normal 28 3" xfId="5076"/>
    <cellStyle name="Normal 29" xfId="5077"/>
    <cellStyle name="Normal 29 2" xfId="5078"/>
    <cellStyle name="Normal 29 3" xfId="5079"/>
    <cellStyle name="Normal 3" xfId="5080"/>
    <cellStyle name="Normal 3 10" xfId="5081"/>
    <cellStyle name="Normal 3 10 2" xfId="5082"/>
    <cellStyle name="Normal 3 10 2 2" xfId="5083"/>
    <cellStyle name="Normal 3 10 2 3" xfId="5084"/>
    <cellStyle name="Normal 3 10 3" xfId="5085"/>
    <cellStyle name="Normal 3 10 4" xfId="5086"/>
    <cellStyle name="Normal 3 2" xfId="5087"/>
    <cellStyle name="Normal 3 2 2" xfId="5088"/>
    <cellStyle name="Normal 3 3" xfId="5089"/>
    <cellStyle name="Normal 3 3 2" xfId="5090"/>
    <cellStyle name="Normal 3 4" xfId="5091"/>
    <cellStyle name="Normal 3_VOICE_REPORT_CITTA_CAMPAIGN_FY1011_ver12" xfId="5092"/>
    <cellStyle name="Normal 30" xfId="5093"/>
    <cellStyle name="Normal 30 2" xfId="5094"/>
    <cellStyle name="Normal 30 3" xfId="5095"/>
    <cellStyle name="Normal 31" xfId="5096"/>
    <cellStyle name="Normal 31 2" xfId="5097"/>
    <cellStyle name="Normal 31 3" xfId="5098"/>
    <cellStyle name="Normal 32" xfId="5099"/>
    <cellStyle name="Normal 32 2" xfId="5100"/>
    <cellStyle name="Normal 32 3" xfId="5101"/>
    <cellStyle name="Normal 33" xfId="5102"/>
    <cellStyle name="Normal 33 2" xfId="5103"/>
    <cellStyle name="Normal 33 3" xfId="5104"/>
    <cellStyle name="Normal 34" xfId="5105"/>
    <cellStyle name="Normal 34 2" xfId="5106"/>
    <cellStyle name="Normal 34 3" xfId="5107"/>
    <cellStyle name="Normal 35" xfId="5108"/>
    <cellStyle name="Normal 35 2" xfId="5109"/>
    <cellStyle name="Normal 35 3" xfId="5110"/>
    <cellStyle name="Normal 36" xfId="5111"/>
    <cellStyle name="Normal 36 2" xfId="5112"/>
    <cellStyle name="Normal 36 3" xfId="5113"/>
    <cellStyle name="Normal 37" xfId="5114"/>
    <cellStyle name="Normal 37 2" xfId="5115"/>
    <cellStyle name="Normal 37 3" xfId="5116"/>
    <cellStyle name="Normal 38" xfId="5117"/>
    <cellStyle name="Normal 38 2" xfId="5118"/>
    <cellStyle name="Normal 38 3" xfId="5119"/>
    <cellStyle name="Normal 39" xfId="5120"/>
    <cellStyle name="Normal 39 2" xfId="5121"/>
    <cellStyle name="Normal 39 3" xfId="5122"/>
    <cellStyle name="Normal 4" xfId="5123"/>
    <cellStyle name="Normal 4 2" xfId="5124"/>
    <cellStyle name="Normal 4 2 2" xfId="5125"/>
    <cellStyle name="Normal 4 2 2 2" xfId="5126"/>
    <cellStyle name="Normal 4 2 3" xfId="5127"/>
    <cellStyle name="Normal 4 3" xfId="5128"/>
    <cellStyle name="Normal 4 3 2" xfId="5129"/>
    <cellStyle name="Normal 4 4" xfId="5130"/>
    <cellStyle name="Normal 4 4 2" xfId="5131"/>
    <cellStyle name="Normal 4 5" xfId="5132"/>
    <cellStyle name="Normal 4 5 2" xfId="5133"/>
    <cellStyle name="Normal 4 5 2 2" xfId="5134"/>
    <cellStyle name="Normal 4 5 2 3" xfId="5135"/>
    <cellStyle name="Normal 4 5 3" xfId="5136"/>
    <cellStyle name="Normal 4 5 4" xfId="5137"/>
    <cellStyle name="Normal 4 6" xfId="5138"/>
    <cellStyle name="Normal 4 7" xfId="5139"/>
    <cellStyle name="Normal 40" xfId="5140"/>
    <cellStyle name="Normal 40 2" xfId="5141"/>
    <cellStyle name="Normal 40 3" xfId="5142"/>
    <cellStyle name="Normal 41" xfId="5143"/>
    <cellStyle name="Normal 41 2" xfId="5144"/>
    <cellStyle name="Normal 41 3" xfId="5145"/>
    <cellStyle name="Normal 42" xfId="5146"/>
    <cellStyle name="Normal 42 2" xfId="5147"/>
    <cellStyle name="Normal 42 3" xfId="5148"/>
    <cellStyle name="Normal 43" xfId="5149"/>
    <cellStyle name="Normal 43 2" xfId="5150"/>
    <cellStyle name="Normal 43 3" xfId="5151"/>
    <cellStyle name="Normal 44" xfId="5152"/>
    <cellStyle name="Normal 44 2" xfId="5153"/>
    <cellStyle name="Normal 44 3" xfId="5154"/>
    <cellStyle name="Normal 45" xfId="5155"/>
    <cellStyle name="Normal 45 2" xfId="5156"/>
    <cellStyle name="Normal 45 3" xfId="5157"/>
    <cellStyle name="Normal 46" xfId="5158"/>
    <cellStyle name="Normal 46 2" xfId="5159"/>
    <cellStyle name="Normal 46 3" xfId="5160"/>
    <cellStyle name="Normal 47" xfId="5161"/>
    <cellStyle name="Normal 47 2" xfId="5162"/>
    <cellStyle name="Normal 47 3" xfId="5163"/>
    <cellStyle name="Normal 48" xfId="5164"/>
    <cellStyle name="Normal 48 2" xfId="5165"/>
    <cellStyle name="Normal 48 3" xfId="5166"/>
    <cellStyle name="Normal 49" xfId="5167"/>
    <cellStyle name="Normal 49 2" xfId="5168"/>
    <cellStyle name="Normal 49 3" xfId="5169"/>
    <cellStyle name="Normal 5" xfId="5170"/>
    <cellStyle name="Normal 5 10" xfId="5171"/>
    <cellStyle name="Normal 5 10 2" xfId="5172"/>
    <cellStyle name="Normal 5 10 2 2" xfId="5173"/>
    <cellStyle name="Normal 5 10 2 2 2" xfId="5174"/>
    <cellStyle name="Normal 5 10 2 3" xfId="5175"/>
    <cellStyle name="Normal 5 10 3" xfId="5176"/>
    <cellStyle name="Normal 5 10 3 2" xfId="5177"/>
    <cellStyle name="Normal 5 10 4" xfId="5178"/>
    <cellStyle name="Normal 5 11" xfId="5179"/>
    <cellStyle name="Normal 5 11 2" xfId="5180"/>
    <cellStyle name="Normal 5 11 2 2" xfId="5181"/>
    <cellStyle name="Normal 5 11 2 2 2" xfId="5182"/>
    <cellStyle name="Normal 5 11 2 3" xfId="5183"/>
    <cellStyle name="Normal 5 11 3" xfId="5184"/>
    <cellStyle name="Normal 5 11 3 2" xfId="5185"/>
    <cellStyle name="Normal 5 11 4" xfId="5186"/>
    <cellStyle name="Normal 5 12" xfId="5187"/>
    <cellStyle name="Normal 5 12 2" xfId="5188"/>
    <cellStyle name="Normal 5 12 2 2" xfId="5189"/>
    <cellStyle name="Normal 5 12 2 2 2" xfId="5190"/>
    <cellStyle name="Normal 5 12 2 3" xfId="5191"/>
    <cellStyle name="Normal 5 12 3" xfId="5192"/>
    <cellStyle name="Normal 5 12 3 2" xfId="5193"/>
    <cellStyle name="Normal 5 12 4" xfId="5194"/>
    <cellStyle name="Normal 5 13" xfId="5195"/>
    <cellStyle name="Normal 5 14" xfId="5196"/>
    <cellStyle name="Normal 5 15" xfId="5197"/>
    <cellStyle name="Normal 5 16" xfId="5198"/>
    <cellStyle name="Normal 5 2" xfId="5199"/>
    <cellStyle name="Normal 5 2 2" xfId="5200"/>
    <cellStyle name="Normal 5 2 2 2" xfId="5201"/>
    <cellStyle name="Normal 5 2 2 2 2" xfId="5202"/>
    <cellStyle name="Normal 5 2 2 3" xfId="5203"/>
    <cellStyle name="Normal 5 2 3" xfId="5204"/>
    <cellStyle name="Normal 5 2 3 2" xfId="5205"/>
    <cellStyle name="Normal 5 2 4" xfId="5206"/>
    <cellStyle name="Normal 5 3" xfId="5207"/>
    <cellStyle name="Normal 5 3 2" xfId="5208"/>
    <cellStyle name="Normal 5 3 2 2" xfId="5209"/>
    <cellStyle name="Normal 5 3 2 2 2" xfId="5210"/>
    <cellStyle name="Normal 5 3 2 3" xfId="5211"/>
    <cellStyle name="Normal 5 3 3" xfId="5212"/>
    <cellStyle name="Normal 5 3 3 2" xfId="5213"/>
    <cellStyle name="Normal 5 3 4" xfId="5214"/>
    <cellStyle name="Normal 5 4" xfId="5215"/>
    <cellStyle name="Normal 5 4 2" xfId="5216"/>
    <cellStyle name="Normal 5 4 2 2" xfId="5217"/>
    <cellStyle name="Normal 5 4 2 2 2" xfId="5218"/>
    <cellStyle name="Normal 5 4 2 3" xfId="5219"/>
    <cellStyle name="Normal 5 4 3" xfId="5220"/>
    <cellStyle name="Normal 5 4 3 2" xfId="5221"/>
    <cellStyle name="Normal 5 4 4" xfId="5222"/>
    <cellStyle name="Normal 5 5" xfId="5223"/>
    <cellStyle name="Normal 5 5 2" xfId="5224"/>
    <cellStyle name="Normal 5 5 2 2" xfId="5225"/>
    <cellStyle name="Normal 5 5 2 2 2" xfId="5226"/>
    <cellStyle name="Normal 5 5 2 3" xfId="5227"/>
    <cellStyle name="Normal 5 5 3" xfId="5228"/>
    <cellStyle name="Normal 5 5 3 2" xfId="5229"/>
    <cellStyle name="Normal 5 5 4" xfId="5230"/>
    <cellStyle name="Normal 5 6" xfId="5231"/>
    <cellStyle name="Normal 5 6 2" xfId="5232"/>
    <cellStyle name="Normal 5 6 2 2" xfId="5233"/>
    <cellStyle name="Normal 5 6 2 2 2" xfId="5234"/>
    <cellStyle name="Normal 5 6 2 3" xfId="5235"/>
    <cellStyle name="Normal 5 6 3" xfId="5236"/>
    <cellStyle name="Normal 5 6 3 2" xfId="5237"/>
    <cellStyle name="Normal 5 6 4" xfId="5238"/>
    <cellStyle name="Normal 5 7" xfId="5239"/>
    <cellStyle name="Normal 5 7 2" xfId="5240"/>
    <cellStyle name="Normal 5 7 2 2" xfId="5241"/>
    <cellStyle name="Normal 5 7 2 2 2" xfId="5242"/>
    <cellStyle name="Normal 5 7 2 3" xfId="5243"/>
    <cellStyle name="Normal 5 7 3" xfId="5244"/>
    <cellStyle name="Normal 5 7 3 2" xfId="5245"/>
    <cellStyle name="Normal 5 7 4" xfId="5246"/>
    <cellStyle name="Normal 5 8" xfId="5247"/>
    <cellStyle name="Normal 5 8 2" xfId="5248"/>
    <cellStyle name="Normal 5 8 2 2" xfId="5249"/>
    <cellStyle name="Normal 5 8 2 2 2" xfId="5250"/>
    <cellStyle name="Normal 5 8 2 3" xfId="5251"/>
    <cellStyle name="Normal 5 8 3" xfId="5252"/>
    <cellStyle name="Normal 5 8 3 2" xfId="5253"/>
    <cellStyle name="Normal 5 8 4" xfId="5254"/>
    <cellStyle name="Normal 5 9" xfId="5255"/>
    <cellStyle name="Normal 5 9 2" xfId="5256"/>
    <cellStyle name="Normal 5 9 2 2" xfId="5257"/>
    <cellStyle name="Normal 5 9 2 2 2" xfId="5258"/>
    <cellStyle name="Normal 5 9 2 3" xfId="5259"/>
    <cellStyle name="Normal 5 9 3" xfId="5260"/>
    <cellStyle name="Normal 5 9 3 2" xfId="5261"/>
    <cellStyle name="Normal 5 9 4" xfId="5262"/>
    <cellStyle name="Normal 50" xfId="5263"/>
    <cellStyle name="Normal 50 2" xfId="5264"/>
    <cellStyle name="Normal 50 3" xfId="5265"/>
    <cellStyle name="Normal 51" xfId="5266"/>
    <cellStyle name="Normal 51 2" xfId="5267"/>
    <cellStyle name="Normal 51 3" xfId="5268"/>
    <cellStyle name="Normal 52" xfId="5269"/>
    <cellStyle name="Normal 52 2" xfId="5270"/>
    <cellStyle name="Normal 52 3" xfId="5271"/>
    <cellStyle name="Normal 53" xfId="5272"/>
    <cellStyle name="Normal 53 2" xfId="5273"/>
    <cellStyle name="Normal 53 3" xfId="5274"/>
    <cellStyle name="Normal 54" xfId="5275"/>
    <cellStyle name="Normal 54 2" xfId="5276"/>
    <cellStyle name="Normal 54 3" xfId="5277"/>
    <cellStyle name="Normal 55" xfId="5278"/>
    <cellStyle name="Normal 55 2" xfId="5279"/>
    <cellStyle name="Normal 55 3" xfId="5280"/>
    <cellStyle name="Normal 56" xfId="5281"/>
    <cellStyle name="Normal 56 2" xfId="5282"/>
    <cellStyle name="Normal 56 3" xfId="5283"/>
    <cellStyle name="Normal 57" xfId="5284"/>
    <cellStyle name="Normal 57 2" xfId="5285"/>
    <cellStyle name="Normal 57 3" xfId="5286"/>
    <cellStyle name="Normal 58" xfId="5287"/>
    <cellStyle name="Normal 58 2" xfId="5288"/>
    <cellStyle name="Normal 58 3" xfId="5289"/>
    <cellStyle name="Normal 59" xfId="5290"/>
    <cellStyle name="Normal 59 2" xfId="5291"/>
    <cellStyle name="Normal 59 3" xfId="5292"/>
    <cellStyle name="Normal 6" xfId="5293"/>
    <cellStyle name="Normal 6 2" xfId="5294"/>
    <cellStyle name="Normal 6 2 2" xfId="5295"/>
    <cellStyle name="Normal 6 2 2 2" xfId="5296"/>
    <cellStyle name="Normal 6 2 2 2 2" xfId="5297"/>
    <cellStyle name="Normal 6 2 2 3" xfId="5298"/>
    <cellStyle name="Normal 6 2 3" xfId="5299"/>
    <cellStyle name="Normal 6 2 3 2" xfId="5300"/>
    <cellStyle name="Normal 6 2 4" xfId="5301"/>
    <cellStyle name="Normal 6 3" xfId="5302"/>
    <cellStyle name="Normal 6 3 2" xfId="5303"/>
    <cellStyle name="Normal 6 3 2 2" xfId="5304"/>
    <cellStyle name="Normal 6 3 2 2 2" xfId="5305"/>
    <cellStyle name="Normal 6 3 2 3" xfId="5306"/>
    <cellStyle name="Normal 6 3 3" xfId="5307"/>
    <cellStyle name="Normal 6 3 3 2" xfId="5308"/>
    <cellStyle name="Normal 6 3 4" xfId="5309"/>
    <cellStyle name="Normal 6 4" xfId="5310"/>
    <cellStyle name="Normal 6 4 2" xfId="5311"/>
    <cellStyle name="Normal 6 4 2 2" xfId="5312"/>
    <cellStyle name="Normal 6 4 2 2 2" xfId="5313"/>
    <cellStyle name="Normal 6 4 2 3" xfId="5314"/>
    <cellStyle name="Normal 6 4 3" xfId="5315"/>
    <cellStyle name="Normal 6 4 3 2" xfId="5316"/>
    <cellStyle name="Normal 6 4 4" xfId="5317"/>
    <cellStyle name="Normal 6 5" xfId="5318"/>
    <cellStyle name="Normal 6 5 2" xfId="5319"/>
    <cellStyle name="Normal 6 5 2 2" xfId="5320"/>
    <cellStyle name="Normal 6 5 2 2 2" xfId="5321"/>
    <cellStyle name="Normal 6 5 2 3" xfId="5322"/>
    <cellStyle name="Normal 6 5 3" xfId="5323"/>
    <cellStyle name="Normal 6 5 3 2" xfId="5324"/>
    <cellStyle name="Normal 6 5 4" xfId="5325"/>
    <cellStyle name="Normal 6 6" xfId="5326"/>
    <cellStyle name="Normal 6 6 2" xfId="5327"/>
    <cellStyle name="Normal 6 6 2 2" xfId="5328"/>
    <cellStyle name="Normal 6 6 2 2 2" xfId="5329"/>
    <cellStyle name="Normal 6 6 2 3" xfId="5330"/>
    <cellStyle name="Normal 6 6 3" xfId="5331"/>
    <cellStyle name="Normal 6 6 3 2" xfId="5332"/>
    <cellStyle name="Normal 6 6 4" xfId="5333"/>
    <cellStyle name="Normal 6 7" xfId="5334"/>
    <cellStyle name="Normal 6 8" xfId="5335"/>
    <cellStyle name="Normal 6 9" xfId="5336"/>
    <cellStyle name="Normal 60" xfId="5337"/>
    <cellStyle name="Normal 60 2" xfId="5338"/>
    <cellStyle name="Normal 60 3" xfId="5339"/>
    <cellStyle name="Normal 61" xfId="5340"/>
    <cellStyle name="Normal 61 2" xfId="5341"/>
    <cellStyle name="Normal 61 3" xfId="5342"/>
    <cellStyle name="Normal 62" xfId="5343"/>
    <cellStyle name="Normal 62 2" xfId="5344"/>
    <cellStyle name="Normal 62 3" xfId="5345"/>
    <cellStyle name="Normal 63" xfId="5346"/>
    <cellStyle name="Normal 63 2" xfId="5347"/>
    <cellStyle name="Normal 63 3" xfId="5348"/>
    <cellStyle name="Normal 64" xfId="5349"/>
    <cellStyle name="Normal 64 2" xfId="5350"/>
    <cellStyle name="Normal 64 3" xfId="5351"/>
    <cellStyle name="Normal 65" xfId="5352"/>
    <cellStyle name="Normal 65 2" xfId="5353"/>
    <cellStyle name="Normal 65 3" xfId="5354"/>
    <cellStyle name="Normal 66" xfId="5355"/>
    <cellStyle name="Normal 66 2" xfId="5356"/>
    <cellStyle name="Normal 66 3" xfId="5357"/>
    <cellStyle name="Normal 67" xfId="5358"/>
    <cellStyle name="Normal 67 2" xfId="5359"/>
    <cellStyle name="Normal 67 3" xfId="5360"/>
    <cellStyle name="Normal 68" xfId="5361"/>
    <cellStyle name="Normal 68 2" xfId="5362"/>
    <cellStyle name="Normal 68 3" xfId="5363"/>
    <cellStyle name="Normal 69" xfId="5364"/>
    <cellStyle name="Normal 69 2" xfId="5365"/>
    <cellStyle name="Normal 69 3" xfId="5366"/>
    <cellStyle name="Normal 7" xfId="5367"/>
    <cellStyle name="Normal 7 2" xfId="5368"/>
    <cellStyle name="Normal 7 2 2" xfId="5369"/>
    <cellStyle name="Normal 7 2 2 2" xfId="5370"/>
    <cellStyle name="Normal 7 2 2 2 2" xfId="5371"/>
    <cellStyle name="Normal 7 2 2 3" xfId="5372"/>
    <cellStyle name="Normal 7 2 3" xfId="5373"/>
    <cellStyle name="Normal 7 2 3 2" xfId="5374"/>
    <cellStyle name="Normal 7 2 4" xfId="5375"/>
    <cellStyle name="Normal 7 3" xfId="5376"/>
    <cellStyle name="Normal 7 3 2" xfId="5377"/>
    <cellStyle name="Normal 7 3 2 2" xfId="5378"/>
    <cellStyle name="Normal 7 3 2 2 2" xfId="5379"/>
    <cellStyle name="Normal 7 3 2 3" xfId="5380"/>
    <cellStyle name="Normal 7 3 3" xfId="5381"/>
    <cellStyle name="Normal 7 3 3 2" xfId="5382"/>
    <cellStyle name="Normal 7 3 4" xfId="5383"/>
    <cellStyle name="Normal 7 4" xfId="5384"/>
    <cellStyle name="Normal 7 5" xfId="5385"/>
    <cellStyle name="Normal 7 6" xfId="5386"/>
    <cellStyle name="Normal 70" xfId="5387"/>
    <cellStyle name="Normal 70 2" xfId="5388"/>
    <cellStyle name="Normal 70 3" xfId="5389"/>
    <cellStyle name="Normal 71" xfId="5390"/>
    <cellStyle name="Normal 71 2" xfId="5391"/>
    <cellStyle name="Normal 71 3" xfId="5392"/>
    <cellStyle name="Normal 72" xfId="5393"/>
    <cellStyle name="Normal 72 2" xfId="5394"/>
    <cellStyle name="Normal 72 3" xfId="5395"/>
    <cellStyle name="Normal 73" xfId="5396"/>
    <cellStyle name="Normal 73 2" xfId="5397"/>
    <cellStyle name="Normal 73 3" xfId="5398"/>
    <cellStyle name="Normal 74" xfId="5399"/>
    <cellStyle name="Normal 74 2" xfId="5400"/>
    <cellStyle name="Normal 74 3" xfId="5401"/>
    <cellStyle name="Normal 75" xfId="5402"/>
    <cellStyle name="Normal 75 2" xfId="5403"/>
    <cellStyle name="Normal 75 3" xfId="5404"/>
    <cellStyle name="Normal 76" xfId="5405"/>
    <cellStyle name="Normal 76 2" xfId="5406"/>
    <cellStyle name="Normal 76 3" xfId="5407"/>
    <cellStyle name="Normal 77" xfId="5408"/>
    <cellStyle name="Normal 77 2" xfId="5409"/>
    <cellStyle name="Normal 77 3" xfId="5410"/>
    <cellStyle name="Normal 78" xfId="5411"/>
    <cellStyle name="Normal 78 2" xfId="5412"/>
    <cellStyle name="Normal 78 3" xfId="5413"/>
    <cellStyle name="Normal 79" xfId="5414"/>
    <cellStyle name="Normal 79 2" xfId="5415"/>
    <cellStyle name="Normal 79 3" xfId="5416"/>
    <cellStyle name="Normal 8" xfId="5417"/>
    <cellStyle name="Normal 8 2" xfId="5418"/>
    <cellStyle name="Normal 8 2 2" xfId="5419"/>
    <cellStyle name="Normal 8 2 2 2" xfId="5420"/>
    <cellStyle name="Normal 8 2 2 2 2" xfId="5421"/>
    <cellStyle name="Normal 8 2 2 3" xfId="5422"/>
    <cellStyle name="Normal 8 2 3" xfId="5423"/>
    <cellStyle name="Normal 8 2 3 2" xfId="5424"/>
    <cellStyle name="Normal 8 2 4" xfId="5425"/>
    <cellStyle name="Normal 8 3" xfId="5426"/>
    <cellStyle name="Normal 8 3 2" xfId="5427"/>
    <cellStyle name="Normal 8 3 2 2" xfId="5428"/>
    <cellStyle name="Normal 8 3 2 2 2" xfId="5429"/>
    <cellStyle name="Normal 8 3 2 3" xfId="5430"/>
    <cellStyle name="Normal 8 3 3" xfId="5431"/>
    <cellStyle name="Normal 8 3 3 2" xfId="5432"/>
    <cellStyle name="Normal 8 3 4" xfId="5433"/>
    <cellStyle name="Normal 8 4" xfId="5434"/>
    <cellStyle name="Normal 8 5" xfId="5435"/>
    <cellStyle name="Normal 8 6" xfId="5436"/>
    <cellStyle name="Normal 80" xfId="5437"/>
    <cellStyle name="Normal 80 2" xfId="5438"/>
    <cellStyle name="Normal 80 3" xfId="5439"/>
    <cellStyle name="Normal 81" xfId="5440"/>
    <cellStyle name="Normal 81 2" xfId="5441"/>
    <cellStyle name="Normal 81 3" xfId="5442"/>
    <cellStyle name="Normal 82" xfId="5443"/>
    <cellStyle name="Normal 82 2" xfId="5444"/>
    <cellStyle name="Normal 82 3" xfId="5445"/>
    <cellStyle name="Normal 83" xfId="5446"/>
    <cellStyle name="Normal 83 2" xfId="5447"/>
    <cellStyle name="Normal 83 3" xfId="5448"/>
    <cellStyle name="Normal 84" xfId="5449"/>
    <cellStyle name="Normal 84 2" xfId="5450"/>
    <cellStyle name="Normal 84 3" xfId="5451"/>
    <cellStyle name="Normal 85" xfId="5452"/>
    <cellStyle name="Normal 85 2" xfId="5453"/>
    <cellStyle name="Normal 85 3" xfId="5454"/>
    <cellStyle name="Normal 86" xfId="5455"/>
    <cellStyle name="Normal 86 2" xfId="5456"/>
    <cellStyle name="Normal 86 3" xfId="5457"/>
    <cellStyle name="Normal 87" xfId="5458"/>
    <cellStyle name="Normal 87 2" xfId="5459"/>
    <cellStyle name="Normal 87 3" xfId="5460"/>
    <cellStyle name="Normal 88" xfId="5461"/>
    <cellStyle name="Normal 88 2" xfId="5462"/>
    <cellStyle name="Normal 88 3" xfId="5463"/>
    <cellStyle name="Normal 89" xfId="5464"/>
    <cellStyle name="Normal 89 2" xfId="5465"/>
    <cellStyle name="Normal 89 3" xfId="5466"/>
    <cellStyle name="Normal 9" xfId="5467"/>
    <cellStyle name="Normal 9 2" xfId="5468"/>
    <cellStyle name="Normal 9 2 2" xfId="5469"/>
    <cellStyle name="Normal 9 2 2 2" xfId="5470"/>
    <cellStyle name="Normal 9 2 3" xfId="5471"/>
    <cellStyle name="Normal 9 3" xfId="5472"/>
    <cellStyle name="Normal 9 3 2" xfId="5473"/>
    <cellStyle name="Normal 9 3 2 2" xfId="5474"/>
    <cellStyle name="Normal 9 3 2 2 2" xfId="5475"/>
    <cellStyle name="Normal 9 3 2 3" xfId="5476"/>
    <cellStyle name="Normal 9 3 3" xfId="5477"/>
    <cellStyle name="Normal 9 3 3 2" xfId="5478"/>
    <cellStyle name="Normal 9 3 4" xfId="5479"/>
    <cellStyle name="Normal 9 4" xfId="5480"/>
    <cellStyle name="Normal 9 5" xfId="5481"/>
    <cellStyle name="Normal 9 6" xfId="5482"/>
    <cellStyle name="Normal 90" xfId="5483"/>
    <cellStyle name="Normal 90 2" xfId="5484"/>
    <cellStyle name="Normal 90 3" xfId="5485"/>
    <cellStyle name="Normal 91" xfId="5486"/>
    <cellStyle name="Normal 91 2" xfId="5487"/>
    <cellStyle name="Normal 91 3" xfId="5488"/>
    <cellStyle name="Normal 92" xfId="5489"/>
    <cellStyle name="Normal 92 2" xfId="5490"/>
    <cellStyle name="Normal 92 3" xfId="5491"/>
    <cellStyle name="Normal 93" xfId="5492"/>
    <cellStyle name="Normal 93 2" xfId="5493"/>
    <cellStyle name="Normal 93 3" xfId="5494"/>
    <cellStyle name="Normal 94" xfId="5495"/>
    <cellStyle name="Normal 94 2" xfId="5496"/>
    <cellStyle name="Normal 94 3" xfId="5497"/>
    <cellStyle name="Normal 95" xfId="5498"/>
    <cellStyle name="Normal 95 2" xfId="5499"/>
    <cellStyle name="Normal 95 3" xfId="5500"/>
    <cellStyle name="Normal 96" xfId="5501"/>
    <cellStyle name="Normal 96 2" xfId="5502"/>
    <cellStyle name="Normal 96 3" xfId="5503"/>
    <cellStyle name="Normal 97" xfId="5504"/>
    <cellStyle name="Normal 97 2" xfId="5505"/>
    <cellStyle name="Normal 97 3" xfId="5506"/>
    <cellStyle name="Normal 98" xfId="5507"/>
    <cellStyle name="Normal 98 2" xfId="5508"/>
    <cellStyle name="Normal 98 3" xfId="5509"/>
    <cellStyle name="Normal 99" xfId="5510"/>
    <cellStyle name="Normal 99 2" xfId="5511"/>
    <cellStyle name="Normal 99 3" xfId="5512"/>
    <cellStyle name="Notas 10" xfId="5513"/>
    <cellStyle name="Notas 11" xfId="5514"/>
    <cellStyle name="Notas 12" xfId="5515"/>
    <cellStyle name="Notas 13" xfId="5516"/>
    <cellStyle name="Notas 14" xfId="5517"/>
    <cellStyle name="Notas 15" xfId="5518"/>
    <cellStyle name="Notas 16" xfId="5519"/>
    <cellStyle name="Notas 17" xfId="5520"/>
    <cellStyle name="Notas 18" xfId="5521"/>
    <cellStyle name="Notas 19" xfId="5522"/>
    <cellStyle name="Notas 2" xfId="5523"/>
    <cellStyle name="Notas 2 2" xfId="5524"/>
    <cellStyle name="Notas 2 3" xfId="5525"/>
    <cellStyle name="Notas 2 4" xfId="5526"/>
    <cellStyle name="Notas 2 5" xfId="5527"/>
    <cellStyle name="Notas 2 6" xfId="5528"/>
    <cellStyle name="Notas 20" xfId="5529"/>
    <cellStyle name="Notas 21" xfId="5530"/>
    <cellStyle name="Notas 22" xfId="5531"/>
    <cellStyle name="Notas 23" xfId="5532"/>
    <cellStyle name="Notas 24" xfId="5533"/>
    <cellStyle name="Notas 25" xfId="5534"/>
    <cellStyle name="Notas 26" xfId="5535"/>
    <cellStyle name="Notas 27" xfId="5536"/>
    <cellStyle name="Notas 28" xfId="5537"/>
    <cellStyle name="Notas 29" xfId="5538"/>
    <cellStyle name="Notas 3" xfId="5539"/>
    <cellStyle name="Notas 30" xfId="5540"/>
    <cellStyle name="Notas 31" xfId="5541"/>
    <cellStyle name="Notas 32" xfId="5542"/>
    <cellStyle name="Notas 33" xfId="5543"/>
    <cellStyle name="Notas 34" xfId="5544"/>
    <cellStyle name="Notas 35" xfId="5545"/>
    <cellStyle name="Notas 36" xfId="5546"/>
    <cellStyle name="Notas 36 2" xfId="5547"/>
    <cellStyle name="Notas 36 2 2" xfId="5548"/>
    <cellStyle name="Notas 36 2 2 2" xfId="5549"/>
    <cellStyle name="Notas 36 2 2 3" xfId="5550"/>
    <cellStyle name="Notas 36 2 3" xfId="5551"/>
    <cellStyle name="Notas 36 2 4" xfId="5552"/>
    <cellStyle name="Notas 36 3" xfId="5553"/>
    <cellStyle name="Notas 36 3 2" xfId="5554"/>
    <cellStyle name="Notas 36 3 3" xfId="5555"/>
    <cellStyle name="Notas 36 4" xfId="5556"/>
    <cellStyle name="Notas 36 5" xfId="5557"/>
    <cellStyle name="Notas 37" xfId="5558"/>
    <cellStyle name="Notas 4" xfId="5559"/>
    <cellStyle name="Notas 5" xfId="5560"/>
    <cellStyle name="Notas 6" xfId="5561"/>
    <cellStyle name="Notas 7" xfId="5562"/>
    <cellStyle name="Notas 8" xfId="5563"/>
    <cellStyle name="Notas 9" xfId="5564"/>
    <cellStyle name="Note" xfId="5565"/>
    <cellStyle name="Note 10" xfId="5566"/>
    <cellStyle name="Note 11" xfId="5567"/>
    <cellStyle name="Note 12" xfId="5568"/>
    <cellStyle name="Note 13" xfId="5569"/>
    <cellStyle name="Note 14" xfId="5570"/>
    <cellStyle name="Note 15" xfId="5571"/>
    <cellStyle name="Note 16" xfId="5572"/>
    <cellStyle name="Note 17" xfId="5573"/>
    <cellStyle name="Note 18" xfId="5574"/>
    <cellStyle name="Note 19" xfId="5575"/>
    <cellStyle name="Note 2" xfId="5576"/>
    <cellStyle name="Note 20" xfId="5577"/>
    <cellStyle name="Note 21" xfId="5578"/>
    <cellStyle name="Note 22" xfId="5579"/>
    <cellStyle name="Note 23" xfId="5580"/>
    <cellStyle name="Note 24" xfId="5581"/>
    <cellStyle name="Note 25" xfId="5582"/>
    <cellStyle name="Note 26" xfId="5583"/>
    <cellStyle name="Note 27" xfId="5584"/>
    <cellStyle name="Note 28" xfId="5585"/>
    <cellStyle name="Note 29" xfId="5586"/>
    <cellStyle name="Note 3" xfId="5587"/>
    <cellStyle name="Note 30" xfId="5588"/>
    <cellStyle name="Note 31" xfId="5589"/>
    <cellStyle name="Note 32" xfId="5590"/>
    <cellStyle name="Note 33" xfId="5591"/>
    <cellStyle name="Note 34" xfId="5592"/>
    <cellStyle name="Note 35" xfId="5593"/>
    <cellStyle name="Note 36" xfId="5594"/>
    <cellStyle name="Note 37" xfId="5595"/>
    <cellStyle name="Note 4" xfId="5596"/>
    <cellStyle name="Note 5" xfId="5597"/>
    <cellStyle name="Note 6" xfId="5598"/>
    <cellStyle name="Note 7" xfId="5599"/>
    <cellStyle name="Note 8" xfId="5600"/>
    <cellStyle name="Note 9" xfId="5601"/>
    <cellStyle name="Output" xfId="5602"/>
    <cellStyle name="Percent 2" xfId="5603"/>
    <cellStyle name="Percent 2 2" xfId="5604"/>
    <cellStyle name="Percent 3" xfId="5605"/>
    <cellStyle name="Percent 4" xfId="5606"/>
    <cellStyle name="Porcentaje 10" xfId="5607"/>
    <cellStyle name="Porcentaje 10 2" xfId="5608"/>
    <cellStyle name="Porcentaje 11" xfId="5609"/>
    <cellStyle name="Porcentaje 12" xfId="5610"/>
    <cellStyle name="Porcentaje 12 2" xfId="5611"/>
    <cellStyle name="Porcentaje 13" xfId="5612"/>
    <cellStyle name="Porcentaje 2" xfId="5613"/>
    <cellStyle name="Porcentaje 2 2" xfId="5614"/>
    <cellStyle name="Porcentaje 2 2 2" xfId="5615"/>
    <cellStyle name="Porcentaje 2 2 2 2" xfId="5616"/>
    <cellStyle name="Porcentaje 2 2 2 2 2" xfId="5617"/>
    <cellStyle name="Porcentaje 2 2 2 2 3" xfId="5618"/>
    <cellStyle name="Porcentaje 2 2 2 3" xfId="5619"/>
    <cellStyle name="Porcentaje 2 2 2 4" xfId="5620"/>
    <cellStyle name="Porcentaje 2 2 3" xfId="5621"/>
    <cellStyle name="Porcentaje 2 2 3 2" xfId="5622"/>
    <cellStyle name="Porcentaje 2 2 3 3" xfId="5623"/>
    <cellStyle name="Porcentaje 2 2 4" xfId="5624"/>
    <cellStyle name="Porcentaje 2 2 5" xfId="5625"/>
    <cellStyle name="Porcentaje 2 3" xfId="5626"/>
    <cellStyle name="Porcentaje 2 3 2" xfId="5627"/>
    <cellStyle name="Porcentaje 2 3 2 2" xfId="5628"/>
    <cellStyle name="Porcentaje 2 3 2 3" xfId="5629"/>
    <cellStyle name="Porcentaje 2 3 3" xfId="5630"/>
    <cellStyle name="Porcentaje 2 3 4" xfId="5631"/>
    <cellStyle name="Porcentaje 2 4" xfId="5632"/>
    <cellStyle name="Porcentaje 2 4 2" xfId="5633"/>
    <cellStyle name="Porcentaje 2 4 3" xfId="5634"/>
    <cellStyle name="Porcentaje 2 5" xfId="5635"/>
    <cellStyle name="Porcentaje 2 6" xfId="5636"/>
    <cellStyle name="Porcentaje 3" xfId="5637"/>
    <cellStyle name="Porcentaje 3 2" xfId="5638"/>
    <cellStyle name="Porcentaje 3 2 2" xfId="5639"/>
    <cellStyle name="Porcentaje 3 2 2 2" xfId="5640"/>
    <cellStyle name="Porcentaje 3 2 2 3" xfId="5641"/>
    <cellStyle name="Porcentaje 3 2 3" xfId="5642"/>
    <cellStyle name="Porcentaje 3 2 4" xfId="5643"/>
    <cellStyle name="Porcentaje 3 3" xfId="5644"/>
    <cellStyle name="Porcentaje 3 3 2" xfId="5645"/>
    <cellStyle name="Porcentaje 3 3 3" xfId="5646"/>
    <cellStyle name="Porcentaje 3 4" xfId="5647"/>
    <cellStyle name="Porcentaje 3 5" xfId="5648"/>
    <cellStyle name="Porcentaje 4" xfId="5649"/>
    <cellStyle name="Porcentaje 4 2" xfId="5650"/>
    <cellStyle name="Porcentaje 4 2 2" xfId="5651"/>
    <cellStyle name="Porcentaje 4 2 2 2" xfId="5652"/>
    <cellStyle name="Porcentaje 4 2 2 3" xfId="5653"/>
    <cellStyle name="Porcentaje 4 2 3" xfId="5654"/>
    <cellStyle name="Porcentaje 4 2 4" xfId="5655"/>
    <cellStyle name="Porcentaje 4 3" xfId="5656"/>
    <cellStyle name="Porcentaje 4 3 2" xfId="5657"/>
    <cellStyle name="Porcentaje 4 3 3" xfId="5658"/>
    <cellStyle name="Porcentaje 4 4" xfId="5659"/>
    <cellStyle name="Porcentaje 4 5" xfId="5660"/>
    <cellStyle name="Porcentaje 5" xfId="5661"/>
    <cellStyle name="Porcentaje 5 2" xfId="5662"/>
    <cellStyle name="Porcentaje 5 2 2" xfId="5663"/>
    <cellStyle name="Porcentaje 5 2 2 2" xfId="5664"/>
    <cellStyle name="Porcentaje 5 2 2 3" xfId="5665"/>
    <cellStyle name="Porcentaje 5 2 3" xfId="5666"/>
    <cellStyle name="Porcentaje 5 2 4" xfId="5667"/>
    <cellStyle name="Porcentaje 5 3" xfId="5668"/>
    <cellStyle name="Porcentaje 5 3 2" xfId="5669"/>
    <cellStyle name="Porcentaje 5 3 3" xfId="5670"/>
    <cellStyle name="Porcentaje 5 4" xfId="5671"/>
    <cellStyle name="Porcentaje 5 5" xfId="5672"/>
    <cellStyle name="Porcentaje 6" xfId="5673"/>
    <cellStyle name="Porcentaje 6 2" xfId="5674"/>
    <cellStyle name="Porcentaje 6 2 2" xfId="5675"/>
    <cellStyle name="Porcentaje 6 2 2 2" xfId="5676"/>
    <cellStyle name="Porcentaje 6 2 2 3" xfId="5677"/>
    <cellStyle name="Porcentaje 6 2 3" xfId="5678"/>
    <cellStyle name="Porcentaje 6 2 4" xfId="5679"/>
    <cellStyle name="Porcentaje 6 3" xfId="5680"/>
    <cellStyle name="Porcentaje 6 3 2" xfId="5681"/>
    <cellStyle name="Porcentaje 6 3 3" xfId="5682"/>
    <cellStyle name="Porcentaje 6 4" xfId="5683"/>
    <cellStyle name="Porcentaje 6 5" xfId="5684"/>
    <cellStyle name="Porcentaje 7" xfId="5685"/>
    <cellStyle name="Porcentaje 7 2" xfId="5686"/>
    <cellStyle name="Porcentaje 7 2 2" xfId="5687"/>
    <cellStyle name="Porcentaje 7 2 2 2" xfId="5688"/>
    <cellStyle name="Porcentaje 7 2 2 3" xfId="5689"/>
    <cellStyle name="Porcentaje 7 2 3" xfId="5690"/>
    <cellStyle name="Porcentaje 7 2 4" xfId="5691"/>
    <cellStyle name="Porcentaje 7 3" xfId="5692"/>
    <cellStyle name="Porcentaje 7 3 2" xfId="5693"/>
    <cellStyle name="Porcentaje 7 3 3" xfId="5694"/>
    <cellStyle name="Porcentaje 7 4" xfId="5695"/>
    <cellStyle name="Porcentaje 7 5" xfId="5696"/>
    <cellStyle name="Porcentaje 8" xfId="5697"/>
    <cellStyle name="Porcentaje 8 2" xfId="5698"/>
    <cellStyle name="Porcentaje 8 2 2" xfId="5699"/>
    <cellStyle name="Porcentaje 8 2 3" xfId="5700"/>
    <cellStyle name="Porcentaje 8 3" xfId="5701"/>
    <cellStyle name="Porcentaje 8 4" xfId="5702"/>
    <cellStyle name="Porcentaje 9" xfId="5703"/>
    <cellStyle name="Porcentaje 9 2" xfId="5704"/>
    <cellStyle name="Salida 10" xfId="5705"/>
    <cellStyle name="Salida 11" xfId="5706"/>
    <cellStyle name="Salida 12" xfId="5707"/>
    <cellStyle name="Salida 13" xfId="5708"/>
    <cellStyle name="Salida 14" xfId="5709"/>
    <cellStyle name="Salida 15" xfId="5710"/>
    <cellStyle name="Salida 16" xfId="5711"/>
    <cellStyle name="Salida 17" xfId="5712"/>
    <cellStyle name="Salida 18" xfId="5713"/>
    <cellStyle name="Salida 19" xfId="5714"/>
    <cellStyle name="Salida 2" xfId="5715"/>
    <cellStyle name="Salida 2 2" xfId="5716"/>
    <cellStyle name="Salida 2 3" xfId="5717"/>
    <cellStyle name="Salida 2 4" xfId="5718"/>
    <cellStyle name="Salida 2 5" xfId="5719"/>
    <cellStyle name="Salida 2 6" xfId="5720"/>
    <cellStyle name="Salida 20" xfId="5721"/>
    <cellStyle name="Salida 21" xfId="5722"/>
    <cellStyle name="Salida 22" xfId="5723"/>
    <cellStyle name="Salida 23" xfId="5724"/>
    <cellStyle name="Salida 24" xfId="5725"/>
    <cellStyle name="Salida 25" xfId="5726"/>
    <cellStyle name="Salida 26" xfId="5727"/>
    <cellStyle name="Salida 27" xfId="5728"/>
    <cellStyle name="Salida 28" xfId="5729"/>
    <cellStyle name="Salida 29" xfId="5730"/>
    <cellStyle name="Salida 3" xfId="5731"/>
    <cellStyle name="Salida 30" xfId="5732"/>
    <cellStyle name="Salida 31" xfId="5733"/>
    <cellStyle name="Salida 32" xfId="5734"/>
    <cellStyle name="Salida 33" xfId="5735"/>
    <cellStyle name="Salida 34" xfId="5736"/>
    <cellStyle name="Salida 35" xfId="5737"/>
    <cellStyle name="Salida 36" xfId="5738"/>
    <cellStyle name="Salida 37" xfId="5739"/>
    <cellStyle name="Salida 4" xfId="5740"/>
    <cellStyle name="Salida 5" xfId="5741"/>
    <cellStyle name="Salida 6" xfId="5742"/>
    <cellStyle name="Salida 7" xfId="5743"/>
    <cellStyle name="Salida 8" xfId="5744"/>
    <cellStyle name="Salida 9" xfId="5745"/>
    <cellStyle name="Standard 2" xfId="5746"/>
    <cellStyle name="Standard 2 2" xfId="5747"/>
    <cellStyle name="Standard 3" xfId="5748"/>
    <cellStyle name="TableStyleLight1" xfId="5749"/>
    <cellStyle name="TableStyleLight1 2" xfId="5750"/>
    <cellStyle name="TableStyleLight1 2 2" xfId="5751"/>
    <cellStyle name="TableStyleLight1 3" xfId="5752"/>
    <cellStyle name="Texto de advertencia 10" xfId="5753"/>
    <cellStyle name="Texto de advertencia 11" xfId="5754"/>
    <cellStyle name="Texto de advertencia 12" xfId="5755"/>
    <cellStyle name="Texto de advertencia 13" xfId="5756"/>
    <cellStyle name="Texto de advertencia 14" xfId="5757"/>
    <cellStyle name="Texto de advertencia 15" xfId="5758"/>
    <cellStyle name="Texto de advertencia 16" xfId="5759"/>
    <cellStyle name="Texto de advertencia 17" xfId="5760"/>
    <cellStyle name="Texto de advertencia 18" xfId="5761"/>
    <cellStyle name="Texto de advertencia 19" xfId="5762"/>
    <cellStyle name="Texto de advertencia 2" xfId="5763"/>
    <cellStyle name="Texto de advertencia 2 2" xfId="5764"/>
    <cellStyle name="Texto de advertencia 2 3" xfId="5765"/>
    <cellStyle name="Texto de advertencia 2 4" xfId="5766"/>
    <cellStyle name="Texto de advertencia 2 5" xfId="5767"/>
    <cellStyle name="Texto de advertencia 2 6" xfId="5768"/>
    <cellStyle name="Texto de advertencia 20" xfId="5769"/>
    <cellStyle name="Texto de advertencia 21" xfId="5770"/>
    <cellStyle name="Texto de advertencia 22" xfId="5771"/>
    <cellStyle name="Texto de advertencia 23" xfId="5772"/>
    <cellStyle name="Texto de advertencia 24" xfId="5773"/>
    <cellStyle name="Texto de advertencia 25" xfId="5774"/>
    <cellStyle name="Texto de advertencia 26" xfId="5775"/>
    <cellStyle name="Texto de advertencia 27" xfId="5776"/>
    <cellStyle name="Texto de advertencia 28" xfId="5777"/>
    <cellStyle name="Texto de advertencia 29" xfId="5778"/>
    <cellStyle name="Texto de advertencia 3" xfId="5779"/>
    <cellStyle name="Texto de advertencia 30" xfId="5780"/>
    <cellStyle name="Texto de advertencia 31" xfId="5781"/>
    <cellStyle name="Texto de advertencia 32" xfId="5782"/>
    <cellStyle name="Texto de advertencia 33" xfId="5783"/>
    <cellStyle name="Texto de advertencia 34" xfId="5784"/>
    <cellStyle name="Texto de advertencia 35" xfId="5785"/>
    <cellStyle name="Texto de advertencia 36" xfId="5786"/>
    <cellStyle name="Texto de advertencia 37" xfId="5787"/>
    <cellStyle name="Texto de advertencia 4" xfId="5788"/>
    <cellStyle name="Texto de advertencia 5" xfId="5789"/>
    <cellStyle name="Texto de advertencia 6" xfId="5790"/>
    <cellStyle name="Texto de advertencia 7" xfId="5791"/>
    <cellStyle name="Texto de advertencia 8" xfId="5792"/>
    <cellStyle name="Texto de advertencia 9" xfId="5793"/>
    <cellStyle name="Texto explicativo 10" xfId="5794"/>
    <cellStyle name="Texto explicativo 11" xfId="5795"/>
    <cellStyle name="Texto explicativo 12" xfId="5796"/>
    <cellStyle name="Texto explicativo 13" xfId="5797"/>
    <cellStyle name="Texto explicativo 14" xfId="5798"/>
    <cellStyle name="Texto explicativo 15" xfId="5799"/>
    <cellStyle name="Texto explicativo 16" xfId="5800"/>
    <cellStyle name="Texto explicativo 17" xfId="5801"/>
    <cellStyle name="Texto explicativo 18" xfId="5802"/>
    <cellStyle name="Texto explicativo 19" xfId="5803"/>
    <cellStyle name="Texto explicativo 2" xfId="5804"/>
    <cellStyle name="Texto explicativo 2 2" xfId="5805"/>
    <cellStyle name="Texto explicativo 2 3" xfId="5806"/>
    <cellStyle name="Texto explicativo 2 4" xfId="5807"/>
    <cellStyle name="Texto explicativo 2 5" xfId="5808"/>
    <cellStyle name="Texto explicativo 2 6" xfId="5809"/>
    <cellStyle name="Texto explicativo 20" xfId="5810"/>
    <cellStyle name="Texto explicativo 21" xfId="5811"/>
    <cellStyle name="Texto explicativo 22" xfId="5812"/>
    <cellStyle name="Texto explicativo 23" xfId="5813"/>
    <cellStyle name="Texto explicativo 24" xfId="5814"/>
    <cellStyle name="Texto explicativo 25" xfId="5815"/>
    <cellStyle name="Texto explicativo 26" xfId="5816"/>
    <cellStyle name="Texto explicativo 27" xfId="5817"/>
    <cellStyle name="Texto explicativo 28" xfId="5818"/>
    <cellStyle name="Texto explicativo 29" xfId="5819"/>
    <cellStyle name="Texto explicativo 3" xfId="5820"/>
    <cellStyle name="Texto explicativo 30" xfId="5821"/>
    <cellStyle name="Texto explicativo 31" xfId="5822"/>
    <cellStyle name="Texto explicativo 32" xfId="5823"/>
    <cellStyle name="Texto explicativo 33" xfId="5824"/>
    <cellStyle name="Texto explicativo 34" xfId="5825"/>
    <cellStyle name="Texto explicativo 35" xfId="5826"/>
    <cellStyle name="Texto explicativo 36" xfId="5827"/>
    <cellStyle name="Texto explicativo 37" xfId="5828"/>
    <cellStyle name="Texto explicativo 4" xfId="5829"/>
    <cellStyle name="Texto explicativo 5" xfId="5830"/>
    <cellStyle name="Texto explicativo 6" xfId="5831"/>
    <cellStyle name="Texto explicativo 7" xfId="5832"/>
    <cellStyle name="Texto explicativo 8" xfId="5833"/>
    <cellStyle name="Texto explicativo 9" xfId="5834"/>
    <cellStyle name="Title" xfId="5835"/>
    <cellStyle name="Título 1 10" xfId="5836"/>
    <cellStyle name="Título 1 11" xfId="5837"/>
    <cellStyle name="Título 1 12" xfId="5838"/>
    <cellStyle name="Título 1 13" xfId="5839"/>
    <cellStyle name="Título 1 14" xfId="5840"/>
    <cellStyle name="Título 1 15" xfId="5841"/>
    <cellStyle name="Título 1 16" xfId="5842"/>
    <cellStyle name="Título 1 17" xfId="5843"/>
    <cellStyle name="Título 1 18" xfId="5844"/>
    <cellStyle name="Título 1 19" xfId="5845"/>
    <cellStyle name="Título 1 2" xfId="5846"/>
    <cellStyle name="Título 1 2 2" xfId="5847"/>
    <cellStyle name="Título 1 2 3" xfId="5848"/>
    <cellStyle name="Título 1 2 4" xfId="5849"/>
    <cellStyle name="Título 1 2 5" xfId="5850"/>
    <cellStyle name="Título 1 2 6" xfId="5851"/>
    <cellStyle name="Título 1 20" xfId="5852"/>
    <cellStyle name="Título 1 21" xfId="5853"/>
    <cellStyle name="Título 1 22" xfId="5854"/>
    <cellStyle name="Título 1 23" xfId="5855"/>
    <cellStyle name="Título 1 24" xfId="5856"/>
    <cellStyle name="Título 1 25" xfId="5857"/>
    <cellStyle name="Título 1 26" xfId="5858"/>
    <cellStyle name="Título 1 27" xfId="5859"/>
    <cellStyle name="Título 1 28" xfId="5860"/>
    <cellStyle name="Título 1 29" xfId="5861"/>
    <cellStyle name="Título 1 3" xfId="5862"/>
    <cellStyle name="Título 1 30" xfId="5863"/>
    <cellStyle name="Título 1 31" xfId="5864"/>
    <cellStyle name="Título 1 32" xfId="5865"/>
    <cellStyle name="Título 1 33" xfId="5866"/>
    <cellStyle name="Título 1 34" xfId="5867"/>
    <cellStyle name="Título 1 35" xfId="5868"/>
    <cellStyle name="Título 1 4" xfId="5869"/>
    <cellStyle name="Título 1 5" xfId="5870"/>
    <cellStyle name="Título 1 6" xfId="5871"/>
    <cellStyle name="Título 1 7" xfId="5872"/>
    <cellStyle name="Título 1 8" xfId="5873"/>
    <cellStyle name="Título 1 9" xfId="5874"/>
    <cellStyle name="Título 10" xfId="5875"/>
    <cellStyle name="Título 11" xfId="5876"/>
    <cellStyle name="Título 12" xfId="5877"/>
    <cellStyle name="Título 13" xfId="5878"/>
    <cellStyle name="Título 14" xfId="5879"/>
    <cellStyle name="Título 15" xfId="5880"/>
    <cellStyle name="Título 16" xfId="5881"/>
    <cellStyle name="Título 17" xfId="5882"/>
    <cellStyle name="Título 18" xfId="5883"/>
    <cellStyle name="Título 19" xfId="5884"/>
    <cellStyle name="Título 2 10" xfId="5885"/>
    <cellStyle name="Título 2 11" xfId="5886"/>
    <cellStyle name="Título 2 12" xfId="5887"/>
    <cellStyle name="Título 2 13" xfId="5888"/>
    <cellStyle name="Título 2 14" xfId="5889"/>
    <cellStyle name="Título 2 15" xfId="5890"/>
    <cellStyle name="Título 2 16" xfId="5891"/>
    <cellStyle name="Título 2 17" xfId="5892"/>
    <cellStyle name="Título 2 18" xfId="5893"/>
    <cellStyle name="Título 2 19" xfId="5894"/>
    <cellStyle name="Título 2 2" xfId="5895"/>
    <cellStyle name="Título 2 2 2" xfId="5896"/>
    <cellStyle name="Título 2 2 3" xfId="5897"/>
    <cellStyle name="Título 2 2 4" xfId="5898"/>
    <cellStyle name="Título 2 2 5" xfId="5899"/>
    <cellStyle name="Título 2 2 6" xfId="5900"/>
    <cellStyle name="Título 2 20" xfId="5901"/>
    <cellStyle name="Título 2 21" xfId="5902"/>
    <cellStyle name="Título 2 22" xfId="5903"/>
    <cellStyle name="Título 2 23" xfId="5904"/>
    <cellStyle name="Título 2 24" xfId="5905"/>
    <cellStyle name="Título 2 25" xfId="5906"/>
    <cellStyle name="Título 2 26" xfId="5907"/>
    <cellStyle name="Título 2 27" xfId="5908"/>
    <cellStyle name="Título 2 28" xfId="5909"/>
    <cellStyle name="Título 2 29" xfId="5910"/>
    <cellStyle name="Título 2 3" xfId="5911"/>
    <cellStyle name="Título 2 30" xfId="5912"/>
    <cellStyle name="Título 2 31" xfId="5913"/>
    <cellStyle name="Título 2 32" xfId="5914"/>
    <cellStyle name="Título 2 33" xfId="5915"/>
    <cellStyle name="Título 2 34" xfId="5916"/>
    <cellStyle name="Título 2 35" xfId="5917"/>
    <cellStyle name="Título 2 36" xfId="5918"/>
    <cellStyle name="Título 2 37" xfId="5919"/>
    <cellStyle name="Título 2 4" xfId="5920"/>
    <cellStyle name="Título 2 5" xfId="5921"/>
    <cellStyle name="Título 2 6" xfId="5922"/>
    <cellStyle name="Título 2 7" xfId="5923"/>
    <cellStyle name="Título 2 8" xfId="5924"/>
    <cellStyle name="Título 2 9" xfId="5925"/>
    <cellStyle name="Título 20" xfId="5926"/>
    <cellStyle name="Título 21" xfId="5927"/>
    <cellStyle name="Título 22" xfId="5928"/>
    <cellStyle name="Título 23" xfId="5929"/>
    <cellStyle name="Título 24" xfId="5930"/>
    <cellStyle name="Título 25" xfId="5931"/>
    <cellStyle name="Título 26" xfId="5932"/>
    <cellStyle name="Título 27" xfId="5933"/>
    <cellStyle name="Título 28" xfId="5934"/>
    <cellStyle name="Título 29" xfId="5935"/>
    <cellStyle name="Título 3 10" xfId="5936"/>
    <cellStyle name="Título 3 11" xfId="5937"/>
    <cellStyle name="Título 3 12" xfId="5938"/>
    <cellStyle name="Título 3 13" xfId="5939"/>
    <cellStyle name="Título 3 14" xfId="5940"/>
    <cellStyle name="Título 3 15" xfId="5941"/>
    <cellStyle name="Título 3 16" xfId="5942"/>
    <cellStyle name="Título 3 17" xfId="5943"/>
    <cellStyle name="Título 3 18" xfId="5944"/>
    <cellStyle name="Título 3 19" xfId="5945"/>
    <cellStyle name="Título 3 2" xfId="5946"/>
    <cellStyle name="Título 3 2 2" xfId="5947"/>
    <cellStyle name="Título 3 2 3" xfId="5948"/>
    <cellStyle name="Título 3 2 4" xfId="5949"/>
    <cellStyle name="Título 3 2 5" xfId="5950"/>
    <cellStyle name="Título 3 2 6" xfId="5951"/>
    <cellStyle name="Título 3 20" xfId="5952"/>
    <cellStyle name="Título 3 21" xfId="5953"/>
    <cellStyle name="Título 3 22" xfId="5954"/>
    <cellStyle name="Título 3 23" xfId="5955"/>
    <cellStyle name="Título 3 24" xfId="5956"/>
    <cellStyle name="Título 3 25" xfId="5957"/>
    <cellStyle name="Título 3 26" xfId="5958"/>
    <cellStyle name="Título 3 27" xfId="5959"/>
    <cellStyle name="Título 3 28" xfId="5960"/>
    <cellStyle name="Título 3 29" xfId="5961"/>
    <cellStyle name="Título 3 3" xfId="5962"/>
    <cellStyle name="Título 3 30" xfId="5963"/>
    <cellStyle name="Título 3 31" xfId="5964"/>
    <cellStyle name="Título 3 32" xfId="5965"/>
    <cellStyle name="Título 3 33" xfId="5966"/>
    <cellStyle name="Título 3 34" xfId="5967"/>
    <cellStyle name="Título 3 35" xfId="5968"/>
    <cellStyle name="Título 3 4" xfId="5969"/>
    <cellStyle name="Título 3 5" xfId="5970"/>
    <cellStyle name="Título 3 6" xfId="5971"/>
    <cellStyle name="Título 3 7" xfId="5972"/>
    <cellStyle name="Título 3 8" xfId="5973"/>
    <cellStyle name="Título 3 9" xfId="5974"/>
    <cellStyle name="Título 30" xfId="5975"/>
    <cellStyle name="Título 31" xfId="5976"/>
    <cellStyle name="Título 32" xfId="5977"/>
    <cellStyle name="Título 33" xfId="5978"/>
    <cellStyle name="Título 34" xfId="5979"/>
    <cellStyle name="Título 35" xfId="5980"/>
    <cellStyle name="Título 36" xfId="5981"/>
    <cellStyle name="Título 37" xfId="5982"/>
    <cellStyle name="Título 4" xfId="5983"/>
    <cellStyle name="Título 4 2" xfId="5984"/>
    <cellStyle name="Título 4 3" xfId="5985"/>
    <cellStyle name="Título 4 4" xfId="5986"/>
    <cellStyle name="Título 4 5" xfId="5987"/>
    <cellStyle name="Título 4 6" xfId="5988"/>
    <cellStyle name="Título 5" xfId="5989"/>
    <cellStyle name="Título 6" xfId="5990"/>
    <cellStyle name="Título 7" xfId="5991"/>
    <cellStyle name="Título 8" xfId="5992"/>
    <cellStyle name="Título 9" xfId="5993"/>
    <cellStyle name="Total 10" xfId="5994"/>
    <cellStyle name="Total 11" xfId="5995"/>
    <cellStyle name="Total 12" xfId="5996"/>
    <cellStyle name="Total 13" xfId="5997"/>
    <cellStyle name="Total 14" xfId="5998"/>
    <cellStyle name="Total 15" xfId="5999"/>
    <cellStyle name="Total 16" xfId="6000"/>
    <cellStyle name="Total 17" xfId="6001"/>
    <cellStyle name="Total 18" xfId="6002"/>
    <cellStyle name="Total 19" xfId="6003"/>
    <cellStyle name="Total 2" xfId="6004"/>
    <cellStyle name="Total 2 2" xfId="6005"/>
    <cellStyle name="Total 2 3" xfId="6006"/>
    <cellStyle name="Total 2 4" xfId="6007"/>
    <cellStyle name="Total 2 5" xfId="6008"/>
    <cellStyle name="Total 2 6" xfId="6009"/>
    <cellStyle name="Total 20" xfId="6010"/>
    <cellStyle name="Total 21" xfId="6011"/>
    <cellStyle name="Total 22" xfId="6012"/>
    <cellStyle name="Total 23" xfId="6013"/>
    <cellStyle name="Total 24" xfId="6014"/>
    <cellStyle name="Total 25" xfId="6015"/>
    <cellStyle name="Total 26" xfId="6016"/>
    <cellStyle name="Total 27" xfId="6017"/>
    <cellStyle name="Total 28" xfId="6018"/>
    <cellStyle name="Total 29" xfId="6019"/>
    <cellStyle name="Total 3" xfId="6020"/>
    <cellStyle name="Total 30" xfId="6021"/>
    <cellStyle name="Total 31" xfId="6022"/>
    <cellStyle name="Total 32" xfId="6023"/>
    <cellStyle name="Total 33" xfId="6024"/>
    <cellStyle name="Total 34" xfId="6025"/>
    <cellStyle name="Total 35" xfId="6026"/>
    <cellStyle name="Total 36" xfId="6027"/>
    <cellStyle name="Total 37" xfId="6028"/>
    <cellStyle name="Total 4" xfId="6029"/>
    <cellStyle name="Total 5" xfId="6030"/>
    <cellStyle name="Total 6" xfId="6031"/>
    <cellStyle name="Total 7" xfId="6032"/>
    <cellStyle name="Total 8" xfId="6033"/>
    <cellStyle name="Total 9" xfId="6034"/>
    <cellStyle name="Warning Text" xfId="603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vid Martinez Jimenez" refreshedDate="42768.68008622685" createdVersion="4" refreshedVersion="4" minRefreshableVersion="3" recordCount="189">
  <cacheSource type="worksheet">
    <worksheetSource ref="M1:M1048576" sheet="Call Attempts"/>
  </cacheSource>
  <cacheFields count="1">
    <cacheField name="Entidad" numFmtId="0">
      <sharedItems containsBlank="1" count="48">
        <s v="ARROYOMOLINOS_4G"/>
        <s v="AZUQUECADEHENARES_3G"/>
        <s v="LEGANES_4G"/>
        <s v="BARCELONA_4G"/>
        <s v="BASAURI_3G"/>
        <s v="BASAURI_4G"/>
        <s v="BILBAO_4G"/>
        <s v="IGUALADA_4G"/>
        <s v="MANRESA_4G"/>
        <s v="MONTCADAIREIXAC_4G"/>
        <s v="PORTUGALETE_4G"/>
        <s v="SANTANDREUDELABARCA_3G"/>
        <s v="SESTAO_3G"/>
        <s v="ALCUDIA_4G"/>
        <s v="ALGEMESI_3G"/>
        <s v="CARTAGENA_4G"/>
        <s v="ELDA_3G"/>
        <s v="IBIZA_3G"/>
        <s v="IBIZA_4G"/>
        <s v="LAVALLDUIXO_4G"/>
        <s v="LAVILLAJOYOSA_4G"/>
        <s v="MANACOR_3G"/>
        <s v="MANACOR_4G"/>
        <s v="MALLORCA_3G"/>
        <s v="MALLORCA_4G"/>
        <s v="SANTAEULALIADELRIO_3G"/>
        <s v="SANTAEULALIADELRIO_4G"/>
        <s v="UTIEL_3G"/>
        <s v="ALMONTE_4G"/>
        <s v="PALMAS_3G"/>
        <s v="PALMAS_4G"/>
        <s v="LOSREALEJOS_3G"/>
        <s v="MOGAN_3G"/>
        <s v="MOGUER_3G"/>
        <s v="PAJARA_4G"/>
        <s v="PTOSANTAMARIA_3G"/>
        <s v="TENERIFE_4G"/>
        <s v="TIRAJANA_3G"/>
        <s v="TIRAJANA_4G"/>
        <s v="SANCRISTOBALDELALAGUNA_3G"/>
        <s v="SANTALUCIADETIRAJANA_4G"/>
        <s v="TIAS_3G"/>
        <s v="TIAS_4G"/>
        <s v="YAIZA_3G"/>
        <s v="YAIZA_4G"/>
        <s v="LANGREO_4G"/>
        <s v="LLANES_3G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9">
  <r>
    <x v="0"/>
  </r>
  <r>
    <x v="0"/>
  </r>
  <r>
    <x v="0"/>
  </r>
  <r>
    <x v="0"/>
  </r>
  <r>
    <x v="1"/>
  </r>
  <r>
    <x v="1"/>
  </r>
  <r>
    <x v="1"/>
  </r>
  <r>
    <x v="1"/>
  </r>
  <r>
    <x v="2"/>
  </r>
  <r>
    <x v="2"/>
  </r>
  <r>
    <x v="2"/>
  </r>
  <r>
    <x v="2"/>
  </r>
  <r>
    <x v="3"/>
  </r>
  <r>
    <x v="3"/>
  </r>
  <r>
    <x v="3"/>
  </r>
  <r>
    <x v="3"/>
  </r>
  <r>
    <x v="4"/>
  </r>
  <r>
    <x v="4"/>
  </r>
  <r>
    <x v="4"/>
  </r>
  <r>
    <x v="4"/>
  </r>
  <r>
    <x v="5"/>
  </r>
  <r>
    <x v="5"/>
  </r>
  <r>
    <x v="5"/>
  </r>
  <r>
    <x v="5"/>
  </r>
  <r>
    <x v="6"/>
  </r>
  <r>
    <x v="6"/>
  </r>
  <r>
    <x v="6"/>
  </r>
  <r>
    <x v="6"/>
  </r>
  <r>
    <x v="7"/>
  </r>
  <r>
    <x v="7"/>
  </r>
  <r>
    <x v="7"/>
  </r>
  <r>
    <x v="7"/>
  </r>
  <r>
    <x v="8"/>
  </r>
  <r>
    <x v="8"/>
  </r>
  <r>
    <x v="8"/>
  </r>
  <r>
    <x v="8"/>
  </r>
  <r>
    <x v="9"/>
  </r>
  <r>
    <x v="9"/>
  </r>
  <r>
    <x v="9"/>
  </r>
  <r>
    <x v="9"/>
  </r>
  <r>
    <x v="10"/>
  </r>
  <r>
    <x v="10"/>
  </r>
  <r>
    <x v="10"/>
  </r>
  <r>
    <x v="10"/>
  </r>
  <r>
    <x v="11"/>
  </r>
  <r>
    <x v="11"/>
  </r>
  <r>
    <x v="11"/>
  </r>
  <r>
    <x v="11"/>
  </r>
  <r>
    <x v="12"/>
  </r>
  <r>
    <x v="12"/>
  </r>
  <r>
    <x v="12"/>
  </r>
  <r>
    <x v="12"/>
  </r>
  <r>
    <x v="13"/>
  </r>
  <r>
    <x v="13"/>
  </r>
  <r>
    <x v="13"/>
  </r>
  <r>
    <x v="13"/>
  </r>
  <r>
    <x v="14"/>
  </r>
  <r>
    <x v="14"/>
  </r>
  <r>
    <x v="14"/>
  </r>
  <r>
    <x v="14"/>
  </r>
  <r>
    <x v="15"/>
  </r>
  <r>
    <x v="15"/>
  </r>
  <r>
    <x v="15"/>
  </r>
  <r>
    <x v="15"/>
  </r>
  <r>
    <x v="16"/>
  </r>
  <r>
    <x v="16"/>
  </r>
  <r>
    <x v="16"/>
  </r>
  <r>
    <x v="16"/>
  </r>
  <r>
    <x v="17"/>
  </r>
  <r>
    <x v="17"/>
  </r>
  <r>
    <x v="17"/>
  </r>
  <r>
    <x v="17"/>
  </r>
  <r>
    <x v="18"/>
  </r>
  <r>
    <x v="18"/>
  </r>
  <r>
    <x v="18"/>
  </r>
  <r>
    <x v="18"/>
  </r>
  <r>
    <x v="19"/>
  </r>
  <r>
    <x v="19"/>
  </r>
  <r>
    <x v="19"/>
  </r>
  <r>
    <x v="19"/>
  </r>
  <r>
    <x v="20"/>
  </r>
  <r>
    <x v="20"/>
  </r>
  <r>
    <x v="20"/>
  </r>
  <r>
    <x v="20"/>
  </r>
  <r>
    <x v="21"/>
  </r>
  <r>
    <x v="21"/>
  </r>
  <r>
    <x v="21"/>
  </r>
  <r>
    <x v="21"/>
  </r>
  <r>
    <x v="22"/>
  </r>
  <r>
    <x v="22"/>
  </r>
  <r>
    <x v="22"/>
  </r>
  <r>
    <x v="22"/>
  </r>
  <r>
    <x v="23"/>
  </r>
  <r>
    <x v="23"/>
  </r>
  <r>
    <x v="23"/>
  </r>
  <r>
    <x v="23"/>
  </r>
  <r>
    <x v="24"/>
  </r>
  <r>
    <x v="24"/>
  </r>
  <r>
    <x v="24"/>
  </r>
  <r>
    <x v="24"/>
  </r>
  <r>
    <x v="25"/>
  </r>
  <r>
    <x v="25"/>
  </r>
  <r>
    <x v="25"/>
  </r>
  <r>
    <x v="25"/>
  </r>
  <r>
    <x v="26"/>
  </r>
  <r>
    <x v="26"/>
  </r>
  <r>
    <x v="26"/>
  </r>
  <r>
    <x v="26"/>
  </r>
  <r>
    <x v="27"/>
  </r>
  <r>
    <x v="27"/>
  </r>
  <r>
    <x v="27"/>
  </r>
  <r>
    <x v="27"/>
  </r>
  <r>
    <x v="28"/>
  </r>
  <r>
    <x v="28"/>
  </r>
  <r>
    <x v="28"/>
  </r>
  <r>
    <x v="28"/>
  </r>
  <r>
    <x v="29"/>
  </r>
  <r>
    <x v="29"/>
  </r>
  <r>
    <x v="29"/>
  </r>
  <r>
    <x v="29"/>
  </r>
  <r>
    <x v="30"/>
  </r>
  <r>
    <x v="30"/>
  </r>
  <r>
    <x v="30"/>
  </r>
  <r>
    <x v="30"/>
  </r>
  <r>
    <x v="31"/>
  </r>
  <r>
    <x v="31"/>
  </r>
  <r>
    <x v="31"/>
  </r>
  <r>
    <x v="31"/>
  </r>
  <r>
    <x v="32"/>
  </r>
  <r>
    <x v="32"/>
  </r>
  <r>
    <x v="32"/>
  </r>
  <r>
    <x v="32"/>
  </r>
  <r>
    <x v="33"/>
  </r>
  <r>
    <x v="33"/>
  </r>
  <r>
    <x v="33"/>
  </r>
  <r>
    <x v="33"/>
  </r>
  <r>
    <x v="34"/>
  </r>
  <r>
    <x v="34"/>
  </r>
  <r>
    <x v="34"/>
  </r>
  <r>
    <x v="34"/>
  </r>
  <r>
    <x v="35"/>
  </r>
  <r>
    <x v="35"/>
  </r>
  <r>
    <x v="35"/>
  </r>
  <r>
    <x v="35"/>
  </r>
  <r>
    <x v="36"/>
  </r>
  <r>
    <x v="36"/>
  </r>
  <r>
    <x v="36"/>
  </r>
  <r>
    <x v="36"/>
  </r>
  <r>
    <x v="37"/>
  </r>
  <r>
    <x v="37"/>
  </r>
  <r>
    <x v="37"/>
  </r>
  <r>
    <x v="37"/>
  </r>
  <r>
    <x v="38"/>
  </r>
  <r>
    <x v="38"/>
  </r>
  <r>
    <x v="38"/>
  </r>
  <r>
    <x v="38"/>
  </r>
  <r>
    <x v="39"/>
  </r>
  <r>
    <x v="39"/>
  </r>
  <r>
    <x v="39"/>
  </r>
  <r>
    <x v="39"/>
  </r>
  <r>
    <x v="40"/>
  </r>
  <r>
    <x v="40"/>
  </r>
  <r>
    <x v="40"/>
  </r>
  <r>
    <x v="40"/>
  </r>
  <r>
    <x v="41"/>
  </r>
  <r>
    <x v="41"/>
  </r>
  <r>
    <x v="41"/>
  </r>
  <r>
    <x v="41"/>
  </r>
  <r>
    <x v="42"/>
  </r>
  <r>
    <x v="42"/>
  </r>
  <r>
    <x v="42"/>
  </r>
  <r>
    <x v="42"/>
  </r>
  <r>
    <x v="43"/>
  </r>
  <r>
    <x v="43"/>
  </r>
  <r>
    <x v="43"/>
  </r>
  <r>
    <x v="43"/>
  </r>
  <r>
    <x v="44"/>
  </r>
  <r>
    <x v="44"/>
  </r>
  <r>
    <x v="44"/>
  </r>
  <r>
    <x v="44"/>
  </r>
  <r>
    <x v="45"/>
  </r>
  <r>
    <x v="45"/>
  </r>
  <r>
    <x v="45"/>
  </r>
  <r>
    <x v="45"/>
  </r>
  <r>
    <x v="46"/>
  </r>
  <r>
    <x v="46"/>
  </r>
  <r>
    <x v="46"/>
  </r>
  <r>
    <x v="46"/>
  </r>
  <r>
    <x v="4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52" firstHeaderRow="1" firstDataRow="1" firstDataCol="1"/>
  <pivotFields count="1">
    <pivotField axis="axisRow" showAll="0">
      <items count="49">
        <item x="13"/>
        <item x="14"/>
        <item x="28"/>
        <item x="0"/>
        <item x="1"/>
        <item x="3"/>
        <item x="4"/>
        <item x="5"/>
        <item x="6"/>
        <item x="15"/>
        <item x="16"/>
        <item x="17"/>
        <item x="18"/>
        <item x="7"/>
        <item x="45"/>
        <item x="19"/>
        <item x="20"/>
        <item x="2"/>
        <item x="46"/>
        <item x="31"/>
        <item x="23"/>
        <item x="24"/>
        <item x="21"/>
        <item x="22"/>
        <item x="8"/>
        <item x="32"/>
        <item x="33"/>
        <item x="9"/>
        <item x="34"/>
        <item x="29"/>
        <item x="30"/>
        <item x="10"/>
        <item x="35"/>
        <item x="39"/>
        <item x="25"/>
        <item x="26"/>
        <item x="40"/>
        <item x="11"/>
        <item x="12"/>
        <item x="36"/>
        <item x="41"/>
        <item x="42"/>
        <item x="37"/>
        <item x="38"/>
        <item x="27"/>
        <item x="43"/>
        <item x="44"/>
        <item x="47"/>
        <item t="default"/>
      </items>
    </pivotField>
  </pivotFields>
  <rowFields count="1">
    <field x="0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M189"/>
  <sheetViews>
    <sheetView topLeftCell="D1" workbookViewId="0">
      <selection activeCell="N133" sqref="N133"/>
    </sheetView>
  </sheetViews>
  <sheetFormatPr baseColWidth="10" defaultRowHeight="15"/>
  <cols>
    <col min="1" max="1" width="12.85546875" bestFit="1" customWidth="1"/>
    <col min="2" max="2" width="18.28515625" bestFit="1" customWidth="1"/>
    <col min="3" max="3" width="28.42578125" bestFit="1" customWidth="1"/>
    <col min="4" max="4" width="26.5703125" bestFit="1" customWidth="1"/>
    <col min="5" max="5" width="16.42578125" bestFit="1" customWidth="1"/>
    <col min="6" max="6" width="15" customWidth="1"/>
    <col min="7" max="7" width="25.28515625" bestFit="1" customWidth="1"/>
    <col min="8" max="8" width="16.42578125" bestFit="1" customWidth="1"/>
    <col min="9" max="9" width="14.5703125" customWidth="1"/>
    <col min="11" max="11" width="13" style="5" bestFit="1" customWidth="1"/>
    <col min="13" max="13" width="20.28515625" bestFit="1" customWidth="1"/>
  </cols>
  <sheetData>
    <row r="1" spans="1:13">
      <c r="A1" t="s">
        <v>69</v>
      </c>
      <c r="B1" t="s">
        <v>0</v>
      </c>
      <c r="C1" t="s">
        <v>1</v>
      </c>
      <c r="D1" t="s">
        <v>754</v>
      </c>
      <c r="E1" t="s">
        <v>760</v>
      </c>
      <c r="F1" t="s">
        <v>45</v>
      </c>
      <c r="G1" t="s">
        <v>55</v>
      </c>
      <c r="H1" t="s">
        <v>759</v>
      </c>
      <c r="I1" t="s">
        <v>45</v>
      </c>
      <c r="J1" t="s">
        <v>72</v>
      </c>
      <c r="K1" s="5" t="s">
        <v>78</v>
      </c>
      <c r="L1" s="5" t="s">
        <v>757</v>
      </c>
      <c r="M1" t="s">
        <v>761</v>
      </c>
    </row>
    <row r="2" spans="1:13">
      <c r="A2" t="s">
        <v>70</v>
      </c>
      <c r="B2" t="s">
        <v>2</v>
      </c>
      <c r="C2" t="s">
        <v>28</v>
      </c>
      <c r="D2" t="str">
        <f>VLOOKUP(C2,Nomenclatura!A:B,2,FALSE)</f>
        <v>ARROYOMOLINOS</v>
      </c>
      <c r="E2">
        <v>85</v>
      </c>
      <c r="F2" t="s">
        <v>50</v>
      </c>
      <c r="G2" t="s">
        <v>66</v>
      </c>
      <c r="H2">
        <v>91</v>
      </c>
      <c r="I2" t="s">
        <v>50</v>
      </c>
      <c r="J2" t="str">
        <f>VLOOKUP(G2,Info_Zona!A:B,2,FALSE)</f>
        <v>Zona 1</v>
      </c>
      <c r="K2" s="5" t="s">
        <v>71</v>
      </c>
      <c r="L2">
        <v>85</v>
      </c>
      <c r="M2" t="str">
        <f>D2&amp;"_"&amp;A2</f>
        <v>ARROYOMOLINOS_4G</v>
      </c>
    </row>
    <row r="3" spans="1:13">
      <c r="A3" t="s">
        <v>70</v>
      </c>
      <c r="B3" t="s">
        <v>2</v>
      </c>
      <c r="C3" t="s">
        <v>28</v>
      </c>
      <c r="D3" t="str">
        <f>VLOOKUP(C3,Nomenclatura!A:B,2,FALSE)</f>
        <v>ARROYOMOLINOS</v>
      </c>
      <c r="E3">
        <v>85</v>
      </c>
      <c r="F3" t="s">
        <v>50</v>
      </c>
      <c r="G3" t="s">
        <v>66</v>
      </c>
      <c r="H3">
        <v>91</v>
      </c>
      <c r="I3" t="s">
        <v>50</v>
      </c>
      <c r="J3" t="str">
        <f>VLOOKUP(G3,Info_Zona!A:B,2,FALSE)</f>
        <v>Zona 1</v>
      </c>
      <c r="K3" s="5" t="s">
        <v>71</v>
      </c>
      <c r="L3">
        <v>85</v>
      </c>
      <c r="M3" t="str">
        <f t="shared" ref="M3:M66" si="0">D3&amp;"_"&amp;A3</f>
        <v>ARROYOMOLINOS_4G</v>
      </c>
    </row>
    <row r="4" spans="1:13">
      <c r="A4" t="s">
        <v>70</v>
      </c>
      <c r="B4" t="s">
        <v>2</v>
      </c>
      <c r="C4" t="s">
        <v>28</v>
      </c>
      <c r="D4" t="str">
        <f>VLOOKUP(C4,Nomenclatura!A:B,2,FALSE)</f>
        <v>ARROYOMOLINOS</v>
      </c>
      <c r="E4">
        <v>84</v>
      </c>
      <c r="F4" t="s">
        <v>50</v>
      </c>
      <c r="G4" t="s">
        <v>66</v>
      </c>
      <c r="H4">
        <v>91</v>
      </c>
      <c r="I4" t="s">
        <v>50</v>
      </c>
      <c r="J4" t="str">
        <f>VLOOKUP(G4,Info_Zona!A:B,2,FALSE)</f>
        <v>Zona 1</v>
      </c>
      <c r="K4" s="5" t="s">
        <v>71</v>
      </c>
      <c r="L4">
        <v>84</v>
      </c>
      <c r="M4" t="str">
        <f t="shared" si="0"/>
        <v>ARROYOMOLINOS_4G</v>
      </c>
    </row>
    <row r="5" spans="1:13">
      <c r="A5" t="s">
        <v>70</v>
      </c>
      <c r="B5" t="s">
        <v>2</v>
      </c>
      <c r="C5" t="s">
        <v>28</v>
      </c>
      <c r="D5" t="str">
        <f>VLOOKUP(C5,Nomenclatura!A:B,2,FALSE)</f>
        <v>ARROYOMOLINOS</v>
      </c>
      <c r="E5">
        <v>83</v>
      </c>
      <c r="F5" t="s">
        <v>50</v>
      </c>
      <c r="G5" t="s">
        <v>66</v>
      </c>
      <c r="H5">
        <v>88</v>
      </c>
      <c r="I5" t="s">
        <v>50</v>
      </c>
      <c r="J5" t="str">
        <f>VLOOKUP(G5,Info_Zona!A:B,2,FALSE)</f>
        <v>Zona 1</v>
      </c>
      <c r="K5" s="5" t="s">
        <v>71</v>
      </c>
      <c r="L5">
        <v>83</v>
      </c>
      <c r="M5" t="str">
        <f t="shared" si="0"/>
        <v>ARROYOMOLINOS_4G</v>
      </c>
    </row>
    <row r="6" spans="1:13">
      <c r="A6" t="s">
        <v>755</v>
      </c>
      <c r="B6" t="s">
        <v>2</v>
      </c>
      <c r="C6" t="s">
        <v>4</v>
      </c>
      <c r="D6" t="str">
        <f>VLOOKUP(C6,Nomenclatura!A:B,2,FALSE)</f>
        <v>AZUQUECADEHENARES</v>
      </c>
      <c r="E6">
        <v>62</v>
      </c>
      <c r="F6" t="s">
        <v>47</v>
      </c>
      <c r="G6" t="s">
        <v>57</v>
      </c>
      <c r="H6">
        <v>94</v>
      </c>
      <c r="I6" t="s">
        <v>47</v>
      </c>
      <c r="J6" t="str">
        <f>VLOOKUP(G6,Info_Zona!A:B,2,FALSE)</f>
        <v>Zona 1</v>
      </c>
      <c r="K6" s="5" t="s">
        <v>756</v>
      </c>
      <c r="L6">
        <v>62</v>
      </c>
      <c r="M6" t="str">
        <f t="shared" si="0"/>
        <v>AZUQUECADEHENARES_3G</v>
      </c>
    </row>
    <row r="7" spans="1:13">
      <c r="A7" t="s">
        <v>755</v>
      </c>
      <c r="B7" t="s">
        <v>2</v>
      </c>
      <c r="C7" t="s">
        <v>4</v>
      </c>
      <c r="D7" t="str">
        <f>VLOOKUP(C7,Nomenclatura!A:B,2,FALSE)</f>
        <v>AZUQUECADEHENARES</v>
      </c>
      <c r="E7">
        <v>64</v>
      </c>
      <c r="F7" t="s">
        <v>47</v>
      </c>
      <c r="G7" t="s">
        <v>57</v>
      </c>
      <c r="H7">
        <v>97</v>
      </c>
      <c r="I7" t="s">
        <v>47</v>
      </c>
      <c r="J7" t="str">
        <f>VLOOKUP(G7,Info_Zona!A:B,2,FALSE)</f>
        <v>Zona 1</v>
      </c>
      <c r="K7" s="5" t="s">
        <v>756</v>
      </c>
      <c r="L7">
        <v>64</v>
      </c>
      <c r="M7" t="str">
        <f t="shared" si="0"/>
        <v>AZUQUECADEHENARES_3G</v>
      </c>
    </row>
    <row r="8" spans="1:13">
      <c r="A8" t="s">
        <v>755</v>
      </c>
      <c r="B8" t="s">
        <v>2</v>
      </c>
      <c r="C8" t="s">
        <v>4</v>
      </c>
      <c r="D8" t="str">
        <f>VLOOKUP(C8,Nomenclatura!A:B,2,FALSE)</f>
        <v>AZUQUECADEHENARES</v>
      </c>
      <c r="E8">
        <v>63</v>
      </c>
      <c r="F8" t="s">
        <v>47</v>
      </c>
      <c r="G8" t="s">
        <v>57</v>
      </c>
      <c r="H8">
        <v>95</v>
      </c>
      <c r="I8" t="s">
        <v>47</v>
      </c>
      <c r="J8" t="str">
        <f>VLOOKUP(G8,Info_Zona!A:B,2,FALSE)</f>
        <v>Zona 1</v>
      </c>
      <c r="K8" s="5" t="s">
        <v>756</v>
      </c>
      <c r="L8">
        <v>63</v>
      </c>
      <c r="M8" t="str">
        <f t="shared" si="0"/>
        <v>AZUQUECADEHENARES_3G</v>
      </c>
    </row>
    <row r="9" spans="1:13">
      <c r="A9" t="s">
        <v>755</v>
      </c>
      <c r="B9" t="s">
        <v>2</v>
      </c>
      <c r="C9" t="s">
        <v>4</v>
      </c>
      <c r="D9" t="str">
        <f>VLOOKUP(C9,Nomenclatura!A:B,2,FALSE)</f>
        <v>AZUQUECADEHENARES</v>
      </c>
      <c r="E9">
        <v>65</v>
      </c>
      <c r="F9" t="s">
        <v>47</v>
      </c>
      <c r="G9" t="s">
        <v>57</v>
      </c>
      <c r="H9">
        <v>96</v>
      </c>
      <c r="I9" t="s">
        <v>47</v>
      </c>
      <c r="J9" t="str">
        <f>VLOOKUP(G9,Info_Zona!A:B,2,FALSE)</f>
        <v>Zona 1</v>
      </c>
      <c r="K9" s="5" t="s">
        <v>756</v>
      </c>
      <c r="L9">
        <v>65</v>
      </c>
      <c r="M9" t="str">
        <f t="shared" si="0"/>
        <v>AZUQUECADEHENARES_3G</v>
      </c>
    </row>
    <row r="10" spans="1:13">
      <c r="A10" t="s">
        <v>70</v>
      </c>
      <c r="B10" t="s">
        <v>2</v>
      </c>
      <c r="C10" t="s">
        <v>33</v>
      </c>
      <c r="D10" t="str">
        <f>VLOOKUP(C10,Nomenclatura!A:B,2,FALSE)</f>
        <v>LEGANES</v>
      </c>
      <c r="E10">
        <v>291</v>
      </c>
      <c r="F10" t="s">
        <v>46</v>
      </c>
      <c r="G10" t="s">
        <v>66</v>
      </c>
      <c r="H10">
        <v>291</v>
      </c>
      <c r="I10" t="s">
        <v>50</v>
      </c>
      <c r="J10" t="str">
        <f>VLOOKUP(G10,Info_Zona!A:B,2,FALSE)</f>
        <v>Zona 1</v>
      </c>
      <c r="K10" s="5" t="s">
        <v>71</v>
      </c>
      <c r="L10">
        <v>291</v>
      </c>
      <c r="M10" t="str">
        <f t="shared" si="0"/>
        <v>LEGANES_4G</v>
      </c>
    </row>
    <row r="11" spans="1:13">
      <c r="A11" t="s">
        <v>70</v>
      </c>
      <c r="B11" t="s">
        <v>2</v>
      </c>
      <c r="C11" t="s">
        <v>33</v>
      </c>
      <c r="D11" t="str">
        <f>VLOOKUP(C11,Nomenclatura!A:B,2,FALSE)</f>
        <v>LEGANES</v>
      </c>
      <c r="E11">
        <v>305</v>
      </c>
      <c r="F11" t="s">
        <v>46</v>
      </c>
      <c r="G11" t="s">
        <v>66</v>
      </c>
      <c r="H11">
        <v>305</v>
      </c>
      <c r="I11" t="s">
        <v>50</v>
      </c>
      <c r="J11" t="str">
        <f>VLOOKUP(G11,Info_Zona!A:B,2,FALSE)</f>
        <v>Zona 1</v>
      </c>
      <c r="K11" s="5" t="s">
        <v>71</v>
      </c>
      <c r="L11">
        <v>305</v>
      </c>
      <c r="M11" t="str">
        <f t="shared" si="0"/>
        <v>LEGANES_4G</v>
      </c>
    </row>
    <row r="12" spans="1:13">
      <c r="A12" t="s">
        <v>70</v>
      </c>
      <c r="B12" t="s">
        <v>2</v>
      </c>
      <c r="C12" t="s">
        <v>33</v>
      </c>
      <c r="D12" t="str">
        <f>VLOOKUP(C12,Nomenclatura!A:B,2,FALSE)</f>
        <v>LEGANES</v>
      </c>
      <c r="E12">
        <v>300</v>
      </c>
      <c r="F12" t="s">
        <v>46</v>
      </c>
      <c r="G12" t="s">
        <v>66</v>
      </c>
      <c r="H12">
        <v>300</v>
      </c>
      <c r="I12" t="s">
        <v>50</v>
      </c>
      <c r="J12" t="str">
        <f>VLOOKUP(G12,Info_Zona!A:B,2,FALSE)</f>
        <v>Zona 1</v>
      </c>
      <c r="K12" s="5" t="s">
        <v>71</v>
      </c>
      <c r="L12">
        <v>300</v>
      </c>
      <c r="M12" t="str">
        <f t="shared" si="0"/>
        <v>LEGANES_4G</v>
      </c>
    </row>
    <row r="13" spans="1:13">
      <c r="A13" t="s">
        <v>70</v>
      </c>
      <c r="B13" t="s">
        <v>2</v>
      </c>
      <c r="C13" t="s">
        <v>33</v>
      </c>
      <c r="D13" t="str">
        <f>VLOOKUP(C13,Nomenclatura!A:B,2,FALSE)</f>
        <v>LEGANES</v>
      </c>
      <c r="E13">
        <v>304</v>
      </c>
      <c r="F13" t="s">
        <v>46</v>
      </c>
      <c r="G13" t="s">
        <v>66</v>
      </c>
      <c r="H13">
        <v>303</v>
      </c>
      <c r="I13" t="s">
        <v>50</v>
      </c>
      <c r="J13" t="str">
        <f>VLOOKUP(G13,Info_Zona!A:B,2,FALSE)</f>
        <v>Zona 1</v>
      </c>
      <c r="K13" s="5" t="s">
        <v>71</v>
      </c>
      <c r="L13">
        <v>304</v>
      </c>
      <c r="M13" t="str">
        <f t="shared" si="0"/>
        <v>LEGANES_4G</v>
      </c>
    </row>
    <row r="14" spans="1:13">
      <c r="A14" t="s">
        <v>70</v>
      </c>
      <c r="B14" t="s">
        <v>39</v>
      </c>
      <c r="C14" t="s">
        <v>40</v>
      </c>
      <c r="D14" t="str">
        <f>VLOOKUP(C14,Nomenclatura!A:B,2,FALSE)</f>
        <v>BARCELONA</v>
      </c>
      <c r="E14">
        <v>1668</v>
      </c>
      <c r="F14" t="s">
        <v>54</v>
      </c>
      <c r="G14" t="s">
        <v>40</v>
      </c>
      <c r="H14">
        <v>1669</v>
      </c>
      <c r="I14" t="s">
        <v>54</v>
      </c>
      <c r="J14" t="str">
        <f>VLOOKUP(G14,Info_Zona!A:B,2,FALSE)</f>
        <v>Zona 2</v>
      </c>
      <c r="K14" s="5" t="s">
        <v>758</v>
      </c>
      <c r="L14">
        <v>1668</v>
      </c>
      <c r="M14" t="str">
        <f t="shared" si="0"/>
        <v>BARCELONA_4G</v>
      </c>
    </row>
    <row r="15" spans="1:13">
      <c r="A15" t="s">
        <v>70</v>
      </c>
      <c r="B15" t="s">
        <v>39</v>
      </c>
      <c r="C15" t="s">
        <v>40</v>
      </c>
      <c r="D15" t="str">
        <f>VLOOKUP(C15,Nomenclatura!A:B,2,FALSE)</f>
        <v>BARCELONA</v>
      </c>
      <c r="E15">
        <v>1661</v>
      </c>
      <c r="F15" t="s">
        <v>54</v>
      </c>
      <c r="G15" t="s">
        <v>40</v>
      </c>
      <c r="H15">
        <v>1662</v>
      </c>
      <c r="I15" t="s">
        <v>54</v>
      </c>
      <c r="J15" t="str">
        <f>VLOOKUP(G15,Info_Zona!A:B,2,FALSE)</f>
        <v>Zona 2</v>
      </c>
      <c r="K15" s="5" t="s">
        <v>758</v>
      </c>
      <c r="L15">
        <v>1661</v>
      </c>
      <c r="M15" t="str">
        <f t="shared" si="0"/>
        <v>BARCELONA_4G</v>
      </c>
    </row>
    <row r="16" spans="1:13">
      <c r="A16" t="s">
        <v>70</v>
      </c>
      <c r="B16" t="s">
        <v>39</v>
      </c>
      <c r="C16" t="s">
        <v>40</v>
      </c>
      <c r="D16" t="str">
        <f>VLOOKUP(C16,Nomenclatura!A:B,2,FALSE)</f>
        <v>BARCELONA</v>
      </c>
      <c r="E16">
        <v>1666</v>
      </c>
      <c r="F16" t="s">
        <v>54</v>
      </c>
      <c r="G16" t="s">
        <v>40</v>
      </c>
      <c r="H16">
        <v>1667</v>
      </c>
      <c r="I16" t="s">
        <v>54</v>
      </c>
      <c r="J16" t="str">
        <f>VLOOKUP(G16,Info_Zona!A:B,2,FALSE)</f>
        <v>Zona 2</v>
      </c>
      <c r="K16" s="5" t="s">
        <v>758</v>
      </c>
      <c r="L16">
        <v>1666</v>
      </c>
      <c r="M16" t="str">
        <f t="shared" si="0"/>
        <v>BARCELONA_4G</v>
      </c>
    </row>
    <row r="17" spans="1:13">
      <c r="A17" t="s">
        <v>70</v>
      </c>
      <c r="B17" t="s">
        <v>39</v>
      </c>
      <c r="C17" t="s">
        <v>40</v>
      </c>
      <c r="D17" t="str">
        <f>VLOOKUP(C17,Nomenclatura!A:B,2,FALSE)</f>
        <v>BARCELONA</v>
      </c>
      <c r="E17">
        <v>1654</v>
      </c>
      <c r="F17" t="s">
        <v>54</v>
      </c>
      <c r="G17" t="s">
        <v>40</v>
      </c>
      <c r="H17">
        <v>1655</v>
      </c>
      <c r="I17" t="s">
        <v>54</v>
      </c>
      <c r="J17" t="str">
        <f>VLOOKUP(G17,Info_Zona!A:B,2,FALSE)</f>
        <v>Zona 2</v>
      </c>
      <c r="K17" s="5" t="s">
        <v>758</v>
      </c>
      <c r="L17">
        <v>1654</v>
      </c>
      <c r="M17" t="str">
        <f t="shared" si="0"/>
        <v>BARCELONA_4G</v>
      </c>
    </row>
    <row r="18" spans="1:13">
      <c r="A18" t="s">
        <v>755</v>
      </c>
      <c r="B18" t="s">
        <v>2</v>
      </c>
      <c r="C18" t="s">
        <v>5</v>
      </c>
      <c r="D18" t="str">
        <f>VLOOKUP(C18,Nomenclatura!A:B,2,FALSE)</f>
        <v>BASAURI</v>
      </c>
      <c r="E18">
        <v>93</v>
      </c>
      <c r="F18" t="s">
        <v>48</v>
      </c>
      <c r="G18" t="s">
        <v>58</v>
      </c>
      <c r="H18">
        <v>87</v>
      </c>
      <c r="I18" t="s">
        <v>51</v>
      </c>
      <c r="J18" t="str">
        <f>VLOOKUP(G18,Info_Zona!A:B,2,FALSE)</f>
        <v>Zona 2</v>
      </c>
      <c r="K18" s="5" t="s">
        <v>756</v>
      </c>
      <c r="L18">
        <v>112</v>
      </c>
      <c r="M18" t="str">
        <f t="shared" si="0"/>
        <v>BASAURI_3G</v>
      </c>
    </row>
    <row r="19" spans="1:13">
      <c r="A19" t="s">
        <v>755</v>
      </c>
      <c r="B19" t="s">
        <v>2</v>
      </c>
      <c r="C19" t="s">
        <v>5</v>
      </c>
      <c r="D19" t="str">
        <f>VLOOKUP(C19,Nomenclatura!A:B,2,FALSE)</f>
        <v>BASAURI</v>
      </c>
      <c r="E19">
        <v>94</v>
      </c>
      <c r="F19" t="s">
        <v>48</v>
      </c>
      <c r="G19" t="s">
        <v>58</v>
      </c>
      <c r="H19">
        <v>93</v>
      </c>
      <c r="I19" t="s">
        <v>51</v>
      </c>
      <c r="J19" t="str">
        <f>VLOOKUP(G19,Info_Zona!A:B,2,FALSE)</f>
        <v>Zona 2</v>
      </c>
      <c r="K19" s="5" t="s">
        <v>756</v>
      </c>
      <c r="L19">
        <v>109</v>
      </c>
      <c r="M19" t="str">
        <f t="shared" si="0"/>
        <v>BASAURI_3G</v>
      </c>
    </row>
    <row r="20" spans="1:13">
      <c r="A20" t="s">
        <v>755</v>
      </c>
      <c r="B20" t="s">
        <v>2</v>
      </c>
      <c r="C20" t="s">
        <v>5</v>
      </c>
      <c r="D20" t="str">
        <f>VLOOKUP(C20,Nomenclatura!A:B,2,FALSE)</f>
        <v>BASAURI</v>
      </c>
      <c r="E20">
        <v>93</v>
      </c>
      <c r="F20" t="s">
        <v>48</v>
      </c>
      <c r="G20" t="s">
        <v>58</v>
      </c>
      <c r="H20">
        <v>87</v>
      </c>
      <c r="I20" t="s">
        <v>51</v>
      </c>
      <c r="J20" t="str">
        <f>VLOOKUP(G20,Info_Zona!A:B,2,FALSE)</f>
        <v>Zona 2</v>
      </c>
      <c r="K20" s="5" t="s">
        <v>756</v>
      </c>
      <c r="L20">
        <v>112</v>
      </c>
      <c r="M20" t="str">
        <f t="shared" si="0"/>
        <v>BASAURI_3G</v>
      </c>
    </row>
    <row r="21" spans="1:13">
      <c r="A21" t="s">
        <v>755</v>
      </c>
      <c r="B21" t="s">
        <v>2</v>
      </c>
      <c r="C21" t="s">
        <v>5</v>
      </c>
      <c r="D21" t="str">
        <f>VLOOKUP(C21,Nomenclatura!A:B,2,FALSE)</f>
        <v>BASAURI</v>
      </c>
      <c r="E21">
        <v>92</v>
      </c>
      <c r="F21" t="s">
        <v>48</v>
      </c>
      <c r="G21" t="s">
        <v>58</v>
      </c>
      <c r="H21">
        <v>91</v>
      </c>
      <c r="I21" t="s">
        <v>51</v>
      </c>
      <c r="J21" t="str">
        <f>VLOOKUP(G21,Info_Zona!A:B,2,FALSE)</f>
        <v>Zona 2</v>
      </c>
      <c r="K21" s="5" t="s">
        <v>756</v>
      </c>
      <c r="L21">
        <v>110</v>
      </c>
      <c r="M21" t="str">
        <f t="shared" si="0"/>
        <v>BASAURI_3G</v>
      </c>
    </row>
    <row r="22" spans="1:13">
      <c r="A22" t="s">
        <v>70</v>
      </c>
      <c r="B22" t="s">
        <v>2</v>
      </c>
      <c r="C22" t="s">
        <v>5</v>
      </c>
      <c r="D22" t="str">
        <f>VLOOKUP(C22,Nomenclatura!A:B,2,FALSE)</f>
        <v>BASAURI</v>
      </c>
      <c r="E22">
        <v>124</v>
      </c>
      <c r="F22" t="s">
        <v>48</v>
      </c>
      <c r="G22" t="s">
        <v>58</v>
      </c>
      <c r="H22">
        <v>69</v>
      </c>
      <c r="I22" t="s">
        <v>51</v>
      </c>
      <c r="J22" t="str">
        <f>VLOOKUP(G22,Info_Zona!A:B,2,FALSE)</f>
        <v>Zona 2</v>
      </c>
      <c r="K22" s="5" t="s">
        <v>756</v>
      </c>
      <c r="L22">
        <v>124</v>
      </c>
      <c r="M22" t="str">
        <f t="shared" si="0"/>
        <v>BASAURI_4G</v>
      </c>
    </row>
    <row r="23" spans="1:13">
      <c r="A23" t="s">
        <v>70</v>
      </c>
      <c r="B23" t="s">
        <v>2</v>
      </c>
      <c r="C23" t="s">
        <v>5</v>
      </c>
      <c r="D23" t="str">
        <f>VLOOKUP(C23,Nomenclatura!A:B,2,FALSE)</f>
        <v>BASAURI</v>
      </c>
      <c r="E23">
        <v>129</v>
      </c>
      <c r="F23" t="s">
        <v>48</v>
      </c>
      <c r="G23" t="s">
        <v>58</v>
      </c>
      <c r="H23">
        <v>73</v>
      </c>
      <c r="I23" t="s">
        <v>51</v>
      </c>
      <c r="J23" t="str">
        <f>VLOOKUP(G23,Info_Zona!A:B,2,FALSE)</f>
        <v>Zona 2</v>
      </c>
      <c r="K23" s="5" t="s">
        <v>756</v>
      </c>
      <c r="L23">
        <v>129</v>
      </c>
      <c r="M23" t="str">
        <f t="shared" si="0"/>
        <v>BASAURI_4G</v>
      </c>
    </row>
    <row r="24" spans="1:13">
      <c r="A24" t="s">
        <v>70</v>
      </c>
      <c r="B24" t="s">
        <v>2</v>
      </c>
      <c r="C24" t="s">
        <v>5</v>
      </c>
      <c r="D24" t="str">
        <f>VLOOKUP(C24,Nomenclatura!A:B,2,FALSE)</f>
        <v>BASAURI</v>
      </c>
      <c r="E24">
        <v>131</v>
      </c>
      <c r="F24" t="s">
        <v>48</v>
      </c>
      <c r="G24" t="s">
        <v>58</v>
      </c>
      <c r="H24">
        <v>68</v>
      </c>
      <c r="I24" t="s">
        <v>51</v>
      </c>
      <c r="J24" t="str">
        <f>VLOOKUP(G24,Info_Zona!A:B,2,FALSE)</f>
        <v>Zona 2</v>
      </c>
      <c r="K24" s="5" t="s">
        <v>756</v>
      </c>
      <c r="L24">
        <v>131</v>
      </c>
      <c r="M24" t="str">
        <f t="shared" si="0"/>
        <v>BASAURI_4G</v>
      </c>
    </row>
    <row r="25" spans="1:13">
      <c r="A25" t="s">
        <v>70</v>
      </c>
      <c r="B25" t="s">
        <v>2</v>
      </c>
      <c r="C25" t="s">
        <v>5</v>
      </c>
      <c r="D25" t="str">
        <f>VLOOKUP(C25,Nomenclatura!A:B,2,FALSE)</f>
        <v>BASAURI</v>
      </c>
      <c r="E25">
        <v>124</v>
      </c>
      <c r="F25" t="s">
        <v>48</v>
      </c>
      <c r="G25" t="s">
        <v>58</v>
      </c>
      <c r="H25">
        <v>71</v>
      </c>
      <c r="I25" t="s">
        <v>51</v>
      </c>
      <c r="J25" t="str">
        <f>VLOOKUP(G25,Info_Zona!A:B,2,FALSE)</f>
        <v>Zona 2</v>
      </c>
      <c r="K25" s="5" t="s">
        <v>756</v>
      </c>
      <c r="L25">
        <v>124</v>
      </c>
      <c r="M25" t="str">
        <f t="shared" si="0"/>
        <v>BASAURI_4G</v>
      </c>
    </row>
    <row r="26" spans="1:13">
      <c r="A26" t="s">
        <v>70</v>
      </c>
      <c r="B26" t="s">
        <v>39</v>
      </c>
      <c r="C26" t="s">
        <v>41</v>
      </c>
      <c r="D26" t="str">
        <f>VLOOKUP(C26,Nomenclatura!A:B,2,FALSE)</f>
        <v>BILBAO</v>
      </c>
      <c r="E26">
        <v>526</v>
      </c>
      <c r="F26" t="s">
        <v>53</v>
      </c>
      <c r="G26" t="s">
        <v>58</v>
      </c>
      <c r="H26">
        <v>523</v>
      </c>
      <c r="I26" t="s">
        <v>51</v>
      </c>
      <c r="J26" t="str">
        <f>VLOOKUP(G26,Info_Zona!A:B,2,FALSE)</f>
        <v>Zona 2</v>
      </c>
      <c r="K26" s="5" t="s">
        <v>71</v>
      </c>
      <c r="L26">
        <v>526</v>
      </c>
      <c r="M26" t="str">
        <f t="shared" si="0"/>
        <v>BILBAO_4G</v>
      </c>
    </row>
    <row r="27" spans="1:13">
      <c r="A27" t="s">
        <v>70</v>
      </c>
      <c r="B27" t="s">
        <v>39</v>
      </c>
      <c r="C27" t="s">
        <v>41</v>
      </c>
      <c r="D27" t="str">
        <f>VLOOKUP(C27,Nomenclatura!A:B,2,FALSE)</f>
        <v>BILBAO</v>
      </c>
      <c r="E27">
        <v>528</v>
      </c>
      <c r="F27" t="s">
        <v>53</v>
      </c>
      <c r="G27" t="s">
        <v>58</v>
      </c>
      <c r="H27">
        <v>525</v>
      </c>
      <c r="I27" t="s">
        <v>51</v>
      </c>
      <c r="J27" t="str">
        <f>VLOOKUP(G27,Info_Zona!A:B,2,FALSE)</f>
        <v>Zona 2</v>
      </c>
      <c r="K27" s="5" t="s">
        <v>71</v>
      </c>
      <c r="L27">
        <v>528</v>
      </c>
      <c r="M27" t="str">
        <f t="shared" si="0"/>
        <v>BILBAO_4G</v>
      </c>
    </row>
    <row r="28" spans="1:13">
      <c r="A28" t="s">
        <v>70</v>
      </c>
      <c r="B28" t="s">
        <v>39</v>
      </c>
      <c r="C28" t="s">
        <v>41</v>
      </c>
      <c r="D28" t="str">
        <f>VLOOKUP(C28,Nomenclatura!A:B,2,FALSE)</f>
        <v>BILBAO</v>
      </c>
      <c r="E28">
        <v>523</v>
      </c>
      <c r="F28" t="s">
        <v>53</v>
      </c>
      <c r="G28" t="s">
        <v>58</v>
      </c>
      <c r="H28">
        <v>520</v>
      </c>
      <c r="I28" t="s">
        <v>51</v>
      </c>
      <c r="J28" t="str">
        <f>VLOOKUP(G28,Info_Zona!A:B,2,FALSE)</f>
        <v>Zona 2</v>
      </c>
      <c r="K28" s="5" t="s">
        <v>71</v>
      </c>
      <c r="L28">
        <v>523</v>
      </c>
      <c r="M28" t="str">
        <f t="shared" si="0"/>
        <v>BILBAO_4G</v>
      </c>
    </row>
    <row r="29" spans="1:13">
      <c r="A29" t="s">
        <v>70</v>
      </c>
      <c r="B29" t="s">
        <v>39</v>
      </c>
      <c r="C29" t="s">
        <v>41</v>
      </c>
      <c r="D29" t="str">
        <f>VLOOKUP(C29,Nomenclatura!A:B,2,FALSE)</f>
        <v>BILBAO</v>
      </c>
      <c r="E29">
        <v>528</v>
      </c>
      <c r="F29" t="s">
        <v>53</v>
      </c>
      <c r="G29" t="s">
        <v>58</v>
      </c>
      <c r="H29">
        <v>525</v>
      </c>
      <c r="I29" t="s">
        <v>51</v>
      </c>
      <c r="J29" t="str">
        <f>VLOOKUP(G29,Info_Zona!A:B,2,FALSE)</f>
        <v>Zona 2</v>
      </c>
      <c r="K29" s="5" t="s">
        <v>71</v>
      </c>
      <c r="L29">
        <v>528</v>
      </c>
      <c r="M29" t="str">
        <f t="shared" si="0"/>
        <v>BILBAO_4G</v>
      </c>
    </row>
    <row r="30" spans="1:13">
      <c r="A30" t="s">
        <v>70</v>
      </c>
      <c r="B30" t="s">
        <v>2</v>
      </c>
      <c r="C30" t="s">
        <v>29</v>
      </c>
      <c r="D30" t="str">
        <f>VLOOKUP(C30,Nomenclatura!A:B,2,FALSE)</f>
        <v>IGUALADA</v>
      </c>
      <c r="E30">
        <v>94</v>
      </c>
      <c r="F30" t="s">
        <v>53</v>
      </c>
      <c r="G30" t="s">
        <v>40</v>
      </c>
      <c r="H30">
        <v>86</v>
      </c>
      <c r="I30" t="s">
        <v>53</v>
      </c>
      <c r="J30" t="str">
        <f>VLOOKUP(G30,Info_Zona!A:B,2,FALSE)</f>
        <v>Zona 2</v>
      </c>
      <c r="K30" s="5" t="s">
        <v>71</v>
      </c>
      <c r="L30">
        <v>94</v>
      </c>
      <c r="M30" t="str">
        <f t="shared" si="0"/>
        <v>IGUALADA_4G</v>
      </c>
    </row>
    <row r="31" spans="1:13">
      <c r="A31" t="s">
        <v>70</v>
      </c>
      <c r="B31" t="s">
        <v>2</v>
      </c>
      <c r="C31" t="s">
        <v>29</v>
      </c>
      <c r="D31" t="str">
        <f>VLOOKUP(C31,Nomenclatura!A:B,2,FALSE)</f>
        <v>IGUALADA</v>
      </c>
      <c r="E31">
        <v>94</v>
      </c>
      <c r="F31" t="s">
        <v>53</v>
      </c>
      <c r="G31" t="s">
        <v>40</v>
      </c>
      <c r="H31">
        <v>86</v>
      </c>
      <c r="I31" t="s">
        <v>53</v>
      </c>
      <c r="J31" t="str">
        <f>VLOOKUP(G31,Info_Zona!A:B,2,FALSE)</f>
        <v>Zona 2</v>
      </c>
      <c r="K31" s="5" t="s">
        <v>71</v>
      </c>
      <c r="L31">
        <v>94</v>
      </c>
      <c r="M31" t="str">
        <f t="shared" si="0"/>
        <v>IGUALADA_4G</v>
      </c>
    </row>
    <row r="32" spans="1:13">
      <c r="A32" t="s">
        <v>70</v>
      </c>
      <c r="B32" t="s">
        <v>2</v>
      </c>
      <c r="C32" t="s">
        <v>29</v>
      </c>
      <c r="D32" t="str">
        <f>VLOOKUP(C32,Nomenclatura!A:B,2,FALSE)</f>
        <v>IGUALADA</v>
      </c>
      <c r="E32">
        <v>86</v>
      </c>
      <c r="F32" t="s">
        <v>53</v>
      </c>
      <c r="G32" t="s">
        <v>40</v>
      </c>
      <c r="H32">
        <v>86</v>
      </c>
      <c r="I32" t="s">
        <v>53</v>
      </c>
      <c r="J32" t="str">
        <f>VLOOKUP(G32,Info_Zona!A:B,2,FALSE)</f>
        <v>Zona 2</v>
      </c>
      <c r="K32" s="5" t="s">
        <v>71</v>
      </c>
      <c r="L32">
        <v>86</v>
      </c>
      <c r="M32" t="str">
        <f t="shared" si="0"/>
        <v>IGUALADA_4G</v>
      </c>
    </row>
    <row r="33" spans="1:13">
      <c r="A33" t="s">
        <v>70</v>
      </c>
      <c r="B33" t="s">
        <v>2</v>
      </c>
      <c r="C33" t="s">
        <v>29</v>
      </c>
      <c r="D33" t="str">
        <f>VLOOKUP(C33,Nomenclatura!A:B,2,FALSE)</f>
        <v>IGUALADA</v>
      </c>
      <c r="E33">
        <v>87</v>
      </c>
      <c r="F33" t="s">
        <v>53</v>
      </c>
      <c r="G33" t="s">
        <v>40</v>
      </c>
      <c r="H33">
        <v>87</v>
      </c>
      <c r="I33" t="s">
        <v>53</v>
      </c>
      <c r="J33" t="str">
        <f>VLOOKUP(G33,Info_Zona!A:B,2,FALSE)</f>
        <v>Zona 2</v>
      </c>
      <c r="K33" s="5" t="s">
        <v>71</v>
      </c>
      <c r="L33">
        <v>87</v>
      </c>
      <c r="M33" t="str">
        <f t="shared" si="0"/>
        <v>IGUALADA_4G</v>
      </c>
    </row>
    <row r="34" spans="1:13">
      <c r="A34" t="s">
        <v>70</v>
      </c>
      <c r="B34" t="s">
        <v>2</v>
      </c>
      <c r="C34" t="s">
        <v>34</v>
      </c>
      <c r="D34" t="str">
        <f>VLOOKUP(C34,Nomenclatura!A:B,2,FALSE)</f>
        <v>MANRESA</v>
      </c>
      <c r="E34">
        <v>114</v>
      </c>
      <c r="F34" t="s">
        <v>53</v>
      </c>
      <c r="G34" t="s">
        <v>40</v>
      </c>
      <c r="H34">
        <v>121</v>
      </c>
      <c r="I34" t="s">
        <v>53</v>
      </c>
      <c r="J34" t="str">
        <f>VLOOKUP(G34,Info_Zona!A:B,2,FALSE)</f>
        <v>Zona 2</v>
      </c>
      <c r="K34" s="5" t="s">
        <v>71</v>
      </c>
      <c r="L34">
        <v>114</v>
      </c>
      <c r="M34" t="str">
        <f t="shared" si="0"/>
        <v>MANRESA_4G</v>
      </c>
    </row>
    <row r="35" spans="1:13">
      <c r="A35" t="s">
        <v>70</v>
      </c>
      <c r="B35" t="s">
        <v>2</v>
      </c>
      <c r="C35" t="s">
        <v>34</v>
      </c>
      <c r="D35" t="str">
        <f>VLOOKUP(C35,Nomenclatura!A:B,2,FALSE)</f>
        <v>MANRESA</v>
      </c>
      <c r="E35">
        <v>115</v>
      </c>
      <c r="F35" t="s">
        <v>53</v>
      </c>
      <c r="G35" t="s">
        <v>40</v>
      </c>
      <c r="H35">
        <v>120</v>
      </c>
      <c r="I35" t="s">
        <v>53</v>
      </c>
      <c r="J35" t="str">
        <f>VLOOKUP(G35,Info_Zona!A:B,2,FALSE)</f>
        <v>Zona 2</v>
      </c>
      <c r="K35" s="5" t="s">
        <v>71</v>
      </c>
      <c r="L35">
        <v>115</v>
      </c>
      <c r="M35" t="str">
        <f t="shared" si="0"/>
        <v>MANRESA_4G</v>
      </c>
    </row>
    <row r="36" spans="1:13">
      <c r="A36" t="s">
        <v>70</v>
      </c>
      <c r="B36" t="s">
        <v>2</v>
      </c>
      <c r="C36" t="s">
        <v>34</v>
      </c>
      <c r="D36" t="str">
        <f>VLOOKUP(C36,Nomenclatura!A:B,2,FALSE)</f>
        <v>MANRESA</v>
      </c>
      <c r="E36">
        <v>114</v>
      </c>
      <c r="F36" t="s">
        <v>53</v>
      </c>
      <c r="G36" t="s">
        <v>40</v>
      </c>
      <c r="H36">
        <v>121</v>
      </c>
      <c r="I36" t="s">
        <v>53</v>
      </c>
      <c r="J36" t="str">
        <f>VLOOKUP(G36,Info_Zona!A:B,2,FALSE)</f>
        <v>Zona 2</v>
      </c>
      <c r="K36" s="5" t="s">
        <v>71</v>
      </c>
      <c r="L36">
        <v>114</v>
      </c>
      <c r="M36" t="str">
        <f t="shared" si="0"/>
        <v>MANRESA_4G</v>
      </c>
    </row>
    <row r="37" spans="1:13">
      <c r="A37" t="s">
        <v>70</v>
      </c>
      <c r="B37" t="s">
        <v>2</v>
      </c>
      <c r="C37" t="s">
        <v>34</v>
      </c>
      <c r="D37" t="str">
        <f>VLOOKUP(C37,Nomenclatura!A:B,2,FALSE)</f>
        <v>MANRESA</v>
      </c>
      <c r="E37">
        <v>114</v>
      </c>
      <c r="F37" t="s">
        <v>53</v>
      </c>
      <c r="G37" t="s">
        <v>40</v>
      </c>
      <c r="H37">
        <v>120</v>
      </c>
      <c r="I37" t="s">
        <v>53</v>
      </c>
      <c r="J37" t="str">
        <f>VLOOKUP(G37,Info_Zona!A:B,2,FALSE)</f>
        <v>Zona 2</v>
      </c>
      <c r="K37" s="5" t="s">
        <v>71</v>
      </c>
      <c r="L37">
        <v>114</v>
      </c>
      <c r="M37" t="str">
        <f t="shared" si="0"/>
        <v>MANRESA_4G</v>
      </c>
    </row>
    <row r="38" spans="1:13">
      <c r="A38" t="s">
        <v>70</v>
      </c>
      <c r="B38" t="s">
        <v>2</v>
      </c>
      <c r="C38" t="s">
        <v>35</v>
      </c>
      <c r="D38" t="str">
        <f>VLOOKUP(C38,Nomenclatura!A:B,2,FALSE)</f>
        <v>MONTCADAIREIXAC</v>
      </c>
      <c r="E38">
        <v>88</v>
      </c>
      <c r="F38" t="s">
        <v>50</v>
      </c>
      <c r="G38" t="s">
        <v>40</v>
      </c>
      <c r="H38">
        <v>101</v>
      </c>
      <c r="I38" t="s">
        <v>50</v>
      </c>
      <c r="J38" t="str">
        <f>VLOOKUP(G38,Info_Zona!A:B,2,FALSE)</f>
        <v>Zona 2</v>
      </c>
      <c r="K38" s="5" t="s">
        <v>71</v>
      </c>
      <c r="L38">
        <v>88</v>
      </c>
      <c r="M38" t="str">
        <f t="shared" si="0"/>
        <v>MONTCADAIREIXAC_4G</v>
      </c>
    </row>
    <row r="39" spans="1:13">
      <c r="A39" t="s">
        <v>70</v>
      </c>
      <c r="B39" t="s">
        <v>2</v>
      </c>
      <c r="C39" t="s">
        <v>35</v>
      </c>
      <c r="D39" t="str">
        <f>VLOOKUP(C39,Nomenclatura!A:B,2,FALSE)</f>
        <v>MONTCADAIREIXAC</v>
      </c>
      <c r="E39">
        <v>88</v>
      </c>
      <c r="F39" t="s">
        <v>50</v>
      </c>
      <c r="G39" t="s">
        <v>40</v>
      </c>
      <c r="H39">
        <v>101</v>
      </c>
      <c r="I39" t="s">
        <v>50</v>
      </c>
      <c r="J39" t="str">
        <f>VLOOKUP(G39,Info_Zona!A:B,2,FALSE)</f>
        <v>Zona 2</v>
      </c>
      <c r="K39" s="5" t="s">
        <v>71</v>
      </c>
      <c r="L39">
        <v>88</v>
      </c>
      <c r="M39" t="str">
        <f t="shared" si="0"/>
        <v>MONTCADAIREIXAC_4G</v>
      </c>
    </row>
    <row r="40" spans="1:13">
      <c r="A40" t="s">
        <v>70</v>
      </c>
      <c r="B40" t="s">
        <v>2</v>
      </c>
      <c r="C40" t="s">
        <v>35</v>
      </c>
      <c r="D40" t="str">
        <f>VLOOKUP(C40,Nomenclatura!A:B,2,FALSE)</f>
        <v>MONTCADAIREIXAC</v>
      </c>
      <c r="E40">
        <v>88</v>
      </c>
      <c r="F40" t="s">
        <v>50</v>
      </c>
      <c r="G40" t="s">
        <v>40</v>
      </c>
      <c r="H40">
        <v>101</v>
      </c>
      <c r="I40" t="s">
        <v>50</v>
      </c>
      <c r="J40" t="str">
        <f>VLOOKUP(G40,Info_Zona!A:B,2,FALSE)</f>
        <v>Zona 2</v>
      </c>
      <c r="K40" s="5" t="s">
        <v>71</v>
      </c>
      <c r="L40">
        <v>88</v>
      </c>
      <c r="M40" t="str">
        <f t="shared" si="0"/>
        <v>MONTCADAIREIXAC_4G</v>
      </c>
    </row>
    <row r="41" spans="1:13">
      <c r="A41" t="s">
        <v>70</v>
      </c>
      <c r="B41" t="s">
        <v>2</v>
      </c>
      <c r="C41" t="s">
        <v>35</v>
      </c>
      <c r="D41" t="str">
        <f>VLOOKUP(C41,Nomenclatura!A:B,2,FALSE)</f>
        <v>MONTCADAIREIXAC</v>
      </c>
      <c r="E41">
        <v>87</v>
      </c>
      <c r="F41" t="s">
        <v>50</v>
      </c>
      <c r="G41" t="s">
        <v>40</v>
      </c>
      <c r="H41">
        <v>100</v>
      </c>
      <c r="I41" t="s">
        <v>50</v>
      </c>
      <c r="J41" t="str">
        <f>VLOOKUP(G41,Info_Zona!A:B,2,FALSE)</f>
        <v>Zona 2</v>
      </c>
      <c r="K41" s="5" t="s">
        <v>71</v>
      </c>
      <c r="L41">
        <v>87</v>
      </c>
      <c r="M41" t="str">
        <f t="shared" si="0"/>
        <v>MONTCADAIREIXAC_4G</v>
      </c>
    </row>
    <row r="42" spans="1:13">
      <c r="A42" t="s">
        <v>70</v>
      </c>
      <c r="B42" t="s">
        <v>2</v>
      </c>
      <c r="C42" t="s">
        <v>36</v>
      </c>
      <c r="D42" t="str">
        <f>VLOOKUP(C42,Nomenclatura!A:B,2,FALSE)</f>
        <v>PORTUGALETE</v>
      </c>
      <c r="E42">
        <v>84</v>
      </c>
      <c r="F42" t="s">
        <v>48</v>
      </c>
      <c r="G42" t="s">
        <v>58</v>
      </c>
      <c r="H42">
        <v>88</v>
      </c>
      <c r="I42" t="s">
        <v>48</v>
      </c>
      <c r="J42" t="str">
        <f>VLOOKUP(G42,Info_Zona!A:B,2,FALSE)</f>
        <v>Zona 2</v>
      </c>
      <c r="K42" s="5" t="s">
        <v>756</v>
      </c>
      <c r="L42">
        <v>84</v>
      </c>
      <c r="M42" t="str">
        <f t="shared" si="0"/>
        <v>PORTUGALETE_4G</v>
      </c>
    </row>
    <row r="43" spans="1:13">
      <c r="A43" t="s">
        <v>70</v>
      </c>
      <c r="B43" t="s">
        <v>2</v>
      </c>
      <c r="C43" t="s">
        <v>36</v>
      </c>
      <c r="D43" t="str">
        <f>VLOOKUP(C43,Nomenclatura!A:B,2,FALSE)</f>
        <v>PORTUGALETE</v>
      </c>
      <c r="E43">
        <v>87</v>
      </c>
      <c r="F43" t="s">
        <v>48</v>
      </c>
      <c r="G43" t="s">
        <v>58</v>
      </c>
      <c r="H43">
        <v>90</v>
      </c>
      <c r="I43" t="s">
        <v>48</v>
      </c>
      <c r="J43" t="str">
        <f>VLOOKUP(G43,Info_Zona!A:B,2,FALSE)</f>
        <v>Zona 2</v>
      </c>
      <c r="K43" s="5" t="s">
        <v>756</v>
      </c>
      <c r="L43">
        <v>87</v>
      </c>
      <c r="M43" t="str">
        <f t="shared" si="0"/>
        <v>PORTUGALETE_4G</v>
      </c>
    </row>
    <row r="44" spans="1:13">
      <c r="A44" t="s">
        <v>70</v>
      </c>
      <c r="B44" t="s">
        <v>2</v>
      </c>
      <c r="C44" t="s">
        <v>36</v>
      </c>
      <c r="D44" t="str">
        <f>VLOOKUP(C44,Nomenclatura!A:B,2,FALSE)</f>
        <v>PORTUGALETE</v>
      </c>
      <c r="E44">
        <v>87</v>
      </c>
      <c r="F44" t="s">
        <v>48</v>
      </c>
      <c r="G44" t="s">
        <v>58</v>
      </c>
      <c r="H44">
        <v>91</v>
      </c>
      <c r="I44" t="s">
        <v>48</v>
      </c>
      <c r="J44" t="str">
        <f>VLOOKUP(G44,Info_Zona!A:B,2,FALSE)</f>
        <v>Zona 2</v>
      </c>
      <c r="K44" s="5" t="s">
        <v>756</v>
      </c>
      <c r="L44">
        <v>87</v>
      </c>
      <c r="M44" t="str">
        <f t="shared" si="0"/>
        <v>PORTUGALETE_4G</v>
      </c>
    </row>
    <row r="45" spans="1:13">
      <c r="A45" t="s">
        <v>70</v>
      </c>
      <c r="B45" t="s">
        <v>2</v>
      </c>
      <c r="C45" t="s">
        <v>36</v>
      </c>
      <c r="D45" t="str">
        <f>VLOOKUP(C45,Nomenclatura!A:B,2,FALSE)</f>
        <v>PORTUGALETE</v>
      </c>
      <c r="E45">
        <v>85</v>
      </c>
      <c r="F45" t="s">
        <v>48</v>
      </c>
      <c r="G45" t="s">
        <v>58</v>
      </c>
      <c r="H45">
        <v>88</v>
      </c>
      <c r="I45" t="s">
        <v>48</v>
      </c>
      <c r="J45" t="str">
        <f>VLOOKUP(G45,Info_Zona!A:B,2,FALSE)</f>
        <v>Zona 2</v>
      </c>
      <c r="K45" s="5" t="s">
        <v>756</v>
      </c>
      <c r="L45">
        <v>85</v>
      </c>
      <c r="M45" t="str">
        <f t="shared" si="0"/>
        <v>PORTUGALETE_4G</v>
      </c>
    </row>
    <row r="46" spans="1:13">
      <c r="A46" t="s">
        <v>755</v>
      </c>
      <c r="B46" t="s">
        <v>2</v>
      </c>
      <c r="C46" t="s">
        <v>10</v>
      </c>
      <c r="D46" t="str">
        <f>VLOOKUP(C46,Nomenclatura!A:B,2,FALSE)</f>
        <v>SANTANDREUDELABARCA</v>
      </c>
      <c r="E46">
        <v>61</v>
      </c>
      <c r="F46" t="s">
        <v>50</v>
      </c>
      <c r="G46" t="s">
        <v>40</v>
      </c>
      <c r="H46">
        <v>75</v>
      </c>
      <c r="I46" t="s">
        <v>50</v>
      </c>
      <c r="J46" t="str">
        <f>VLOOKUP(G46,Info_Zona!A:B,2,FALSE)</f>
        <v>Zona 2</v>
      </c>
      <c r="K46" s="5" t="s">
        <v>71</v>
      </c>
      <c r="L46">
        <v>61</v>
      </c>
      <c r="M46" t="str">
        <f t="shared" si="0"/>
        <v>SANTANDREUDELABARCA_3G</v>
      </c>
    </row>
    <row r="47" spans="1:13">
      <c r="A47" t="s">
        <v>755</v>
      </c>
      <c r="B47" t="s">
        <v>2</v>
      </c>
      <c r="C47" t="s">
        <v>10</v>
      </c>
      <c r="D47" t="str">
        <f>VLOOKUP(C47,Nomenclatura!A:B,2,FALSE)</f>
        <v>SANTANDREUDELABARCA</v>
      </c>
      <c r="E47">
        <v>63</v>
      </c>
      <c r="F47" t="s">
        <v>50</v>
      </c>
      <c r="G47" t="s">
        <v>40</v>
      </c>
      <c r="H47">
        <v>75</v>
      </c>
      <c r="I47" t="s">
        <v>50</v>
      </c>
      <c r="J47" t="str">
        <f>VLOOKUP(G47,Info_Zona!A:B,2,FALSE)</f>
        <v>Zona 2</v>
      </c>
      <c r="K47" s="5" t="s">
        <v>71</v>
      </c>
      <c r="L47">
        <v>63</v>
      </c>
      <c r="M47" t="str">
        <f t="shared" si="0"/>
        <v>SANTANDREUDELABARCA_3G</v>
      </c>
    </row>
    <row r="48" spans="1:13">
      <c r="A48" t="s">
        <v>755</v>
      </c>
      <c r="B48" t="s">
        <v>2</v>
      </c>
      <c r="C48" t="s">
        <v>10</v>
      </c>
      <c r="D48" t="str">
        <f>VLOOKUP(C48,Nomenclatura!A:B,2,FALSE)</f>
        <v>SANTANDREUDELABARCA</v>
      </c>
      <c r="E48">
        <v>65</v>
      </c>
      <c r="F48" t="s">
        <v>50</v>
      </c>
      <c r="G48" t="s">
        <v>40</v>
      </c>
      <c r="H48">
        <v>75</v>
      </c>
      <c r="I48" t="s">
        <v>50</v>
      </c>
      <c r="J48" t="str">
        <f>VLOOKUP(G48,Info_Zona!A:B,2,FALSE)</f>
        <v>Zona 2</v>
      </c>
      <c r="K48" s="5" t="s">
        <v>71</v>
      </c>
      <c r="L48">
        <v>65</v>
      </c>
      <c r="M48" t="str">
        <f t="shared" si="0"/>
        <v>SANTANDREUDELABARCA_3G</v>
      </c>
    </row>
    <row r="49" spans="1:13">
      <c r="A49" t="s">
        <v>755</v>
      </c>
      <c r="B49" t="s">
        <v>2</v>
      </c>
      <c r="C49" t="s">
        <v>10</v>
      </c>
      <c r="D49" t="str">
        <f>VLOOKUP(C49,Nomenclatura!A:B,2,FALSE)</f>
        <v>SANTANDREUDELABARCA</v>
      </c>
      <c r="E49">
        <v>64</v>
      </c>
      <c r="F49" t="s">
        <v>50</v>
      </c>
      <c r="G49" t="s">
        <v>40</v>
      </c>
      <c r="H49">
        <v>75</v>
      </c>
      <c r="I49" t="s">
        <v>50</v>
      </c>
      <c r="J49" t="str">
        <f>VLOOKUP(G49,Info_Zona!A:B,2,FALSE)</f>
        <v>Zona 2</v>
      </c>
      <c r="K49" s="5" t="s">
        <v>71</v>
      </c>
      <c r="L49">
        <v>64</v>
      </c>
      <c r="M49" t="str">
        <f t="shared" si="0"/>
        <v>SANTANDREUDELABARCA_3G</v>
      </c>
    </row>
    <row r="50" spans="1:13">
      <c r="A50" t="s">
        <v>755</v>
      </c>
      <c r="B50" t="s">
        <v>2</v>
      </c>
      <c r="C50" t="s">
        <v>12</v>
      </c>
      <c r="D50" t="str">
        <f>VLOOKUP(C50,Nomenclatura!A:B,2,FALSE)</f>
        <v>SESTAO</v>
      </c>
      <c r="E50">
        <v>49</v>
      </c>
      <c r="F50" t="s">
        <v>48</v>
      </c>
      <c r="G50" t="s">
        <v>58</v>
      </c>
      <c r="H50">
        <v>51</v>
      </c>
      <c r="I50" t="s">
        <v>48</v>
      </c>
      <c r="J50" t="str">
        <f>VLOOKUP(G50,Info_Zona!A:B,2,FALSE)</f>
        <v>Zona 2</v>
      </c>
      <c r="K50" s="5" t="s">
        <v>756</v>
      </c>
      <c r="L50">
        <v>49</v>
      </c>
      <c r="M50" t="str">
        <f t="shared" si="0"/>
        <v>SESTAO_3G</v>
      </c>
    </row>
    <row r="51" spans="1:13">
      <c r="A51" t="s">
        <v>755</v>
      </c>
      <c r="B51" t="s">
        <v>2</v>
      </c>
      <c r="C51" t="s">
        <v>12</v>
      </c>
      <c r="D51" t="str">
        <f>VLOOKUP(C51,Nomenclatura!A:B,2,FALSE)</f>
        <v>SESTAO</v>
      </c>
      <c r="E51">
        <v>49</v>
      </c>
      <c r="F51" t="s">
        <v>48</v>
      </c>
      <c r="G51" t="s">
        <v>58</v>
      </c>
      <c r="H51">
        <v>51</v>
      </c>
      <c r="I51" t="s">
        <v>48</v>
      </c>
      <c r="J51" t="str">
        <f>VLOOKUP(G51,Info_Zona!A:B,2,FALSE)</f>
        <v>Zona 2</v>
      </c>
      <c r="K51" s="5" t="s">
        <v>756</v>
      </c>
      <c r="L51">
        <v>49</v>
      </c>
      <c r="M51" t="str">
        <f t="shared" si="0"/>
        <v>SESTAO_3G</v>
      </c>
    </row>
    <row r="52" spans="1:13">
      <c r="A52" t="s">
        <v>755</v>
      </c>
      <c r="B52" t="s">
        <v>2</v>
      </c>
      <c r="C52" t="s">
        <v>12</v>
      </c>
      <c r="D52" t="str">
        <f>VLOOKUP(C52,Nomenclatura!A:B,2,FALSE)</f>
        <v>SESTAO</v>
      </c>
      <c r="E52">
        <v>48</v>
      </c>
      <c r="F52" t="s">
        <v>48</v>
      </c>
      <c r="G52" t="s">
        <v>58</v>
      </c>
      <c r="H52">
        <v>50</v>
      </c>
      <c r="I52" t="s">
        <v>48</v>
      </c>
      <c r="J52" t="str">
        <f>VLOOKUP(G52,Info_Zona!A:B,2,FALSE)</f>
        <v>Zona 2</v>
      </c>
      <c r="K52" s="5" t="s">
        <v>756</v>
      </c>
      <c r="L52">
        <v>48</v>
      </c>
      <c r="M52" t="str">
        <f t="shared" si="0"/>
        <v>SESTAO_3G</v>
      </c>
    </row>
    <row r="53" spans="1:13">
      <c r="A53" t="s">
        <v>755</v>
      </c>
      <c r="B53" t="s">
        <v>2</v>
      </c>
      <c r="C53" t="s">
        <v>12</v>
      </c>
      <c r="D53" t="str">
        <f>VLOOKUP(C53,Nomenclatura!A:B,2,FALSE)</f>
        <v>SESTAO</v>
      </c>
      <c r="E53">
        <v>49</v>
      </c>
      <c r="F53" t="s">
        <v>48</v>
      </c>
      <c r="G53" t="s">
        <v>58</v>
      </c>
      <c r="H53">
        <v>51</v>
      </c>
      <c r="I53" t="s">
        <v>48</v>
      </c>
      <c r="J53" t="str">
        <f>VLOOKUP(G53,Info_Zona!A:B,2,FALSE)</f>
        <v>Zona 2</v>
      </c>
      <c r="K53" s="5" t="s">
        <v>756</v>
      </c>
      <c r="L53">
        <v>49</v>
      </c>
      <c r="M53" t="str">
        <f t="shared" si="0"/>
        <v>SESTAO_3G</v>
      </c>
    </row>
    <row r="54" spans="1:13">
      <c r="A54" t="s">
        <v>70</v>
      </c>
      <c r="B54" t="s">
        <v>2</v>
      </c>
      <c r="C54" t="s">
        <v>27</v>
      </c>
      <c r="D54" t="str">
        <f>VLOOKUP(C54,Nomenclatura!A:B,2,FALSE)</f>
        <v>ALCUDIA</v>
      </c>
      <c r="E54">
        <v>98</v>
      </c>
      <c r="F54" t="s">
        <v>51</v>
      </c>
      <c r="G54" t="s">
        <v>61</v>
      </c>
      <c r="H54">
        <v>59</v>
      </c>
      <c r="I54" t="s">
        <v>49</v>
      </c>
      <c r="J54" t="str">
        <f>VLOOKUP(G54,Info_Zona!A:B,2,FALSE)</f>
        <v>Zona 3</v>
      </c>
      <c r="K54" s="5" t="s">
        <v>71</v>
      </c>
      <c r="L54">
        <v>98</v>
      </c>
      <c r="M54" t="str">
        <f t="shared" si="0"/>
        <v>ALCUDIA_4G</v>
      </c>
    </row>
    <row r="55" spans="1:13">
      <c r="A55" t="s">
        <v>70</v>
      </c>
      <c r="B55" t="s">
        <v>2</v>
      </c>
      <c r="C55" t="s">
        <v>27</v>
      </c>
      <c r="D55" t="str">
        <f>VLOOKUP(C55,Nomenclatura!A:B,2,FALSE)</f>
        <v>ALCUDIA</v>
      </c>
      <c r="E55">
        <v>98</v>
      </c>
      <c r="F55" t="s">
        <v>51</v>
      </c>
      <c r="G55" t="s">
        <v>61</v>
      </c>
      <c r="H55">
        <v>59</v>
      </c>
      <c r="I55" t="s">
        <v>49</v>
      </c>
      <c r="J55" t="str">
        <f>VLOOKUP(G55,Info_Zona!A:B,2,FALSE)</f>
        <v>Zona 3</v>
      </c>
      <c r="K55" s="5" t="s">
        <v>71</v>
      </c>
      <c r="L55">
        <v>98</v>
      </c>
      <c r="M55" t="str">
        <f t="shared" si="0"/>
        <v>ALCUDIA_4G</v>
      </c>
    </row>
    <row r="56" spans="1:13">
      <c r="A56" t="s">
        <v>70</v>
      </c>
      <c r="B56" t="s">
        <v>2</v>
      </c>
      <c r="C56" t="s">
        <v>27</v>
      </c>
      <c r="D56" t="str">
        <f>VLOOKUP(C56,Nomenclatura!A:B,2,FALSE)</f>
        <v>ALCUDIA</v>
      </c>
      <c r="E56">
        <v>98</v>
      </c>
      <c r="F56" t="s">
        <v>51</v>
      </c>
      <c r="G56" t="s">
        <v>61</v>
      </c>
      <c r="H56">
        <v>59</v>
      </c>
      <c r="I56" t="s">
        <v>49</v>
      </c>
      <c r="J56" t="str">
        <f>VLOOKUP(G56,Info_Zona!A:B,2,FALSE)</f>
        <v>Zona 3</v>
      </c>
      <c r="K56" s="5" t="s">
        <v>71</v>
      </c>
      <c r="L56">
        <v>98</v>
      </c>
      <c r="M56" t="str">
        <f t="shared" si="0"/>
        <v>ALCUDIA_4G</v>
      </c>
    </row>
    <row r="57" spans="1:13">
      <c r="A57" t="s">
        <v>70</v>
      </c>
      <c r="B57" t="s">
        <v>2</v>
      </c>
      <c r="C57" t="s">
        <v>27</v>
      </c>
      <c r="D57" t="str">
        <f>VLOOKUP(C57,Nomenclatura!A:B,2,FALSE)</f>
        <v>ALCUDIA</v>
      </c>
      <c r="E57">
        <v>92</v>
      </c>
      <c r="F57" t="s">
        <v>51</v>
      </c>
      <c r="G57" t="s">
        <v>61</v>
      </c>
      <c r="H57">
        <v>53</v>
      </c>
      <c r="I57" t="s">
        <v>49</v>
      </c>
      <c r="J57" t="str">
        <f>VLOOKUP(G57,Info_Zona!A:B,2,FALSE)</f>
        <v>Zona 3</v>
      </c>
      <c r="K57" s="5" t="s">
        <v>71</v>
      </c>
      <c r="L57">
        <v>92</v>
      </c>
      <c r="M57" t="str">
        <f t="shared" si="0"/>
        <v>ALCUDIA_4G</v>
      </c>
    </row>
    <row r="58" spans="1:13">
      <c r="A58" t="s">
        <v>755</v>
      </c>
      <c r="B58" t="s">
        <v>2</v>
      </c>
      <c r="C58" t="s">
        <v>3</v>
      </c>
      <c r="D58" t="str">
        <f>VLOOKUP(C58,Nomenclatura!A:B,2,FALSE)</f>
        <v>ALGEMESI</v>
      </c>
      <c r="E58">
        <v>61</v>
      </c>
      <c r="F58" t="s">
        <v>46</v>
      </c>
      <c r="G58" t="s">
        <v>56</v>
      </c>
      <c r="H58">
        <v>60</v>
      </c>
      <c r="I58" t="s">
        <v>50</v>
      </c>
      <c r="J58" t="str">
        <f>VLOOKUP(G58,Info_Zona!A:B,2,FALSE)</f>
        <v>Zona 3</v>
      </c>
      <c r="K58" s="5" t="s">
        <v>71</v>
      </c>
      <c r="L58">
        <v>61</v>
      </c>
      <c r="M58" t="str">
        <f t="shared" si="0"/>
        <v>ALGEMESI_3G</v>
      </c>
    </row>
    <row r="59" spans="1:13">
      <c r="A59" t="s">
        <v>755</v>
      </c>
      <c r="B59" t="s">
        <v>2</v>
      </c>
      <c r="C59" t="s">
        <v>3</v>
      </c>
      <c r="D59" t="str">
        <f>VLOOKUP(C59,Nomenclatura!A:B,2,FALSE)</f>
        <v>ALGEMESI</v>
      </c>
      <c r="E59">
        <v>63</v>
      </c>
      <c r="F59" t="s">
        <v>46</v>
      </c>
      <c r="G59" t="s">
        <v>56</v>
      </c>
      <c r="H59">
        <v>62</v>
      </c>
      <c r="I59" t="s">
        <v>50</v>
      </c>
      <c r="J59" t="str">
        <f>VLOOKUP(G59,Info_Zona!A:B,2,FALSE)</f>
        <v>Zona 3</v>
      </c>
      <c r="K59" s="5" t="s">
        <v>71</v>
      </c>
      <c r="L59">
        <v>63</v>
      </c>
      <c r="M59" t="str">
        <f t="shared" si="0"/>
        <v>ALGEMESI_3G</v>
      </c>
    </row>
    <row r="60" spans="1:13">
      <c r="A60" t="s">
        <v>755</v>
      </c>
      <c r="B60" t="s">
        <v>2</v>
      </c>
      <c r="C60" t="s">
        <v>3</v>
      </c>
      <c r="D60" t="str">
        <f>VLOOKUP(C60,Nomenclatura!A:B,2,FALSE)</f>
        <v>ALGEMESI</v>
      </c>
      <c r="E60">
        <v>64</v>
      </c>
      <c r="F60" t="s">
        <v>46</v>
      </c>
      <c r="G60" t="s">
        <v>56</v>
      </c>
      <c r="H60">
        <v>62</v>
      </c>
      <c r="I60" t="s">
        <v>50</v>
      </c>
      <c r="J60" t="str">
        <f>VLOOKUP(G60,Info_Zona!A:B,2,FALSE)</f>
        <v>Zona 3</v>
      </c>
      <c r="K60" s="5" t="s">
        <v>71</v>
      </c>
      <c r="L60">
        <v>64</v>
      </c>
      <c r="M60" t="str">
        <f t="shared" si="0"/>
        <v>ALGEMESI_3G</v>
      </c>
    </row>
    <row r="61" spans="1:13">
      <c r="A61" t="s">
        <v>755</v>
      </c>
      <c r="B61" t="s">
        <v>2</v>
      </c>
      <c r="C61" t="s">
        <v>3</v>
      </c>
      <c r="D61" t="str">
        <f>VLOOKUP(C61,Nomenclatura!A:B,2,FALSE)</f>
        <v>ALGEMESI</v>
      </c>
      <c r="E61">
        <v>63</v>
      </c>
      <c r="F61" t="s">
        <v>46</v>
      </c>
      <c r="G61" t="s">
        <v>56</v>
      </c>
      <c r="H61">
        <v>62</v>
      </c>
      <c r="I61" t="s">
        <v>50</v>
      </c>
      <c r="J61" t="str">
        <f>VLOOKUP(G61,Info_Zona!A:B,2,FALSE)</f>
        <v>Zona 3</v>
      </c>
      <c r="K61" s="5" t="s">
        <v>71</v>
      </c>
      <c r="L61">
        <v>63</v>
      </c>
      <c r="M61" t="str">
        <f t="shared" si="0"/>
        <v>ALGEMESI_3G</v>
      </c>
    </row>
    <row r="62" spans="1:13">
      <c r="A62" t="s">
        <v>70</v>
      </c>
      <c r="B62" t="s">
        <v>16</v>
      </c>
      <c r="C62" t="s">
        <v>42</v>
      </c>
      <c r="D62" t="str">
        <f>VLOOKUP(C62,Nomenclatura!A:B,2,FALSE)</f>
        <v>CARTAGENA</v>
      </c>
      <c r="E62">
        <v>397</v>
      </c>
      <c r="F62" t="s">
        <v>53</v>
      </c>
      <c r="G62" t="s">
        <v>68</v>
      </c>
      <c r="H62">
        <v>397</v>
      </c>
      <c r="I62" t="s">
        <v>53</v>
      </c>
      <c r="J62" t="str">
        <f>VLOOKUP(G62,Info_Zona!A:B,2,FALSE)</f>
        <v>Zona 3</v>
      </c>
      <c r="K62" s="5" t="s">
        <v>71</v>
      </c>
      <c r="L62">
        <v>397</v>
      </c>
      <c r="M62" t="str">
        <f t="shared" si="0"/>
        <v>CARTAGENA_4G</v>
      </c>
    </row>
    <row r="63" spans="1:13">
      <c r="A63" t="s">
        <v>70</v>
      </c>
      <c r="B63" t="s">
        <v>16</v>
      </c>
      <c r="C63" t="s">
        <v>42</v>
      </c>
      <c r="D63" t="str">
        <f>VLOOKUP(C63,Nomenclatura!A:B,2,FALSE)</f>
        <v>CARTAGENA</v>
      </c>
      <c r="E63">
        <v>392</v>
      </c>
      <c r="F63" t="s">
        <v>53</v>
      </c>
      <c r="G63" t="s">
        <v>68</v>
      </c>
      <c r="H63">
        <v>393</v>
      </c>
      <c r="I63" t="s">
        <v>53</v>
      </c>
      <c r="J63" t="str">
        <f>VLOOKUP(G63,Info_Zona!A:B,2,FALSE)</f>
        <v>Zona 3</v>
      </c>
      <c r="K63" s="5" t="s">
        <v>71</v>
      </c>
      <c r="L63">
        <v>392</v>
      </c>
      <c r="M63" t="str">
        <f t="shared" si="0"/>
        <v>CARTAGENA_4G</v>
      </c>
    </row>
    <row r="64" spans="1:13">
      <c r="A64" t="s">
        <v>70</v>
      </c>
      <c r="B64" t="s">
        <v>16</v>
      </c>
      <c r="C64" t="s">
        <v>42</v>
      </c>
      <c r="D64" t="str">
        <f>VLOOKUP(C64,Nomenclatura!A:B,2,FALSE)</f>
        <v>CARTAGENA</v>
      </c>
      <c r="E64">
        <v>400</v>
      </c>
      <c r="F64" t="s">
        <v>53</v>
      </c>
      <c r="G64" t="s">
        <v>68</v>
      </c>
      <c r="H64">
        <v>400</v>
      </c>
      <c r="I64" t="s">
        <v>53</v>
      </c>
      <c r="J64" t="str">
        <f>VLOOKUP(G64,Info_Zona!A:B,2,FALSE)</f>
        <v>Zona 3</v>
      </c>
      <c r="K64" s="5" t="s">
        <v>71</v>
      </c>
      <c r="L64">
        <v>400</v>
      </c>
      <c r="M64" t="str">
        <f t="shared" si="0"/>
        <v>CARTAGENA_4G</v>
      </c>
    </row>
    <row r="65" spans="1:13">
      <c r="A65" t="s">
        <v>70</v>
      </c>
      <c r="B65" t="s">
        <v>16</v>
      </c>
      <c r="C65" t="s">
        <v>42</v>
      </c>
      <c r="D65" t="str">
        <f>VLOOKUP(C65,Nomenclatura!A:B,2,FALSE)</f>
        <v>CARTAGENA</v>
      </c>
      <c r="E65">
        <v>395</v>
      </c>
      <c r="F65" t="s">
        <v>53</v>
      </c>
      <c r="G65" t="s">
        <v>68</v>
      </c>
      <c r="H65">
        <v>395</v>
      </c>
      <c r="I65" t="s">
        <v>53</v>
      </c>
      <c r="J65" t="str">
        <f>VLOOKUP(G65,Info_Zona!A:B,2,FALSE)</f>
        <v>Zona 3</v>
      </c>
      <c r="K65" s="5" t="s">
        <v>71</v>
      </c>
      <c r="L65">
        <v>395</v>
      </c>
      <c r="M65" t="str">
        <f t="shared" si="0"/>
        <v>CARTAGENA_4G</v>
      </c>
    </row>
    <row r="66" spans="1:13">
      <c r="A66" t="s">
        <v>755</v>
      </c>
      <c r="B66" t="s">
        <v>2</v>
      </c>
      <c r="C66" t="s">
        <v>6</v>
      </c>
      <c r="D66" t="str">
        <f>VLOOKUP(C66,Nomenclatura!A:B,2,FALSE)</f>
        <v>ELDA</v>
      </c>
      <c r="E66">
        <v>171</v>
      </c>
      <c r="F66" t="s">
        <v>46</v>
      </c>
      <c r="G66" t="s">
        <v>59</v>
      </c>
      <c r="H66">
        <v>170</v>
      </c>
      <c r="I66" t="s">
        <v>48</v>
      </c>
      <c r="J66" t="str">
        <f>VLOOKUP(G66,Info_Zona!A:B,2,FALSE)</f>
        <v>Zona 3</v>
      </c>
      <c r="K66" s="5" t="s">
        <v>71</v>
      </c>
      <c r="L66">
        <v>171</v>
      </c>
      <c r="M66" t="str">
        <f t="shared" si="0"/>
        <v>ELDA_3G</v>
      </c>
    </row>
    <row r="67" spans="1:13">
      <c r="A67" t="s">
        <v>755</v>
      </c>
      <c r="B67" t="s">
        <v>2</v>
      </c>
      <c r="C67" t="s">
        <v>6</v>
      </c>
      <c r="D67" t="str">
        <f>VLOOKUP(C67,Nomenclatura!A:B,2,FALSE)</f>
        <v>ELDA</v>
      </c>
      <c r="E67">
        <v>171</v>
      </c>
      <c r="F67" t="s">
        <v>46</v>
      </c>
      <c r="G67" t="s">
        <v>59</v>
      </c>
      <c r="H67">
        <v>171</v>
      </c>
      <c r="I67" t="s">
        <v>48</v>
      </c>
      <c r="J67" t="str">
        <f>VLOOKUP(G67,Info_Zona!A:B,2,FALSE)</f>
        <v>Zona 3</v>
      </c>
      <c r="K67" s="5" t="s">
        <v>71</v>
      </c>
      <c r="L67">
        <v>171</v>
      </c>
      <c r="M67" t="str">
        <f t="shared" ref="M67:M130" si="1">D67&amp;"_"&amp;A67</f>
        <v>ELDA_3G</v>
      </c>
    </row>
    <row r="68" spans="1:13">
      <c r="A68" t="s">
        <v>755</v>
      </c>
      <c r="B68" t="s">
        <v>2</v>
      </c>
      <c r="C68" t="s">
        <v>6</v>
      </c>
      <c r="D68" t="str">
        <f>VLOOKUP(C68,Nomenclatura!A:B,2,FALSE)</f>
        <v>ELDA</v>
      </c>
      <c r="E68">
        <v>169</v>
      </c>
      <c r="F68" t="s">
        <v>46</v>
      </c>
      <c r="G68" t="s">
        <v>59</v>
      </c>
      <c r="H68">
        <v>168</v>
      </c>
      <c r="I68" t="s">
        <v>48</v>
      </c>
      <c r="J68" t="str">
        <f>VLOOKUP(G68,Info_Zona!A:B,2,FALSE)</f>
        <v>Zona 3</v>
      </c>
      <c r="K68" s="5" t="s">
        <v>71</v>
      </c>
      <c r="L68">
        <v>169</v>
      </c>
      <c r="M68" t="str">
        <f t="shared" si="1"/>
        <v>ELDA_3G</v>
      </c>
    </row>
    <row r="69" spans="1:13">
      <c r="A69" t="s">
        <v>755</v>
      </c>
      <c r="B69" t="s">
        <v>2</v>
      </c>
      <c r="C69" t="s">
        <v>6</v>
      </c>
      <c r="D69" t="str">
        <f>VLOOKUP(C69,Nomenclatura!A:B,2,FALSE)</f>
        <v>ELDA</v>
      </c>
      <c r="E69">
        <v>170</v>
      </c>
      <c r="F69" t="s">
        <v>46</v>
      </c>
      <c r="G69" t="s">
        <v>59</v>
      </c>
      <c r="H69">
        <v>170</v>
      </c>
      <c r="I69" t="s">
        <v>48</v>
      </c>
      <c r="J69" t="str">
        <f>VLOOKUP(G69,Info_Zona!A:B,2,FALSE)</f>
        <v>Zona 3</v>
      </c>
      <c r="K69" s="5" t="s">
        <v>71</v>
      </c>
      <c r="L69">
        <v>170</v>
      </c>
      <c r="M69" t="str">
        <f t="shared" si="1"/>
        <v>ELDA_3G</v>
      </c>
    </row>
    <row r="70" spans="1:13">
      <c r="A70" t="s">
        <v>755</v>
      </c>
      <c r="B70" t="s">
        <v>19</v>
      </c>
      <c r="C70" t="s">
        <v>20</v>
      </c>
      <c r="D70" t="str">
        <f>VLOOKUP(C70,Nomenclatura!A:B,2,FALSE)</f>
        <v>IBIZA</v>
      </c>
      <c r="E70">
        <v>239</v>
      </c>
      <c r="F70" t="s">
        <v>51</v>
      </c>
      <c r="G70" t="s">
        <v>61</v>
      </c>
      <c r="H70">
        <v>126</v>
      </c>
      <c r="I70" t="s">
        <v>52</v>
      </c>
      <c r="J70" t="str">
        <f>VLOOKUP(G70,Info_Zona!A:B,2,FALSE)</f>
        <v>Zona 3</v>
      </c>
      <c r="L70">
        <v>239</v>
      </c>
      <c r="M70" t="str">
        <f t="shared" si="1"/>
        <v>IBIZA_3G</v>
      </c>
    </row>
    <row r="71" spans="1:13">
      <c r="A71" t="s">
        <v>755</v>
      </c>
      <c r="B71" t="s">
        <v>19</v>
      </c>
      <c r="C71" t="s">
        <v>20</v>
      </c>
      <c r="D71" t="str">
        <f>VLOOKUP(C71,Nomenclatura!A:B,2,FALSE)</f>
        <v>IBIZA</v>
      </c>
      <c r="E71">
        <v>209</v>
      </c>
      <c r="F71" t="s">
        <v>51</v>
      </c>
      <c r="G71" t="s">
        <v>61</v>
      </c>
      <c r="H71">
        <v>113</v>
      </c>
      <c r="I71" t="s">
        <v>52</v>
      </c>
      <c r="J71" t="str">
        <f>VLOOKUP(G71,Info_Zona!A:B,2,FALSE)</f>
        <v>Zona 3</v>
      </c>
      <c r="L71">
        <v>209</v>
      </c>
      <c r="M71" t="str">
        <f t="shared" si="1"/>
        <v>IBIZA_3G</v>
      </c>
    </row>
    <row r="72" spans="1:13">
      <c r="A72" t="s">
        <v>755</v>
      </c>
      <c r="B72" t="s">
        <v>19</v>
      </c>
      <c r="C72" t="s">
        <v>20</v>
      </c>
      <c r="D72" t="str">
        <f>VLOOKUP(C72,Nomenclatura!A:B,2,FALSE)</f>
        <v>IBIZA</v>
      </c>
      <c r="E72">
        <v>224</v>
      </c>
      <c r="F72" t="s">
        <v>51</v>
      </c>
      <c r="G72" t="s">
        <v>61</v>
      </c>
      <c r="H72">
        <v>120</v>
      </c>
      <c r="I72" t="s">
        <v>52</v>
      </c>
      <c r="J72" t="str">
        <f>VLOOKUP(G72,Info_Zona!A:B,2,FALSE)</f>
        <v>Zona 3</v>
      </c>
      <c r="L72">
        <v>224</v>
      </c>
      <c r="M72" t="str">
        <f t="shared" si="1"/>
        <v>IBIZA_3G</v>
      </c>
    </row>
    <row r="73" spans="1:13">
      <c r="A73" t="s">
        <v>755</v>
      </c>
      <c r="B73" t="s">
        <v>19</v>
      </c>
      <c r="C73" t="s">
        <v>20</v>
      </c>
      <c r="D73" t="str">
        <f>VLOOKUP(C73,Nomenclatura!A:B,2,FALSE)</f>
        <v>IBIZA</v>
      </c>
      <c r="E73">
        <v>226</v>
      </c>
      <c r="F73" t="s">
        <v>51</v>
      </c>
      <c r="G73" t="s">
        <v>61</v>
      </c>
      <c r="H73">
        <v>119</v>
      </c>
      <c r="I73" t="s">
        <v>52</v>
      </c>
      <c r="J73" t="str">
        <f>VLOOKUP(G73,Info_Zona!A:B,2,FALSE)</f>
        <v>Zona 3</v>
      </c>
      <c r="L73">
        <v>226</v>
      </c>
      <c r="M73" t="str">
        <f t="shared" si="1"/>
        <v>IBIZA_3G</v>
      </c>
    </row>
    <row r="74" spans="1:13">
      <c r="A74" t="s">
        <v>70</v>
      </c>
      <c r="B74" t="s">
        <v>19</v>
      </c>
      <c r="C74" t="s">
        <v>20</v>
      </c>
      <c r="D74" t="str">
        <f>VLOOKUP(C74,Nomenclatura!A:B,2,FALSE)</f>
        <v>IBIZA</v>
      </c>
      <c r="E74">
        <v>279</v>
      </c>
      <c r="F74" t="s">
        <v>51</v>
      </c>
      <c r="G74" t="s">
        <v>61</v>
      </c>
      <c r="H74">
        <v>170</v>
      </c>
      <c r="I74" t="s">
        <v>52</v>
      </c>
      <c r="J74" t="str">
        <f>VLOOKUP(G74,Info_Zona!A:B,2,FALSE)</f>
        <v>Zona 3</v>
      </c>
      <c r="L74">
        <v>279</v>
      </c>
      <c r="M74" t="str">
        <f t="shared" si="1"/>
        <v>IBIZA_4G</v>
      </c>
    </row>
    <row r="75" spans="1:13">
      <c r="A75" t="s">
        <v>70</v>
      </c>
      <c r="B75" t="s">
        <v>19</v>
      </c>
      <c r="C75" t="s">
        <v>20</v>
      </c>
      <c r="D75" t="str">
        <f>VLOOKUP(C75,Nomenclatura!A:B,2,FALSE)</f>
        <v>IBIZA</v>
      </c>
      <c r="E75">
        <v>274</v>
      </c>
      <c r="F75" t="s">
        <v>51</v>
      </c>
      <c r="G75" t="s">
        <v>61</v>
      </c>
      <c r="H75">
        <v>167</v>
      </c>
      <c r="I75" t="s">
        <v>52</v>
      </c>
      <c r="J75" t="str">
        <f>VLOOKUP(G75,Info_Zona!A:B,2,FALSE)</f>
        <v>Zona 3</v>
      </c>
      <c r="L75">
        <v>274</v>
      </c>
      <c r="M75" t="str">
        <f t="shared" si="1"/>
        <v>IBIZA_4G</v>
      </c>
    </row>
    <row r="76" spans="1:13">
      <c r="A76" t="s">
        <v>70</v>
      </c>
      <c r="B76" t="s">
        <v>19</v>
      </c>
      <c r="C76" t="s">
        <v>20</v>
      </c>
      <c r="D76" t="str">
        <f>VLOOKUP(C76,Nomenclatura!A:B,2,FALSE)</f>
        <v>IBIZA</v>
      </c>
      <c r="E76">
        <v>268</v>
      </c>
      <c r="F76" t="s">
        <v>51</v>
      </c>
      <c r="G76" t="s">
        <v>61</v>
      </c>
      <c r="H76">
        <v>163</v>
      </c>
      <c r="I76" t="s">
        <v>52</v>
      </c>
      <c r="J76" t="str">
        <f>VLOOKUP(G76,Info_Zona!A:B,2,FALSE)</f>
        <v>Zona 3</v>
      </c>
      <c r="L76">
        <v>268</v>
      </c>
      <c r="M76" t="str">
        <f t="shared" si="1"/>
        <v>IBIZA_4G</v>
      </c>
    </row>
    <row r="77" spans="1:13">
      <c r="A77" t="s">
        <v>70</v>
      </c>
      <c r="B77" t="s">
        <v>19</v>
      </c>
      <c r="C77" t="s">
        <v>20</v>
      </c>
      <c r="D77" t="str">
        <f>VLOOKUP(C77,Nomenclatura!A:B,2,FALSE)</f>
        <v>IBIZA</v>
      </c>
      <c r="E77">
        <v>265</v>
      </c>
      <c r="F77" t="s">
        <v>51</v>
      </c>
      <c r="G77" t="s">
        <v>61</v>
      </c>
      <c r="H77">
        <v>160</v>
      </c>
      <c r="I77" t="s">
        <v>52</v>
      </c>
      <c r="J77" t="str">
        <f>VLOOKUP(G77,Info_Zona!A:B,2,FALSE)</f>
        <v>Zona 3</v>
      </c>
      <c r="L77">
        <v>265</v>
      </c>
      <c r="M77" t="str">
        <f t="shared" si="1"/>
        <v>IBIZA_4G</v>
      </c>
    </row>
    <row r="78" spans="1:13">
      <c r="A78" t="s">
        <v>70</v>
      </c>
      <c r="B78" t="s">
        <v>2</v>
      </c>
      <c r="C78" t="s">
        <v>30</v>
      </c>
      <c r="D78" t="str">
        <f>VLOOKUP(C78,Nomenclatura!A:B,2,FALSE)</f>
        <v>LAVALLDUIXO</v>
      </c>
      <c r="E78">
        <v>164</v>
      </c>
      <c r="F78" t="s">
        <v>50</v>
      </c>
      <c r="G78" t="s">
        <v>67</v>
      </c>
      <c r="H78">
        <v>167</v>
      </c>
      <c r="I78" t="s">
        <v>50</v>
      </c>
      <c r="J78" t="str">
        <f>VLOOKUP(G78,Info_Zona!A:B,2,FALSE)</f>
        <v>Zona 3</v>
      </c>
      <c r="K78" s="5" t="s">
        <v>71</v>
      </c>
      <c r="L78">
        <v>164</v>
      </c>
      <c r="M78" t="str">
        <f t="shared" si="1"/>
        <v>LAVALLDUIXO_4G</v>
      </c>
    </row>
    <row r="79" spans="1:13">
      <c r="A79" t="s">
        <v>70</v>
      </c>
      <c r="B79" t="s">
        <v>2</v>
      </c>
      <c r="C79" t="s">
        <v>30</v>
      </c>
      <c r="D79" t="str">
        <f>VLOOKUP(C79,Nomenclatura!A:B,2,FALSE)</f>
        <v>LAVALLDUIXO</v>
      </c>
      <c r="E79">
        <v>159</v>
      </c>
      <c r="F79" t="s">
        <v>50</v>
      </c>
      <c r="G79" t="s">
        <v>67</v>
      </c>
      <c r="H79">
        <v>162</v>
      </c>
      <c r="I79" t="s">
        <v>50</v>
      </c>
      <c r="J79" t="str">
        <f>VLOOKUP(G79,Info_Zona!A:B,2,FALSE)</f>
        <v>Zona 3</v>
      </c>
      <c r="K79" s="5" t="s">
        <v>71</v>
      </c>
      <c r="L79">
        <v>159</v>
      </c>
      <c r="M79" t="str">
        <f t="shared" si="1"/>
        <v>LAVALLDUIXO_4G</v>
      </c>
    </row>
    <row r="80" spans="1:13">
      <c r="A80" t="s">
        <v>70</v>
      </c>
      <c r="B80" t="s">
        <v>2</v>
      </c>
      <c r="C80" t="s">
        <v>30</v>
      </c>
      <c r="D80" t="str">
        <f>VLOOKUP(C80,Nomenclatura!A:B,2,FALSE)</f>
        <v>LAVALLDUIXO</v>
      </c>
      <c r="E80">
        <v>162</v>
      </c>
      <c r="F80" t="s">
        <v>50</v>
      </c>
      <c r="G80" t="s">
        <v>67</v>
      </c>
      <c r="H80">
        <v>166</v>
      </c>
      <c r="I80" t="s">
        <v>50</v>
      </c>
      <c r="J80" t="str">
        <f>VLOOKUP(G80,Info_Zona!A:B,2,FALSE)</f>
        <v>Zona 3</v>
      </c>
      <c r="K80" s="5" t="s">
        <v>71</v>
      </c>
      <c r="L80">
        <v>162</v>
      </c>
      <c r="M80" t="str">
        <f t="shared" si="1"/>
        <v>LAVALLDUIXO_4G</v>
      </c>
    </row>
    <row r="81" spans="1:13">
      <c r="A81" t="s">
        <v>70</v>
      </c>
      <c r="B81" t="s">
        <v>2</v>
      </c>
      <c r="C81" t="s">
        <v>30</v>
      </c>
      <c r="D81" t="str">
        <f>VLOOKUP(C81,Nomenclatura!A:B,2,FALSE)</f>
        <v>LAVALLDUIXO</v>
      </c>
      <c r="E81">
        <v>160</v>
      </c>
      <c r="F81" t="s">
        <v>50</v>
      </c>
      <c r="G81" t="s">
        <v>67</v>
      </c>
      <c r="H81">
        <v>163</v>
      </c>
      <c r="I81" t="s">
        <v>50</v>
      </c>
      <c r="J81" t="str">
        <f>VLOOKUP(G81,Info_Zona!A:B,2,FALSE)</f>
        <v>Zona 3</v>
      </c>
      <c r="K81" s="5" t="s">
        <v>71</v>
      </c>
      <c r="L81">
        <v>160</v>
      </c>
      <c r="M81" t="str">
        <f t="shared" si="1"/>
        <v>LAVALLDUIXO_4G</v>
      </c>
    </row>
    <row r="82" spans="1:13">
      <c r="A82" t="s">
        <v>70</v>
      </c>
      <c r="B82" t="s">
        <v>2</v>
      </c>
      <c r="C82" t="s">
        <v>31</v>
      </c>
      <c r="D82" t="str">
        <f>VLOOKUP(C82,Nomenclatura!A:B,2,FALSE)</f>
        <v>LAVILLAJOYOSA</v>
      </c>
      <c r="E82">
        <v>56</v>
      </c>
      <c r="F82" t="s">
        <v>46</v>
      </c>
      <c r="G82" t="s">
        <v>59</v>
      </c>
      <c r="H82">
        <v>57</v>
      </c>
      <c r="I82" t="s">
        <v>46</v>
      </c>
      <c r="J82" t="str">
        <f>VLOOKUP(G82,Info_Zona!A:B,2,FALSE)</f>
        <v>Zona 3</v>
      </c>
      <c r="K82" s="5" t="s">
        <v>71</v>
      </c>
      <c r="L82">
        <v>56</v>
      </c>
      <c r="M82" t="str">
        <f t="shared" si="1"/>
        <v>LAVILLAJOYOSA_4G</v>
      </c>
    </row>
    <row r="83" spans="1:13">
      <c r="A83" t="s">
        <v>70</v>
      </c>
      <c r="B83" t="s">
        <v>2</v>
      </c>
      <c r="C83" t="s">
        <v>31</v>
      </c>
      <c r="D83" t="str">
        <f>VLOOKUP(C83,Nomenclatura!A:B,2,FALSE)</f>
        <v>LAVILLAJOYOSA</v>
      </c>
      <c r="E83">
        <v>56</v>
      </c>
      <c r="F83" t="s">
        <v>46</v>
      </c>
      <c r="G83" t="s">
        <v>59</v>
      </c>
      <c r="H83">
        <v>57</v>
      </c>
      <c r="I83" t="s">
        <v>46</v>
      </c>
      <c r="J83" t="str">
        <f>VLOOKUP(G83,Info_Zona!A:B,2,FALSE)</f>
        <v>Zona 3</v>
      </c>
      <c r="K83" s="5" t="s">
        <v>71</v>
      </c>
      <c r="L83">
        <v>56</v>
      </c>
      <c r="M83" t="str">
        <f t="shared" si="1"/>
        <v>LAVILLAJOYOSA_4G</v>
      </c>
    </row>
    <row r="84" spans="1:13">
      <c r="A84" t="s">
        <v>70</v>
      </c>
      <c r="B84" t="s">
        <v>2</v>
      </c>
      <c r="C84" t="s">
        <v>31</v>
      </c>
      <c r="D84" t="str">
        <f>VLOOKUP(C84,Nomenclatura!A:B,2,FALSE)</f>
        <v>LAVILLAJOYOSA</v>
      </c>
      <c r="E84">
        <v>56</v>
      </c>
      <c r="F84" t="s">
        <v>46</v>
      </c>
      <c r="G84" t="s">
        <v>59</v>
      </c>
      <c r="H84">
        <v>57</v>
      </c>
      <c r="I84" t="s">
        <v>46</v>
      </c>
      <c r="J84" t="str">
        <f>VLOOKUP(G84,Info_Zona!A:B,2,FALSE)</f>
        <v>Zona 3</v>
      </c>
      <c r="K84" s="5" t="s">
        <v>71</v>
      </c>
      <c r="L84">
        <v>56</v>
      </c>
      <c r="M84" t="str">
        <f t="shared" si="1"/>
        <v>LAVILLAJOYOSA_4G</v>
      </c>
    </row>
    <row r="85" spans="1:13">
      <c r="A85" t="s">
        <v>70</v>
      </c>
      <c r="B85" t="s">
        <v>2</v>
      </c>
      <c r="C85" t="s">
        <v>31</v>
      </c>
      <c r="D85" t="str">
        <f>VLOOKUP(C85,Nomenclatura!A:B,2,FALSE)</f>
        <v>LAVILLAJOYOSA</v>
      </c>
      <c r="E85">
        <v>56</v>
      </c>
      <c r="F85" t="s">
        <v>46</v>
      </c>
      <c r="G85" t="s">
        <v>59</v>
      </c>
      <c r="H85">
        <v>57</v>
      </c>
      <c r="I85" t="s">
        <v>46</v>
      </c>
      <c r="J85" t="str">
        <f>VLOOKUP(G85,Info_Zona!A:B,2,FALSE)</f>
        <v>Zona 3</v>
      </c>
      <c r="K85" s="5" t="s">
        <v>71</v>
      </c>
      <c r="L85">
        <v>56</v>
      </c>
      <c r="M85" t="str">
        <f t="shared" si="1"/>
        <v>LAVILLAJOYOSA_4G</v>
      </c>
    </row>
    <row r="86" spans="1:13">
      <c r="A86" t="s">
        <v>755</v>
      </c>
      <c r="B86" t="s">
        <v>2</v>
      </c>
      <c r="C86" t="s">
        <v>8</v>
      </c>
      <c r="D86" t="str">
        <f>VLOOKUP(C86,Nomenclatura!A:B,2,FALSE)</f>
        <v>MANACOR</v>
      </c>
      <c r="E86">
        <v>81</v>
      </c>
      <c r="F86" t="s">
        <v>51</v>
      </c>
      <c r="G86" t="s">
        <v>61</v>
      </c>
      <c r="H86">
        <v>43</v>
      </c>
      <c r="I86" t="s">
        <v>52</v>
      </c>
      <c r="J86" t="str">
        <f>VLOOKUP(G86,Info_Zona!A:B,2,FALSE)</f>
        <v>Zona 3</v>
      </c>
      <c r="K86" s="5" t="s">
        <v>71</v>
      </c>
      <c r="L86">
        <v>81</v>
      </c>
      <c r="M86" t="str">
        <f t="shared" si="1"/>
        <v>MANACOR_3G</v>
      </c>
    </row>
    <row r="87" spans="1:13">
      <c r="A87" t="s">
        <v>755</v>
      </c>
      <c r="B87" t="s">
        <v>2</v>
      </c>
      <c r="C87" t="s">
        <v>8</v>
      </c>
      <c r="D87" t="str">
        <f>VLOOKUP(C87,Nomenclatura!A:B,2,FALSE)</f>
        <v>MANACOR</v>
      </c>
      <c r="E87">
        <v>81</v>
      </c>
      <c r="F87" t="s">
        <v>51</v>
      </c>
      <c r="G87" t="s">
        <v>61</v>
      </c>
      <c r="H87">
        <v>43</v>
      </c>
      <c r="I87" t="s">
        <v>52</v>
      </c>
      <c r="J87" t="str">
        <f>VLOOKUP(G87,Info_Zona!A:B,2,FALSE)</f>
        <v>Zona 3</v>
      </c>
      <c r="K87" s="5" t="s">
        <v>71</v>
      </c>
      <c r="L87">
        <v>81</v>
      </c>
      <c r="M87" t="str">
        <f t="shared" si="1"/>
        <v>MANACOR_3G</v>
      </c>
    </row>
    <row r="88" spans="1:13">
      <c r="A88" t="s">
        <v>755</v>
      </c>
      <c r="B88" t="s">
        <v>2</v>
      </c>
      <c r="C88" t="s">
        <v>8</v>
      </c>
      <c r="D88" t="str">
        <f>VLOOKUP(C88,Nomenclatura!A:B,2,FALSE)</f>
        <v>MANACOR</v>
      </c>
      <c r="E88">
        <v>80</v>
      </c>
      <c r="F88" t="s">
        <v>51</v>
      </c>
      <c r="G88" t="s">
        <v>61</v>
      </c>
      <c r="H88">
        <v>41</v>
      </c>
      <c r="I88" t="s">
        <v>52</v>
      </c>
      <c r="J88" t="str">
        <f>VLOOKUP(G88,Info_Zona!A:B,2,FALSE)</f>
        <v>Zona 3</v>
      </c>
      <c r="K88" s="5" t="s">
        <v>71</v>
      </c>
      <c r="L88">
        <v>80</v>
      </c>
      <c r="M88" t="str">
        <f t="shared" si="1"/>
        <v>MANACOR_3G</v>
      </c>
    </row>
    <row r="89" spans="1:13">
      <c r="A89" t="s">
        <v>755</v>
      </c>
      <c r="B89" t="s">
        <v>2</v>
      </c>
      <c r="C89" t="s">
        <v>8</v>
      </c>
      <c r="D89" t="str">
        <f>VLOOKUP(C89,Nomenclatura!A:B,2,FALSE)</f>
        <v>MANACOR</v>
      </c>
      <c r="E89">
        <v>81</v>
      </c>
      <c r="F89" t="s">
        <v>51</v>
      </c>
      <c r="G89" t="s">
        <v>61</v>
      </c>
      <c r="H89">
        <v>43</v>
      </c>
      <c r="I89" t="s">
        <v>52</v>
      </c>
      <c r="J89" t="str">
        <f>VLOOKUP(G89,Info_Zona!A:B,2,FALSE)</f>
        <v>Zona 3</v>
      </c>
      <c r="K89" s="5" t="s">
        <v>71</v>
      </c>
      <c r="L89">
        <v>81</v>
      </c>
      <c r="M89" t="str">
        <f t="shared" si="1"/>
        <v>MANACOR_3G</v>
      </c>
    </row>
    <row r="90" spans="1:13">
      <c r="A90" t="s">
        <v>70</v>
      </c>
      <c r="B90" t="s">
        <v>2</v>
      </c>
      <c r="C90" t="s">
        <v>8</v>
      </c>
      <c r="D90" t="str">
        <f>VLOOKUP(C90,Nomenclatura!A:B,2,FALSE)</f>
        <v>MANACOR</v>
      </c>
      <c r="E90">
        <v>141</v>
      </c>
      <c r="F90" t="s">
        <v>51</v>
      </c>
      <c r="G90" t="s">
        <v>61</v>
      </c>
      <c r="H90">
        <v>39</v>
      </c>
      <c r="I90" t="s">
        <v>49</v>
      </c>
      <c r="J90" t="str">
        <f>VLOOKUP(G90,Info_Zona!A:B,2,FALSE)</f>
        <v>Zona 3</v>
      </c>
      <c r="K90" s="5" t="s">
        <v>71</v>
      </c>
      <c r="L90">
        <v>141</v>
      </c>
      <c r="M90" t="str">
        <f t="shared" si="1"/>
        <v>MANACOR_4G</v>
      </c>
    </row>
    <row r="91" spans="1:13">
      <c r="A91" t="s">
        <v>70</v>
      </c>
      <c r="B91" t="s">
        <v>2</v>
      </c>
      <c r="C91" t="s">
        <v>8</v>
      </c>
      <c r="D91" t="str">
        <f>VLOOKUP(C91,Nomenclatura!A:B,2,FALSE)</f>
        <v>MANACOR</v>
      </c>
      <c r="E91">
        <v>141</v>
      </c>
      <c r="F91" t="s">
        <v>51</v>
      </c>
      <c r="G91" t="s">
        <v>61</v>
      </c>
      <c r="H91">
        <v>39</v>
      </c>
      <c r="I91" t="s">
        <v>49</v>
      </c>
      <c r="J91" t="str">
        <f>VLOOKUP(G91,Info_Zona!A:B,2,FALSE)</f>
        <v>Zona 3</v>
      </c>
      <c r="K91" s="5" t="s">
        <v>71</v>
      </c>
      <c r="L91">
        <v>141</v>
      </c>
      <c r="M91" t="str">
        <f t="shared" si="1"/>
        <v>MANACOR_4G</v>
      </c>
    </row>
    <row r="92" spans="1:13">
      <c r="A92" t="s">
        <v>70</v>
      </c>
      <c r="B92" t="s">
        <v>2</v>
      </c>
      <c r="C92" t="s">
        <v>8</v>
      </c>
      <c r="D92" t="str">
        <f>VLOOKUP(C92,Nomenclatura!A:B,2,FALSE)</f>
        <v>MANACOR</v>
      </c>
      <c r="E92">
        <v>141</v>
      </c>
      <c r="F92" t="s">
        <v>51</v>
      </c>
      <c r="G92" t="s">
        <v>61</v>
      </c>
      <c r="H92">
        <v>39</v>
      </c>
      <c r="I92" t="s">
        <v>49</v>
      </c>
      <c r="J92" t="str">
        <f>VLOOKUP(G92,Info_Zona!A:B,2,FALSE)</f>
        <v>Zona 3</v>
      </c>
      <c r="K92" s="5" t="s">
        <v>71</v>
      </c>
      <c r="L92">
        <v>141</v>
      </c>
      <c r="M92" t="str">
        <f t="shared" si="1"/>
        <v>MANACOR_4G</v>
      </c>
    </row>
    <row r="93" spans="1:13">
      <c r="A93" t="s">
        <v>70</v>
      </c>
      <c r="B93" t="s">
        <v>2</v>
      </c>
      <c r="C93" t="s">
        <v>8</v>
      </c>
      <c r="D93" t="str">
        <f>VLOOKUP(C93,Nomenclatura!A:B,2,FALSE)</f>
        <v>MANACOR</v>
      </c>
      <c r="E93">
        <v>136</v>
      </c>
      <c r="F93" t="s">
        <v>51</v>
      </c>
      <c r="G93" t="s">
        <v>61</v>
      </c>
      <c r="H93">
        <v>39</v>
      </c>
      <c r="I93" t="s">
        <v>49</v>
      </c>
      <c r="J93" t="str">
        <f>VLOOKUP(G93,Info_Zona!A:B,2,FALSE)</f>
        <v>Zona 3</v>
      </c>
      <c r="K93" s="5" t="s">
        <v>71</v>
      </c>
      <c r="L93">
        <v>136</v>
      </c>
      <c r="M93" t="str">
        <f t="shared" si="1"/>
        <v>MANACOR_4G</v>
      </c>
    </row>
    <row r="94" spans="1:13">
      <c r="A94" t="s">
        <v>755</v>
      </c>
      <c r="B94" t="s">
        <v>16</v>
      </c>
      <c r="C94" t="s">
        <v>18</v>
      </c>
      <c r="D94" t="str">
        <f>VLOOKUP(C94,Nomenclatura!A:B,2,FALSE)</f>
        <v>MALLORCA</v>
      </c>
      <c r="E94">
        <v>513</v>
      </c>
      <c r="F94" t="s">
        <v>51</v>
      </c>
      <c r="G94" t="s">
        <v>61</v>
      </c>
      <c r="H94">
        <v>879</v>
      </c>
      <c r="I94" t="s">
        <v>52</v>
      </c>
      <c r="J94" t="str">
        <f>VLOOKUP(G94,Info_Zona!A:B,2,FALSE)</f>
        <v>Zona 3</v>
      </c>
      <c r="K94" s="5" t="s">
        <v>71</v>
      </c>
      <c r="L94">
        <v>513</v>
      </c>
      <c r="M94" t="str">
        <f t="shared" si="1"/>
        <v>MALLORCA_3G</v>
      </c>
    </row>
    <row r="95" spans="1:13">
      <c r="A95" t="s">
        <v>755</v>
      </c>
      <c r="B95" t="s">
        <v>16</v>
      </c>
      <c r="C95" t="s">
        <v>18</v>
      </c>
      <c r="D95" t="str">
        <f>VLOOKUP(C95,Nomenclatura!A:B,2,FALSE)</f>
        <v>MALLORCA</v>
      </c>
      <c r="E95">
        <v>498</v>
      </c>
      <c r="F95" t="s">
        <v>51</v>
      </c>
      <c r="G95" t="s">
        <v>61</v>
      </c>
      <c r="H95">
        <v>880</v>
      </c>
      <c r="I95" t="s">
        <v>52</v>
      </c>
      <c r="J95" t="str">
        <f>VLOOKUP(G95,Info_Zona!A:B,2,FALSE)</f>
        <v>Zona 3</v>
      </c>
      <c r="K95" s="5" t="s">
        <v>71</v>
      </c>
      <c r="L95">
        <v>498</v>
      </c>
      <c r="M95" t="str">
        <f t="shared" si="1"/>
        <v>MALLORCA_3G</v>
      </c>
    </row>
    <row r="96" spans="1:13">
      <c r="A96" t="s">
        <v>755</v>
      </c>
      <c r="B96" t="s">
        <v>16</v>
      </c>
      <c r="C96" t="s">
        <v>18</v>
      </c>
      <c r="D96" t="str">
        <f>VLOOKUP(C96,Nomenclatura!A:B,2,FALSE)</f>
        <v>MALLORCA</v>
      </c>
      <c r="E96">
        <v>513</v>
      </c>
      <c r="F96" t="s">
        <v>51</v>
      </c>
      <c r="G96" t="s">
        <v>61</v>
      </c>
      <c r="H96">
        <v>872</v>
      </c>
      <c r="I96" t="s">
        <v>52</v>
      </c>
      <c r="J96" t="str">
        <f>VLOOKUP(G96,Info_Zona!A:B,2,FALSE)</f>
        <v>Zona 3</v>
      </c>
      <c r="K96" s="5" t="s">
        <v>71</v>
      </c>
      <c r="L96">
        <v>513</v>
      </c>
      <c r="M96" t="str">
        <f t="shared" si="1"/>
        <v>MALLORCA_3G</v>
      </c>
    </row>
    <row r="97" spans="1:13">
      <c r="A97" t="s">
        <v>755</v>
      </c>
      <c r="B97" t="s">
        <v>16</v>
      </c>
      <c r="C97" t="s">
        <v>18</v>
      </c>
      <c r="D97" t="str">
        <f>VLOOKUP(C97,Nomenclatura!A:B,2,FALSE)</f>
        <v>MALLORCA</v>
      </c>
      <c r="E97">
        <v>513</v>
      </c>
      <c r="F97" t="s">
        <v>51</v>
      </c>
      <c r="G97" t="s">
        <v>61</v>
      </c>
      <c r="H97">
        <v>880</v>
      </c>
      <c r="I97" t="s">
        <v>52</v>
      </c>
      <c r="J97" t="str">
        <f>VLOOKUP(G97,Info_Zona!A:B,2,FALSE)</f>
        <v>Zona 3</v>
      </c>
      <c r="K97" s="5" t="s">
        <v>71</v>
      </c>
      <c r="L97">
        <v>513</v>
      </c>
      <c r="M97" t="str">
        <f t="shared" si="1"/>
        <v>MALLORCA_3G</v>
      </c>
    </row>
    <row r="98" spans="1:13">
      <c r="A98" t="s">
        <v>70</v>
      </c>
      <c r="B98" t="s">
        <v>16</v>
      </c>
      <c r="C98" t="s">
        <v>18</v>
      </c>
      <c r="D98" t="str">
        <f>VLOOKUP(C98,Nomenclatura!A:B,2,FALSE)</f>
        <v>MALLORCA</v>
      </c>
      <c r="E98">
        <v>493</v>
      </c>
      <c r="F98" t="s">
        <v>52</v>
      </c>
      <c r="G98" t="s">
        <v>61</v>
      </c>
      <c r="H98">
        <v>856</v>
      </c>
      <c r="I98" t="s">
        <v>52</v>
      </c>
      <c r="J98" t="str">
        <f>VLOOKUP(G98,Info_Zona!A:B,2,FALSE)</f>
        <v>Zona 3</v>
      </c>
      <c r="K98" s="5" t="s">
        <v>71</v>
      </c>
      <c r="L98">
        <v>493</v>
      </c>
      <c r="M98" t="str">
        <f t="shared" si="1"/>
        <v>MALLORCA_4G</v>
      </c>
    </row>
    <row r="99" spans="1:13">
      <c r="A99" t="s">
        <v>70</v>
      </c>
      <c r="B99" t="s">
        <v>16</v>
      </c>
      <c r="C99" t="s">
        <v>18</v>
      </c>
      <c r="D99" t="str">
        <f>VLOOKUP(C99,Nomenclatura!A:B,2,FALSE)</f>
        <v>MALLORCA</v>
      </c>
      <c r="E99">
        <v>492</v>
      </c>
      <c r="F99" t="s">
        <v>52</v>
      </c>
      <c r="G99" t="s">
        <v>61</v>
      </c>
      <c r="H99">
        <v>848</v>
      </c>
      <c r="I99" t="s">
        <v>52</v>
      </c>
      <c r="J99" t="str">
        <f>VLOOKUP(G99,Info_Zona!A:B,2,FALSE)</f>
        <v>Zona 3</v>
      </c>
      <c r="K99" s="5" t="s">
        <v>71</v>
      </c>
      <c r="L99">
        <v>492</v>
      </c>
      <c r="M99" t="str">
        <f t="shared" si="1"/>
        <v>MALLORCA_4G</v>
      </c>
    </row>
    <row r="100" spans="1:13">
      <c r="A100" t="s">
        <v>70</v>
      </c>
      <c r="B100" t="s">
        <v>16</v>
      </c>
      <c r="C100" t="s">
        <v>18</v>
      </c>
      <c r="D100" t="str">
        <f>VLOOKUP(C100,Nomenclatura!A:B,2,FALSE)</f>
        <v>MALLORCA</v>
      </c>
      <c r="E100">
        <v>494</v>
      </c>
      <c r="F100" t="s">
        <v>52</v>
      </c>
      <c r="G100" t="s">
        <v>61</v>
      </c>
      <c r="H100">
        <v>830</v>
      </c>
      <c r="I100" t="s">
        <v>52</v>
      </c>
      <c r="J100" t="str">
        <f>VLOOKUP(G100,Info_Zona!A:B,2,FALSE)</f>
        <v>Zona 3</v>
      </c>
      <c r="K100" s="5" t="s">
        <v>71</v>
      </c>
      <c r="L100">
        <v>494</v>
      </c>
      <c r="M100" t="str">
        <f t="shared" si="1"/>
        <v>MALLORCA_4G</v>
      </c>
    </row>
    <row r="101" spans="1:13">
      <c r="A101" t="s">
        <v>70</v>
      </c>
      <c r="B101" t="s">
        <v>16</v>
      </c>
      <c r="C101" t="s">
        <v>18</v>
      </c>
      <c r="D101" t="str">
        <f>VLOOKUP(C101,Nomenclatura!A:B,2,FALSE)</f>
        <v>MALLORCA</v>
      </c>
      <c r="E101">
        <v>495</v>
      </c>
      <c r="F101" t="s">
        <v>52</v>
      </c>
      <c r="G101" t="s">
        <v>61</v>
      </c>
      <c r="H101">
        <v>827</v>
      </c>
      <c r="I101" t="s">
        <v>52</v>
      </c>
      <c r="J101" t="str">
        <f>VLOOKUP(G101,Info_Zona!A:B,2,FALSE)</f>
        <v>Zona 3</v>
      </c>
      <c r="K101" s="5" t="s">
        <v>71</v>
      </c>
      <c r="L101">
        <v>495</v>
      </c>
      <c r="M101" t="str">
        <f t="shared" si="1"/>
        <v>MALLORCA_4G</v>
      </c>
    </row>
    <row r="102" spans="1:13">
      <c r="A102" t="s">
        <v>755</v>
      </c>
      <c r="B102" t="s">
        <v>2</v>
      </c>
      <c r="C102" t="s">
        <v>11</v>
      </c>
      <c r="D102" t="str">
        <f>VLOOKUP(C102,Nomenclatura!A:B,2,FALSE)</f>
        <v>SANTAEULALIADELRIO</v>
      </c>
      <c r="E102">
        <v>81</v>
      </c>
      <c r="F102" t="s">
        <v>51</v>
      </c>
      <c r="G102" t="s">
        <v>61</v>
      </c>
      <c r="H102">
        <v>48</v>
      </c>
      <c r="I102" t="s">
        <v>52</v>
      </c>
      <c r="J102" t="str">
        <f>VLOOKUP(G102,Info_Zona!A:B,2,FALSE)</f>
        <v>Zona 3</v>
      </c>
      <c r="K102" s="5" t="s">
        <v>71</v>
      </c>
      <c r="L102">
        <v>81</v>
      </c>
      <c r="M102" t="str">
        <f t="shared" si="1"/>
        <v>SANTAEULALIADELRIO_3G</v>
      </c>
    </row>
    <row r="103" spans="1:13">
      <c r="A103" t="s">
        <v>755</v>
      </c>
      <c r="B103" t="s">
        <v>2</v>
      </c>
      <c r="C103" t="s">
        <v>11</v>
      </c>
      <c r="D103" t="str">
        <f>VLOOKUP(C103,Nomenclatura!A:B,2,FALSE)</f>
        <v>SANTAEULALIADELRIO</v>
      </c>
      <c r="E103">
        <v>81</v>
      </c>
      <c r="F103" t="s">
        <v>51</v>
      </c>
      <c r="G103" t="s">
        <v>61</v>
      </c>
      <c r="H103">
        <v>48</v>
      </c>
      <c r="I103" t="s">
        <v>52</v>
      </c>
      <c r="J103" t="str">
        <f>VLOOKUP(G103,Info_Zona!A:B,2,FALSE)</f>
        <v>Zona 3</v>
      </c>
      <c r="K103" s="5" t="s">
        <v>71</v>
      </c>
      <c r="L103">
        <v>81</v>
      </c>
      <c r="M103" t="str">
        <f t="shared" si="1"/>
        <v>SANTAEULALIADELRIO_3G</v>
      </c>
    </row>
    <row r="104" spans="1:13">
      <c r="A104" t="s">
        <v>755</v>
      </c>
      <c r="B104" t="s">
        <v>2</v>
      </c>
      <c r="C104" t="s">
        <v>11</v>
      </c>
      <c r="D104" t="str">
        <f>VLOOKUP(C104,Nomenclatura!A:B,2,FALSE)</f>
        <v>SANTAEULALIADELRIO</v>
      </c>
      <c r="E104">
        <v>82</v>
      </c>
      <c r="F104" t="s">
        <v>51</v>
      </c>
      <c r="G104" t="s">
        <v>61</v>
      </c>
      <c r="H104">
        <v>49</v>
      </c>
      <c r="I104" t="s">
        <v>52</v>
      </c>
      <c r="J104" t="str">
        <f>VLOOKUP(G104,Info_Zona!A:B,2,FALSE)</f>
        <v>Zona 3</v>
      </c>
      <c r="K104" s="5" t="s">
        <v>71</v>
      </c>
      <c r="L104">
        <v>82</v>
      </c>
      <c r="M104" t="str">
        <f t="shared" si="1"/>
        <v>SANTAEULALIADELRIO_3G</v>
      </c>
    </row>
    <row r="105" spans="1:13">
      <c r="A105" t="s">
        <v>755</v>
      </c>
      <c r="B105" t="s">
        <v>2</v>
      </c>
      <c r="C105" t="s">
        <v>11</v>
      </c>
      <c r="D105" t="str">
        <f>VLOOKUP(C105,Nomenclatura!A:B,2,FALSE)</f>
        <v>SANTAEULALIADELRIO</v>
      </c>
      <c r="E105">
        <v>81</v>
      </c>
      <c r="F105" t="s">
        <v>51</v>
      </c>
      <c r="G105" t="s">
        <v>61</v>
      </c>
      <c r="H105">
        <v>48</v>
      </c>
      <c r="I105" t="s">
        <v>52</v>
      </c>
      <c r="J105" t="str">
        <f>VLOOKUP(G105,Info_Zona!A:B,2,FALSE)</f>
        <v>Zona 3</v>
      </c>
      <c r="K105" s="5" t="s">
        <v>71</v>
      </c>
      <c r="L105">
        <v>81</v>
      </c>
      <c r="M105" t="str">
        <f t="shared" si="1"/>
        <v>SANTAEULALIADELRIO_3G</v>
      </c>
    </row>
    <row r="106" spans="1:13">
      <c r="A106" t="s">
        <v>70</v>
      </c>
      <c r="B106" t="s">
        <v>2</v>
      </c>
      <c r="C106" t="s">
        <v>11</v>
      </c>
      <c r="D106" t="str">
        <f>VLOOKUP(C106,Nomenclatura!A:B,2,FALSE)</f>
        <v>SANTAEULALIADELRIO</v>
      </c>
      <c r="E106">
        <v>89</v>
      </c>
      <c r="F106" t="s">
        <v>51</v>
      </c>
      <c r="G106" t="s">
        <v>61</v>
      </c>
      <c r="H106">
        <v>52</v>
      </c>
      <c r="I106" t="s">
        <v>52</v>
      </c>
      <c r="J106" t="str">
        <f>VLOOKUP(G106,Info_Zona!A:B,2,FALSE)</f>
        <v>Zona 3</v>
      </c>
      <c r="K106" s="5" t="s">
        <v>71</v>
      </c>
      <c r="L106">
        <v>89</v>
      </c>
      <c r="M106" t="str">
        <f t="shared" si="1"/>
        <v>SANTAEULALIADELRIO_4G</v>
      </c>
    </row>
    <row r="107" spans="1:13">
      <c r="A107" t="s">
        <v>70</v>
      </c>
      <c r="B107" t="s">
        <v>2</v>
      </c>
      <c r="C107" t="s">
        <v>11</v>
      </c>
      <c r="D107" t="str">
        <f>VLOOKUP(C107,Nomenclatura!A:B,2,FALSE)</f>
        <v>SANTAEULALIADELRIO</v>
      </c>
      <c r="E107">
        <v>87</v>
      </c>
      <c r="F107" t="s">
        <v>51</v>
      </c>
      <c r="G107" t="s">
        <v>61</v>
      </c>
      <c r="H107">
        <v>52</v>
      </c>
      <c r="I107" t="s">
        <v>52</v>
      </c>
      <c r="J107" t="str">
        <f>VLOOKUP(G107,Info_Zona!A:B,2,FALSE)</f>
        <v>Zona 3</v>
      </c>
      <c r="K107" s="5" t="s">
        <v>71</v>
      </c>
      <c r="L107">
        <v>87</v>
      </c>
      <c r="M107" t="str">
        <f t="shared" si="1"/>
        <v>SANTAEULALIADELRIO_4G</v>
      </c>
    </row>
    <row r="108" spans="1:13">
      <c r="A108" t="s">
        <v>70</v>
      </c>
      <c r="B108" t="s">
        <v>2</v>
      </c>
      <c r="C108" t="s">
        <v>11</v>
      </c>
      <c r="D108" t="str">
        <f>VLOOKUP(C108,Nomenclatura!A:B,2,FALSE)</f>
        <v>SANTAEULALIADELRIO</v>
      </c>
      <c r="E108">
        <v>88</v>
      </c>
      <c r="F108" t="s">
        <v>51</v>
      </c>
      <c r="G108" t="s">
        <v>61</v>
      </c>
      <c r="H108">
        <v>51</v>
      </c>
      <c r="I108" t="s">
        <v>52</v>
      </c>
      <c r="J108" t="str">
        <f>VLOOKUP(G108,Info_Zona!A:B,2,FALSE)</f>
        <v>Zona 3</v>
      </c>
      <c r="K108" s="5" t="s">
        <v>71</v>
      </c>
      <c r="L108">
        <v>88</v>
      </c>
      <c r="M108" t="str">
        <f t="shared" si="1"/>
        <v>SANTAEULALIADELRIO_4G</v>
      </c>
    </row>
    <row r="109" spans="1:13">
      <c r="A109" t="s">
        <v>70</v>
      </c>
      <c r="B109" t="s">
        <v>2</v>
      </c>
      <c r="C109" t="s">
        <v>11</v>
      </c>
      <c r="D109" t="str">
        <f>VLOOKUP(C109,Nomenclatura!A:B,2,FALSE)</f>
        <v>SANTAEULALIADELRIO</v>
      </c>
      <c r="E109">
        <v>85</v>
      </c>
      <c r="F109" t="s">
        <v>51</v>
      </c>
      <c r="G109" t="s">
        <v>61</v>
      </c>
      <c r="H109">
        <v>51</v>
      </c>
      <c r="I109" t="s">
        <v>52</v>
      </c>
      <c r="J109" t="str">
        <f>VLOOKUP(G109,Info_Zona!A:B,2,FALSE)</f>
        <v>Zona 3</v>
      </c>
      <c r="K109" s="5" t="s">
        <v>71</v>
      </c>
      <c r="L109">
        <v>85</v>
      </c>
      <c r="M109" t="str">
        <f t="shared" si="1"/>
        <v>SANTAEULALIADELRIO_4G</v>
      </c>
    </row>
    <row r="110" spans="1:13">
      <c r="A110" t="s">
        <v>755</v>
      </c>
      <c r="B110" t="s">
        <v>2</v>
      </c>
      <c r="C110" t="s">
        <v>13</v>
      </c>
      <c r="D110" t="str">
        <f>VLOOKUP(C110,Nomenclatura!A:B,2,FALSE)</f>
        <v>UTIEL</v>
      </c>
      <c r="E110">
        <v>48</v>
      </c>
      <c r="F110" t="s">
        <v>46</v>
      </c>
      <c r="G110" t="s">
        <v>56</v>
      </c>
      <c r="H110">
        <v>48</v>
      </c>
      <c r="I110" t="s">
        <v>50</v>
      </c>
      <c r="J110" t="str">
        <f>VLOOKUP(G110,Info_Zona!A:B,2,FALSE)</f>
        <v>Zona 3</v>
      </c>
      <c r="K110" s="5" t="s">
        <v>71</v>
      </c>
      <c r="L110">
        <v>48</v>
      </c>
      <c r="M110" t="str">
        <f t="shared" si="1"/>
        <v>UTIEL_3G</v>
      </c>
    </row>
    <row r="111" spans="1:13">
      <c r="A111" t="s">
        <v>755</v>
      </c>
      <c r="B111" t="s">
        <v>2</v>
      </c>
      <c r="C111" t="s">
        <v>13</v>
      </c>
      <c r="D111" t="str">
        <f>VLOOKUP(C111,Nomenclatura!A:B,2,FALSE)</f>
        <v>UTIEL</v>
      </c>
      <c r="E111">
        <v>48</v>
      </c>
      <c r="F111" t="s">
        <v>46</v>
      </c>
      <c r="G111" t="s">
        <v>56</v>
      </c>
      <c r="H111">
        <v>47</v>
      </c>
      <c r="I111" t="s">
        <v>50</v>
      </c>
      <c r="J111" t="str">
        <f>VLOOKUP(G111,Info_Zona!A:B,2,FALSE)</f>
        <v>Zona 3</v>
      </c>
      <c r="K111" s="5" t="s">
        <v>71</v>
      </c>
      <c r="L111">
        <v>48</v>
      </c>
      <c r="M111" t="str">
        <f t="shared" si="1"/>
        <v>UTIEL_3G</v>
      </c>
    </row>
    <row r="112" spans="1:13">
      <c r="A112" t="s">
        <v>755</v>
      </c>
      <c r="B112" t="s">
        <v>2</v>
      </c>
      <c r="C112" t="s">
        <v>13</v>
      </c>
      <c r="D112" t="str">
        <f>VLOOKUP(C112,Nomenclatura!A:B,2,FALSE)</f>
        <v>UTIEL</v>
      </c>
      <c r="E112">
        <v>49</v>
      </c>
      <c r="F112" t="s">
        <v>46</v>
      </c>
      <c r="G112" t="s">
        <v>56</v>
      </c>
      <c r="H112">
        <v>48</v>
      </c>
      <c r="I112" t="s">
        <v>50</v>
      </c>
      <c r="J112" t="str">
        <f>VLOOKUP(G112,Info_Zona!A:B,2,FALSE)</f>
        <v>Zona 3</v>
      </c>
      <c r="K112" s="5" t="s">
        <v>71</v>
      </c>
      <c r="L112">
        <v>49</v>
      </c>
      <c r="M112" t="str">
        <f t="shared" si="1"/>
        <v>UTIEL_3G</v>
      </c>
    </row>
    <row r="113" spans="1:13">
      <c r="A113" t="s">
        <v>755</v>
      </c>
      <c r="B113" t="s">
        <v>2</v>
      </c>
      <c r="C113" t="s">
        <v>13</v>
      </c>
      <c r="D113" t="str">
        <f>VLOOKUP(C113,Nomenclatura!A:B,2,FALSE)</f>
        <v>UTIEL</v>
      </c>
      <c r="E113">
        <v>49</v>
      </c>
      <c r="F113" t="s">
        <v>46</v>
      </c>
      <c r="G113" t="s">
        <v>56</v>
      </c>
      <c r="H113">
        <v>48</v>
      </c>
      <c r="I113" t="s">
        <v>50</v>
      </c>
      <c r="J113" t="str">
        <f>VLOOKUP(G113,Info_Zona!A:B,2,FALSE)</f>
        <v>Zona 3</v>
      </c>
      <c r="K113" s="5" t="s">
        <v>71</v>
      </c>
      <c r="L113">
        <v>49</v>
      </c>
      <c r="M113" t="str">
        <f t="shared" si="1"/>
        <v>UTIEL_3G</v>
      </c>
    </row>
    <row r="114" spans="1:13">
      <c r="A114" t="s">
        <v>70</v>
      </c>
      <c r="B114" t="s">
        <v>14</v>
      </c>
      <c r="C114" t="s">
        <v>38</v>
      </c>
      <c r="D114" t="str">
        <f>VLOOKUP(C114,Nomenclatura!A:B,2,FALSE)</f>
        <v>ALMONTE</v>
      </c>
      <c r="E114">
        <v>135</v>
      </c>
      <c r="F114" t="s">
        <v>53</v>
      </c>
      <c r="G114" t="s">
        <v>62</v>
      </c>
      <c r="H114">
        <v>182</v>
      </c>
      <c r="I114" t="s">
        <v>53</v>
      </c>
      <c r="J114" t="str">
        <f>VLOOKUP(G114,Info_Zona!A:B,2,FALSE)</f>
        <v>Zona 4</v>
      </c>
      <c r="L114">
        <v>135</v>
      </c>
      <c r="M114" t="str">
        <f t="shared" si="1"/>
        <v>ALMONTE_4G</v>
      </c>
    </row>
    <row r="115" spans="1:13">
      <c r="A115" t="s">
        <v>70</v>
      </c>
      <c r="B115" t="s">
        <v>14</v>
      </c>
      <c r="C115" t="s">
        <v>38</v>
      </c>
      <c r="D115" t="str">
        <f>VLOOKUP(C115,Nomenclatura!A:B,2,FALSE)</f>
        <v>ALMONTE</v>
      </c>
      <c r="E115">
        <v>91</v>
      </c>
      <c r="F115" t="s">
        <v>53</v>
      </c>
      <c r="G115" t="s">
        <v>62</v>
      </c>
      <c r="H115">
        <v>138</v>
      </c>
      <c r="I115" t="s">
        <v>53</v>
      </c>
      <c r="J115" t="str">
        <f>VLOOKUP(G115,Info_Zona!A:B,2,FALSE)</f>
        <v>Zona 4</v>
      </c>
      <c r="L115">
        <v>91</v>
      </c>
      <c r="M115" t="str">
        <f t="shared" si="1"/>
        <v>ALMONTE_4G</v>
      </c>
    </row>
    <row r="116" spans="1:13">
      <c r="A116" t="s">
        <v>70</v>
      </c>
      <c r="B116" t="s">
        <v>14</v>
      </c>
      <c r="C116" t="s">
        <v>38</v>
      </c>
      <c r="D116" t="str">
        <f>VLOOKUP(C116,Nomenclatura!A:B,2,FALSE)</f>
        <v>ALMONTE</v>
      </c>
      <c r="E116">
        <v>134</v>
      </c>
      <c r="F116" t="s">
        <v>53</v>
      </c>
      <c r="G116" t="s">
        <v>62</v>
      </c>
      <c r="H116">
        <v>182</v>
      </c>
      <c r="I116" t="s">
        <v>53</v>
      </c>
      <c r="J116" t="str">
        <f>VLOOKUP(G116,Info_Zona!A:B,2,FALSE)</f>
        <v>Zona 4</v>
      </c>
      <c r="L116">
        <v>134</v>
      </c>
      <c r="M116" t="str">
        <f t="shared" si="1"/>
        <v>ALMONTE_4G</v>
      </c>
    </row>
    <row r="117" spans="1:13">
      <c r="A117" t="s">
        <v>70</v>
      </c>
      <c r="B117" t="s">
        <v>14</v>
      </c>
      <c r="C117" t="s">
        <v>38</v>
      </c>
      <c r="D117" t="str">
        <f>VLOOKUP(C117,Nomenclatura!A:B,2,FALSE)</f>
        <v>ALMONTE</v>
      </c>
      <c r="E117">
        <v>136</v>
      </c>
      <c r="F117" t="s">
        <v>53</v>
      </c>
      <c r="G117" t="s">
        <v>62</v>
      </c>
      <c r="H117">
        <v>182</v>
      </c>
      <c r="I117" t="s">
        <v>53</v>
      </c>
      <c r="J117" t="str">
        <f>VLOOKUP(G117,Info_Zona!A:B,2,FALSE)</f>
        <v>Zona 4</v>
      </c>
      <c r="L117">
        <v>136</v>
      </c>
      <c r="M117" t="str">
        <f t="shared" si="1"/>
        <v>ALMONTE_4G</v>
      </c>
    </row>
    <row r="118" spans="1:13">
      <c r="A118" t="s">
        <v>755</v>
      </c>
      <c r="B118" t="s">
        <v>16</v>
      </c>
      <c r="C118" t="s">
        <v>17</v>
      </c>
      <c r="D118" t="str">
        <f>VLOOKUP(C118,Nomenclatura!A:B,2,FALSE)</f>
        <v>PALMAS</v>
      </c>
      <c r="E118">
        <v>263</v>
      </c>
      <c r="F118" t="s">
        <v>52</v>
      </c>
      <c r="G118" t="s">
        <v>63</v>
      </c>
      <c r="H118">
        <v>334</v>
      </c>
      <c r="I118" t="s">
        <v>52</v>
      </c>
      <c r="J118" t="str">
        <f>VLOOKUP(G118,Info_Zona!A:B,2,FALSE)</f>
        <v>Zona 4</v>
      </c>
      <c r="K118" s="5" t="s">
        <v>71</v>
      </c>
      <c r="L118">
        <v>263</v>
      </c>
      <c r="M118" t="str">
        <f t="shared" si="1"/>
        <v>PALMAS_3G</v>
      </c>
    </row>
    <row r="119" spans="1:13">
      <c r="A119" t="s">
        <v>755</v>
      </c>
      <c r="B119" t="s">
        <v>16</v>
      </c>
      <c r="C119" t="s">
        <v>17</v>
      </c>
      <c r="D119" t="str">
        <f>VLOOKUP(C119,Nomenclatura!A:B,2,FALSE)</f>
        <v>PALMAS</v>
      </c>
      <c r="E119">
        <v>262</v>
      </c>
      <c r="F119" t="s">
        <v>52</v>
      </c>
      <c r="G119" t="s">
        <v>63</v>
      </c>
      <c r="H119">
        <v>330</v>
      </c>
      <c r="I119" t="s">
        <v>52</v>
      </c>
      <c r="J119" t="str">
        <f>VLOOKUP(G119,Info_Zona!A:B,2,FALSE)</f>
        <v>Zona 4</v>
      </c>
      <c r="K119" s="5" t="s">
        <v>71</v>
      </c>
      <c r="L119">
        <v>262</v>
      </c>
      <c r="M119" t="str">
        <f t="shared" si="1"/>
        <v>PALMAS_3G</v>
      </c>
    </row>
    <row r="120" spans="1:13">
      <c r="A120" t="s">
        <v>755</v>
      </c>
      <c r="B120" t="s">
        <v>16</v>
      </c>
      <c r="C120" t="s">
        <v>17</v>
      </c>
      <c r="D120" t="str">
        <f>VLOOKUP(C120,Nomenclatura!A:B,2,FALSE)</f>
        <v>PALMAS</v>
      </c>
      <c r="E120">
        <v>261</v>
      </c>
      <c r="F120" t="s">
        <v>52</v>
      </c>
      <c r="G120" t="s">
        <v>63</v>
      </c>
      <c r="H120">
        <v>328</v>
      </c>
      <c r="I120" t="s">
        <v>52</v>
      </c>
      <c r="J120" t="str">
        <f>VLOOKUP(G120,Info_Zona!A:B,2,FALSE)</f>
        <v>Zona 4</v>
      </c>
      <c r="K120" s="5" t="s">
        <v>71</v>
      </c>
      <c r="L120">
        <v>261</v>
      </c>
      <c r="M120" t="str">
        <f t="shared" si="1"/>
        <v>PALMAS_3G</v>
      </c>
    </row>
    <row r="121" spans="1:13">
      <c r="A121" t="s">
        <v>755</v>
      </c>
      <c r="B121" t="s">
        <v>16</v>
      </c>
      <c r="C121" t="s">
        <v>17</v>
      </c>
      <c r="D121" t="str">
        <f>VLOOKUP(C121,Nomenclatura!A:B,2,FALSE)</f>
        <v>PALMAS</v>
      </c>
      <c r="E121">
        <v>261</v>
      </c>
      <c r="F121" t="s">
        <v>52</v>
      </c>
      <c r="G121" t="s">
        <v>63</v>
      </c>
      <c r="H121">
        <v>329</v>
      </c>
      <c r="I121" t="s">
        <v>52</v>
      </c>
      <c r="J121" t="str">
        <f>VLOOKUP(G121,Info_Zona!A:B,2,FALSE)</f>
        <v>Zona 4</v>
      </c>
      <c r="K121" s="5" t="s">
        <v>71</v>
      </c>
      <c r="L121">
        <v>261</v>
      </c>
      <c r="M121" t="str">
        <f t="shared" si="1"/>
        <v>PALMAS_3G</v>
      </c>
    </row>
    <row r="122" spans="1:13">
      <c r="A122" t="s">
        <v>70</v>
      </c>
      <c r="B122" t="s">
        <v>16</v>
      </c>
      <c r="C122" t="s">
        <v>17</v>
      </c>
      <c r="D122" t="str">
        <f>VLOOKUP(C122,Nomenclatura!A:B,2,FALSE)</f>
        <v>PALMAS</v>
      </c>
      <c r="E122">
        <v>251</v>
      </c>
      <c r="F122" t="s">
        <v>52</v>
      </c>
      <c r="G122" t="s">
        <v>63</v>
      </c>
      <c r="H122">
        <v>327</v>
      </c>
      <c r="I122" t="s">
        <v>52</v>
      </c>
      <c r="J122" t="str">
        <f>VLOOKUP(G122,Info_Zona!A:B,2,FALSE)</f>
        <v>Zona 4</v>
      </c>
      <c r="K122" s="5" t="s">
        <v>71</v>
      </c>
      <c r="L122">
        <v>251</v>
      </c>
      <c r="M122" t="str">
        <f t="shared" si="1"/>
        <v>PALMAS_4G</v>
      </c>
    </row>
    <row r="123" spans="1:13">
      <c r="A123" t="s">
        <v>70</v>
      </c>
      <c r="B123" t="s">
        <v>16</v>
      </c>
      <c r="C123" t="s">
        <v>17</v>
      </c>
      <c r="D123" t="str">
        <f>VLOOKUP(C123,Nomenclatura!A:B,2,FALSE)</f>
        <v>PALMAS</v>
      </c>
      <c r="E123">
        <v>250</v>
      </c>
      <c r="F123" t="s">
        <v>52</v>
      </c>
      <c r="G123" t="s">
        <v>63</v>
      </c>
      <c r="H123">
        <v>325</v>
      </c>
      <c r="I123" t="s">
        <v>52</v>
      </c>
      <c r="J123" t="str">
        <f>VLOOKUP(G123,Info_Zona!A:B,2,FALSE)</f>
        <v>Zona 4</v>
      </c>
      <c r="K123" s="5" t="s">
        <v>71</v>
      </c>
      <c r="L123">
        <v>250</v>
      </c>
      <c r="M123" t="str">
        <f t="shared" si="1"/>
        <v>PALMAS_4G</v>
      </c>
    </row>
    <row r="124" spans="1:13">
      <c r="A124" t="s">
        <v>70</v>
      </c>
      <c r="B124" t="s">
        <v>16</v>
      </c>
      <c r="C124" t="s">
        <v>17</v>
      </c>
      <c r="D124" t="str">
        <f>VLOOKUP(C124,Nomenclatura!A:B,2,FALSE)</f>
        <v>PALMAS</v>
      </c>
      <c r="E124">
        <v>249</v>
      </c>
      <c r="F124" t="s">
        <v>52</v>
      </c>
      <c r="G124" t="s">
        <v>63</v>
      </c>
      <c r="H124">
        <v>326</v>
      </c>
      <c r="I124" t="s">
        <v>52</v>
      </c>
      <c r="J124" t="str">
        <f>VLOOKUP(G124,Info_Zona!A:B,2,FALSE)</f>
        <v>Zona 4</v>
      </c>
      <c r="K124" s="5" t="s">
        <v>71</v>
      </c>
      <c r="L124">
        <v>249</v>
      </c>
      <c r="M124" t="str">
        <f t="shared" si="1"/>
        <v>PALMAS_4G</v>
      </c>
    </row>
    <row r="125" spans="1:13">
      <c r="A125" t="s">
        <v>70</v>
      </c>
      <c r="B125" t="s">
        <v>16</v>
      </c>
      <c r="C125" t="s">
        <v>17</v>
      </c>
      <c r="D125" t="str">
        <f>VLOOKUP(C125,Nomenclatura!A:B,2,FALSE)</f>
        <v>PALMAS</v>
      </c>
      <c r="E125">
        <v>247</v>
      </c>
      <c r="F125" t="s">
        <v>52</v>
      </c>
      <c r="G125" t="s">
        <v>63</v>
      </c>
      <c r="H125">
        <v>320</v>
      </c>
      <c r="I125" t="s">
        <v>52</v>
      </c>
      <c r="J125" t="str">
        <f>VLOOKUP(G125,Info_Zona!A:B,2,FALSE)</f>
        <v>Zona 4</v>
      </c>
      <c r="K125" s="5" t="s">
        <v>71</v>
      </c>
      <c r="L125">
        <v>247</v>
      </c>
      <c r="M125" t="str">
        <f t="shared" si="1"/>
        <v>PALMAS_4G</v>
      </c>
    </row>
    <row r="126" spans="1:13">
      <c r="A126" t="s">
        <v>755</v>
      </c>
      <c r="B126" t="s">
        <v>2</v>
      </c>
      <c r="C126" t="s">
        <v>7</v>
      </c>
      <c r="D126" t="str">
        <f>VLOOKUP(C126,Nomenclatura!A:B,2,FALSE)</f>
        <v>LOSREALEJOS</v>
      </c>
      <c r="E126">
        <v>70</v>
      </c>
      <c r="F126" t="s">
        <v>49</v>
      </c>
      <c r="G126" t="s">
        <v>60</v>
      </c>
      <c r="H126">
        <v>110</v>
      </c>
      <c r="I126" t="s">
        <v>52</v>
      </c>
      <c r="J126" t="str">
        <f>VLOOKUP(G126,Info_Zona!A:B,2,FALSE)</f>
        <v>Zona 4</v>
      </c>
      <c r="K126" s="5" t="s">
        <v>71</v>
      </c>
      <c r="L126">
        <v>70</v>
      </c>
      <c r="M126" t="str">
        <f t="shared" si="1"/>
        <v>LOSREALEJOS_3G</v>
      </c>
    </row>
    <row r="127" spans="1:13">
      <c r="A127" t="s">
        <v>755</v>
      </c>
      <c r="B127" t="s">
        <v>2</v>
      </c>
      <c r="C127" t="s">
        <v>7</v>
      </c>
      <c r="D127" t="str">
        <f>VLOOKUP(C127,Nomenclatura!A:B,2,FALSE)</f>
        <v>LOSREALEJOS</v>
      </c>
      <c r="E127">
        <v>67</v>
      </c>
      <c r="F127" t="s">
        <v>49</v>
      </c>
      <c r="G127" t="s">
        <v>60</v>
      </c>
      <c r="H127">
        <v>107</v>
      </c>
      <c r="I127" t="s">
        <v>52</v>
      </c>
      <c r="J127" t="str">
        <f>VLOOKUP(G127,Info_Zona!A:B,2,FALSE)</f>
        <v>Zona 4</v>
      </c>
      <c r="K127" s="5" t="s">
        <v>71</v>
      </c>
      <c r="L127">
        <v>67</v>
      </c>
      <c r="M127" t="str">
        <f t="shared" si="1"/>
        <v>LOSREALEJOS_3G</v>
      </c>
    </row>
    <row r="128" spans="1:13">
      <c r="A128" t="s">
        <v>755</v>
      </c>
      <c r="B128" t="s">
        <v>2</v>
      </c>
      <c r="C128" t="s">
        <v>7</v>
      </c>
      <c r="D128" t="str">
        <f>VLOOKUP(C128,Nomenclatura!A:B,2,FALSE)</f>
        <v>LOSREALEJOS</v>
      </c>
      <c r="E128">
        <v>70</v>
      </c>
      <c r="F128" t="s">
        <v>49</v>
      </c>
      <c r="G128" t="s">
        <v>60</v>
      </c>
      <c r="H128">
        <v>110</v>
      </c>
      <c r="I128" t="s">
        <v>52</v>
      </c>
      <c r="J128" t="str">
        <f>VLOOKUP(G128,Info_Zona!A:B,2,FALSE)</f>
        <v>Zona 4</v>
      </c>
      <c r="K128" s="5" t="s">
        <v>71</v>
      </c>
      <c r="L128">
        <v>70</v>
      </c>
      <c r="M128" t="str">
        <f t="shared" si="1"/>
        <v>LOSREALEJOS_3G</v>
      </c>
    </row>
    <row r="129" spans="1:13">
      <c r="A129" t="s">
        <v>755</v>
      </c>
      <c r="B129" t="s">
        <v>2</v>
      </c>
      <c r="C129" t="s">
        <v>7</v>
      </c>
      <c r="D129" t="str">
        <f>VLOOKUP(C129,Nomenclatura!A:B,2,FALSE)</f>
        <v>LOSREALEJOS</v>
      </c>
      <c r="E129">
        <v>68</v>
      </c>
      <c r="F129" t="s">
        <v>49</v>
      </c>
      <c r="G129" t="s">
        <v>60</v>
      </c>
      <c r="H129">
        <v>108</v>
      </c>
      <c r="I129" t="s">
        <v>52</v>
      </c>
      <c r="J129" t="str">
        <f>VLOOKUP(G129,Info_Zona!A:B,2,FALSE)</f>
        <v>Zona 4</v>
      </c>
      <c r="K129" s="5" t="s">
        <v>71</v>
      </c>
      <c r="L129">
        <v>68</v>
      </c>
      <c r="M129" t="str">
        <f t="shared" si="1"/>
        <v>LOSREALEJOS_3G</v>
      </c>
    </row>
    <row r="130" spans="1:13">
      <c r="A130" t="s">
        <v>755</v>
      </c>
      <c r="B130" t="s">
        <v>19</v>
      </c>
      <c r="C130" t="s">
        <v>22</v>
      </c>
      <c r="D130" t="str">
        <f>VLOOKUP(C130,Nomenclatura!A:B,2,FALSE)</f>
        <v>MOGAN</v>
      </c>
      <c r="E130">
        <v>76</v>
      </c>
      <c r="F130" t="s">
        <v>51</v>
      </c>
      <c r="G130" t="s">
        <v>63</v>
      </c>
      <c r="H130">
        <v>76</v>
      </c>
      <c r="I130" t="s">
        <v>52</v>
      </c>
      <c r="J130" t="str">
        <f>VLOOKUP(G130,Info_Zona!A:B,2,FALSE)</f>
        <v>Zona 4</v>
      </c>
      <c r="L130">
        <v>76</v>
      </c>
      <c r="M130" t="str">
        <f t="shared" si="1"/>
        <v>MOGAN_3G</v>
      </c>
    </row>
    <row r="131" spans="1:13">
      <c r="A131" t="s">
        <v>755</v>
      </c>
      <c r="B131" t="s">
        <v>19</v>
      </c>
      <c r="C131" t="s">
        <v>22</v>
      </c>
      <c r="D131" t="str">
        <f>VLOOKUP(C131,Nomenclatura!A:B,2,FALSE)</f>
        <v>MOGAN</v>
      </c>
      <c r="E131">
        <v>71</v>
      </c>
      <c r="F131" t="s">
        <v>51</v>
      </c>
      <c r="G131" t="s">
        <v>63</v>
      </c>
      <c r="H131">
        <v>71</v>
      </c>
      <c r="I131" t="s">
        <v>52</v>
      </c>
      <c r="J131" t="str">
        <f>VLOOKUP(G131,Info_Zona!A:B,2,FALSE)</f>
        <v>Zona 4</v>
      </c>
      <c r="L131">
        <v>71</v>
      </c>
      <c r="M131" t="str">
        <f t="shared" ref="M131:M189" si="2">D131&amp;"_"&amp;A131</f>
        <v>MOGAN_3G</v>
      </c>
    </row>
    <row r="132" spans="1:13">
      <c r="A132" t="s">
        <v>755</v>
      </c>
      <c r="B132" t="s">
        <v>19</v>
      </c>
      <c r="C132" t="s">
        <v>22</v>
      </c>
      <c r="D132" t="str">
        <f>VLOOKUP(C132,Nomenclatura!A:B,2,FALSE)</f>
        <v>MOGAN</v>
      </c>
      <c r="E132">
        <v>75</v>
      </c>
      <c r="F132" t="s">
        <v>51</v>
      </c>
      <c r="G132" t="s">
        <v>63</v>
      </c>
      <c r="H132">
        <v>60</v>
      </c>
      <c r="I132" t="s">
        <v>52</v>
      </c>
      <c r="J132" t="str">
        <f>VLOOKUP(G132,Info_Zona!A:B,2,FALSE)</f>
        <v>Zona 4</v>
      </c>
      <c r="L132">
        <v>75</v>
      </c>
      <c r="M132" t="str">
        <f t="shared" si="2"/>
        <v>MOGAN_3G</v>
      </c>
    </row>
    <row r="133" spans="1:13">
      <c r="A133" t="s">
        <v>755</v>
      </c>
      <c r="B133" t="s">
        <v>19</v>
      </c>
      <c r="C133" t="s">
        <v>22</v>
      </c>
      <c r="D133" t="str">
        <f>VLOOKUP(C133,Nomenclatura!A:B,2,FALSE)</f>
        <v>MOGAN</v>
      </c>
      <c r="E133">
        <v>76</v>
      </c>
      <c r="F133" t="s">
        <v>51</v>
      </c>
      <c r="G133" t="s">
        <v>63</v>
      </c>
      <c r="H133">
        <v>76</v>
      </c>
      <c r="I133" t="s">
        <v>52</v>
      </c>
      <c r="J133" t="str">
        <f>VLOOKUP(G133,Info_Zona!A:B,2,FALSE)</f>
        <v>Zona 4</v>
      </c>
      <c r="L133">
        <v>76</v>
      </c>
      <c r="M133" t="str">
        <f t="shared" si="2"/>
        <v>MOGAN_3G</v>
      </c>
    </row>
    <row r="134" spans="1:13">
      <c r="A134" t="s">
        <v>755</v>
      </c>
      <c r="B134" t="s">
        <v>14</v>
      </c>
      <c r="C134" t="s">
        <v>15</v>
      </c>
      <c r="D134" t="str">
        <f>VLOOKUP(C134,Nomenclatura!A:B,2,FALSE)</f>
        <v>MOGUER</v>
      </c>
      <c r="E134">
        <v>111</v>
      </c>
      <c r="F134" t="s">
        <v>53</v>
      </c>
      <c r="G134" t="s">
        <v>62</v>
      </c>
      <c r="H134">
        <v>111</v>
      </c>
      <c r="I134" t="s">
        <v>53</v>
      </c>
      <c r="J134" t="str">
        <f>VLOOKUP(G134,Info_Zona!A:B,2,FALSE)</f>
        <v>Zona 4</v>
      </c>
      <c r="L134">
        <v>111</v>
      </c>
      <c r="M134" t="str">
        <f t="shared" si="2"/>
        <v>MOGUER_3G</v>
      </c>
    </row>
    <row r="135" spans="1:13">
      <c r="A135" t="s">
        <v>755</v>
      </c>
      <c r="B135" t="s">
        <v>14</v>
      </c>
      <c r="C135" t="s">
        <v>15</v>
      </c>
      <c r="D135" t="str">
        <f>VLOOKUP(C135,Nomenclatura!A:B,2,FALSE)</f>
        <v>MOGUER</v>
      </c>
      <c r="E135">
        <v>113</v>
      </c>
      <c r="F135" t="s">
        <v>53</v>
      </c>
      <c r="G135" t="s">
        <v>62</v>
      </c>
      <c r="H135">
        <v>112</v>
      </c>
      <c r="I135" t="s">
        <v>53</v>
      </c>
      <c r="J135" t="str">
        <f>VLOOKUP(G135,Info_Zona!A:B,2,FALSE)</f>
        <v>Zona 4</v>
      </c>
      <c r="L135">
        <v>112</v>
      </c>
      <c r="M135" t="str">
        <f t="shared" si="2"/>
        <v>MOGUER_3G</v>
      </c>
    </row>
    <row r="136" spans="1:13">
      <c r="A136" t="s">
        <v>755</v>
      </c>
      <c r="B136" t="s">
        <v>14</v>
      </c>
      <c r="C136" t="s">
        <v>15</v>
      </c>
      <c r="D136" t="str">
        <f>VLOOKUP(C136,Nomenclatura!A:B,2,FALSE)</f>
        <v>MOGUER</v>
      </c>
      <c r="E136">
        <v>112</v>
      </c>
      <c r="F136" t="s">
        <v>53</v>
      </c>
      <c r="G136" t="s">
        <v>62</v>
      </c>
      <c r="H136">
        <v>113</v>
      </c>
      <c r="I136" t="s">
        <v>53</v>
      </c>
      <c r="J136" t="str">
        <f>VLOOKUP(G136,Info_Zona!A:B,2,FALSE)</f>
        <v>Zona 4</v>
      </c>
      <c r="L136">
        <v>113</v>
      </c>
      <c r="M136" t="str">
        <f t="shared" si="2"/>
        <v>MOGUER_3G</v>
      </c>
    </row>
    <row r="137" spans="1:13">
      <c r="A137" t="s">
        <v>755</v>
      </c>
      <c r="B137" t="s">
        <v>14</v>
      </c>
      <c r="C137" t="s">
        <v>15</v>
      </c>
      <c r="D137" t="str">
        <f>VLOOKUP(C137,Nomenclatura!A:B,2,FALSE)</f>
        <v>MOGUER</v>
      </c>
      <c r="E137">
        <v>112</v>
      </c>
      <c r="F137" t="s">
        <v>53</v>
      </c>
      <c r="G137" t="s">
        <v>62</v>
      </c>
      <c r="H137">
        <v>112</v>
      </c>
      <c r="I137" t="s">
        <v>53</v>
      </c>
      <c r="J137" t="str">
        <f>VLOOKUP(G137,Info_Zona!A:B,2,FALSE)</f>
        <v>Zona 4</v>
      </c>
      <c r="L137">
        <v>112</v>
      </c>
      <c r="M137" t="str">
        <f t="shared" si="2"/>
        <v>MOGUER_3G</v>
      </c>
    </row>
    <row r="138" spans="1:13">
      <c r="A138" t="s">
        <v>70</v>
      </c>
      <c r="B138" t="s">
        <v>19</v>
      </c>
      <c r="C138" t="s">
        <v>44</v>
      </c>
      <c r="D138" t="str">
        <f>VLOOKUP(C138,Nomenclatura!A:B,2,FALSE)</f>
        <v>PAJARA</v>
      </c>
      <c r="E138">
        <v>101</v>
      </c>
      <c r="F138" t="s">
        <v>51</v>
      </c>
      <c r="G138" t="s">
        <v>63</v>
      </c>
      <c r="H138">
        <v>100</v>
      </c>
      <c r="I138" t="s">
        <v>52</v>
      </c>
      <c r="J138" t="str">
        <f>VLOOKUP(G138,Info_Zona!A:B,2,FALSE)</f>
        <v>Zona 4</v>
      </c>
      <c r="L138">
        <v>101</v>
      </c>
      <c r="M138" t="str">
        <f t="shared" si="2"/>
        <v>PAJARA_4G</v>
      </c>
    </row>
    <row r="139" spans="1:13">
      <c r="A139" t="s">
        <v>70</v>
      </c>
      <c r="B139" t="s">
        <v>19</v>
      </c>
      <c r="C139" t="s">
        <v>44</v>
      </c>
      <c r="D139" t="str">
        <f>VLOOKUP(C139,Nomenclatura!A:B,2,FALSE)</f>
        <v>PAJARA</v>
      </c>
      <c r="E139">
        <v>99</v>
      </c>
      <c r="F139" t="s">
        <v>51</v>
      </c>
      <c r="G139" t="s">
        <v>63</v>
      </c>
      <c r="H139">
        <v>97</v>
      </c>
      <c r="I139" t="s">
        <v>52</v>
      </c>
      <c r="J139" t="str">
        <f>VLOOKUP(G139,Info_Zona!A:B,2,FALSE)</f>
        <v>Zona 4</v>
      </c>
      <c r="L139">
        <v>99</v>
      </c>
      <c r="M139" t="str">
        <f t="shared" si="2"/>
        <v>PAJARA_4G</v>
      </c>
    </row>
    <row r="140" spans="1:13">
      <c r="A140" t="s">
        <v>70</v>
      </c>
      <c r="B140" t="s">
        <v>19</v>
      </c>
      <c r="C140" t="s">
        <v>44</v>
      </c>
      <c r="D140" t="str">
        <f>VLOOKUP(C140,Nomenclatura!A:B,2,FALSE)</f>
        <v>PAJARA</v>
      </c>
      <c r="E140">
        <v>99</v>
      </c>
      <c r="F140" t="s">
        <v>51</v>
      </c>
      <c r="G140" t="s">
        <v>63</v>
      </c>
      <c r="H140">
        <v>97</v>
      </c>
      <c r="I140" t="s">
        <v>52</v>
      </c>
      <c r="J140" t="str">
        <f>VLOOKUP(G140,Info_Zona!A:B,2,FALSE)</f>
        <v>Zona 4</v>
      </c>
      <c r="L140">
        <v>99</v>
      </c>
      <c r="M140" t="str">
        <f t="shared" si="2"/>
        <v>PAJARA_4G</v>
      </c>
    </row>
    <row r="141" spans="1:13">
      <c r="A141" t="s">
        <v>70</v>
      </c>
      <c r="B141" t="s">
        <v>19</v>
      </c>
      <c r="C141" t="s">
        <v>44</v>
      </c>
      <c r="D141" t="str">
        <f>VLOOKUP(C141,Nomenclatura!A:B,2,FALSE)</f>
        <v>PAJARA</v>
      </c>
      <c r="E141">
        <v>100</v>
      </c>
      <c r="F141" t="s">
        <v>51</v>
      </c>
      <c r="G141" t="s">
        <v>63</v>
      </c>
      <c r="H141">
        <v>98</v>
      </c>
      <c r="I141" t="s">
        <v>52</v>
      </c>
      <c r="J141" t="str">
        <f>VLOOKUP(G141,Info_Zona!A:B,2,FALSE)</f>
        <v>Zona 4</v>
      </c>
      <c r="L141">
        <v>100</v>
      </c>
      <c r="M141" t="str">
        <f t="shared" si="2"/>
        <v>PAJARA_4G</v>
      </c>
    </row>
    <row r="142" spans="1:13">
      <c r="A142" t="s">
        <v>755</v>
      </c>
      <c r="B142" t="s">
        <v>19</v>
      </c>
      <c r="C142" t="s">
        <v>23</v>
      </c>
      <c r="D142" t="str">
        <f>VLOOKUP(C142,Nomenclatura!A:B,2,FALSE)</f>
        <v>PTOSANTAMARIA</v>
      </c>
      <c r="E142">
        <v>259</v>
      </c>
      <c r="F142" t="s">
        <v>52</v>
      </c>
      <c r="G142" t="s">
        <v>65</v>
      </c>
      <c r="H142">
        <v>262</v>
      </c>
      <c r="I142" t="s">
        <v>52</v>
      </c>
      <c r="J142" t="str">
        <f>VLOOKUP(G142,Info_Zona!A:B,2,FALSE)</f>
        <v>Zona 4</v>
      </c>
      <c r="L142">
        <v>259</v>
      </c>
      <c r="M142" t="str">
        <f t="shared" si="2"/>
        <v>PTOSANTAMARIA_3G</v>
      </c>
    </row>
    <row r="143" spans="1:13">
      <c r="A143" t="s">
        <v>755</v>
      </c>
      <c r="B143" t="s">
        <v>19</v>
      </c>
      <c r="C143" t="s">
        <v>23</v>
      </c>
      <c r="D143" t="str">
        <f>VLOOKUP(C143,Nomenclatura!A:B,2,FALSE)</f>
        <v>PTOSANTAMARIA</v>
      </c>
      <c r="E143">
        <v>261</v>
      </c>
      <c r="F143" t="s">
        <v>52</v>
      </c>
      <c r="G143" t="s">
        <v>65</v>
      </c>
      <c r="H143">
        <v>263</v>
      </c>
      <c r="I143" t="s">
        <v>52</v>
      </c>
      <c r="J143" t="str">
        <f>VLOOKUP(G143,Info_Zona!A:B,2,FALSE)</f>
        <v>Zona 4</v>
      </c>
      <c r="L143">
        <v>261</v>
      </c>
      <c r="M143" t="str">
        <f t="shared" si="2"/>
        <v>PTOSANTAMARIA_3G</v>
      </c>
    </row>
    <row r="144" spans="1:13">
      <c r="A144" t="s">
        <v>755</v>
      </c>
      <c r="B144" t="s">
        <v>19</v>
      </c>
      <c r="C144" t="s">
        <v>23</v>
      </c>
      <c r="D144" t="str">
        <f>VLOOKUP(C144,Nomenclatura!A:B,2,FALSE)</f>
        <v>PTOSANTAMARIA</v>
      </c>
      <c r="E144">
        <v>261</v>
      </c>
      <c r="F144" t="s">
        <v>52</v>
      </c>
      <c r="G144" t="s">
        <v>65</v>
      </c>
      <c r="H144">
        <v>263</v>
      </c>
      <c r="I144" t="s">
        <v>52</v>
      </c>
      <c r="J144" t="str">
        <f>VLOOKUP(G144,Info_Zona!A:B,2,FALSE)</f>
        <v>Zona 4</v>
      </c>
      <c r="L144">
        <v>261</v>
      </c>
      <c r="M144" t="str">
        <f t="shared" si="2"/>
        <v>PTOSANTAMARIA_3G</v>
      </c>
    </row>
    <row r="145" spans="1:13">
      <c r="A145" t="s">
        <v>755</v>
      </c>
      <c r="B145" t="s">
        <v>19</v>
      </c>
      <c r="C145" t="s">
        <v>23</v>
      </c>
      <c r="D145" t="str">
        <f>VLOOKUP(C145,Nomenclatura!A:B,2,FALSE)</f>
        <v>PTOSANTAMARIA</v>
      </c>
      <c r="E145">
        <v>261</v>
      </c>
      <c r="F145" t="s">
        <v>52</v>
      </c>
      <c r="G145" t="s">
        <v>65</v>
      </c>
      <c r="H145">
        <v>262</v>
      </c>
      <c r="I145" t="s">
        <v>52</v>
      </c>
      <c r="J145" t="str">
        <f>VLOOKUP(G145,Info_Zona!A:B,2,FALSE)</f>
        <v>Zona 4</v>
      </c>
      <c r="L145">
        <v>261</v>
      </c>
      <c r="M145" t="str">
        <f t="shared" si="2"/>
        <v>PTOSANTAMARIA_3G</v>
      </c>
    </row>
    <row r="146" spans="1:13">
      <c r="A146" t="s">
        <v>70</v>
      </c>
      <c r="B146" t="s">
        <v>16</v>
      </c>
      <c r="C146" t="s">
        <v>43</v>
      </c>
      <c r="D146" t="str">
        <f>VLOOKUP(C146,Nomenclatura!A:B,2,FALSE)</f>
        <v>TENERIFE</v>
      </c>
      <c r="E146">
        <v>178</v>
      </c>
      <c r="F146" t="s">
        <v>49</v>
      </c>
      <c r="G146" t="s">
        <v>60</v>
      </c>
      <c r="H146">
        <v>182</v>
      </c>
      <c r="I146" t="s">
        <v>52</v>
      </c>
      <c r="J146" t="str">
        <f>VLOOKUP(G146,Info_Zona!A:B,2,FALSE)</f>
        <v>Zona 4</v>
      </c>
      <c r="K146" s="5" t="s">
        <v>71</v>
      </c>
      <c r="L146">
        <v>178</v>
      </c>
      <c r="M146" t="str">
        <f t="shared" si="2"/>
        <v>TENERIFE_4G</v>
      </c>
    </row>
    <row r="147" spans="1:13">
      <c r="A147" t="s">
        <v>70</v>
      </c>
      <c r="B147" t="s">
        <v>16</v>
      </c>
      <c r="C147" t="s">
        <v>43</v>
      </c>
      <c r="D147" t="str">
        <f>VLOOKUP(C147,Nomenclatura!A:B,2,FALSE)</f>
        <v>TENERIFE</v>
      </c>
      <c r="E147">
        <v>176</v>
      </c>
      <c r="F147" t="s">
        <v>49</v>
      </c>
      <c r="G147" t="s">
        <v>60</v>
      </c>
      <c r="H147">
        <v>180</v>
      </c>
      <c r="I147" t="s">
        <v>52</v>
      </c>
      <c r="J147" t="str">
        <f>VLOOKUP(G147,Info_Zona!A:B,2,FALSE)</f>
        <v>Zona 4</v>
      </c>
      <c r="K147" s="5" t="s">
        <v>71</v>
      </c>
      <c r="L147">
        <v>176</v>
      </c>
      <c r="M147" t="str">
        <f t="shared" si="2"/>
        <v>TENERIFE_4G</v>
      </c>
    </row>
    <row r="148" spans="1:13">
      <c r="A148" t="s">
        <v>70</v>
      </c>
      <c r="B148" t="s">
        <v>16</v>
      </c>
      <c r="C148" t="s">
        <v>43</v>
      </c>
      <c r="D148" t="str">
        <f>VLOOKUP(C148,Nomenclatura!A:B,2,FALSE)</f>
        <v>TENERIFE</v>
      </c>
      <c r="E148">
        <v>179</v>
      </c>
      <c r="F148" t="s">
        <v>49</v>
      </c>
      <c r="G148" t="s">
        <v>60</v>
      </c>
      <c r="H148">
        <v>183</v>
      </c>
      <c r="I148" t="s">
        <v>52</v>
      </c>
      <c r="J148" t="str">
        <f>VLOOKUP(G148,Info_Zona!A:B,2,FALSE)</f>
        <v>Zona 4</v>
      </c>
      <c r="K148" s="5" t="s">
        <v>71</v>
      </c>
      <c r="L148">
        <v>179</v>
      </c>
      <c r="M148" t="str">
        <f t="shared" si="2"/>
        <v>TENERIFE_4G</v>
      </c>
    </row>
    <row r="149" spans="1:13">
      <c r="A149" t="s">
        <v>70</v>
      </c>
      <c r="B149" t="s">
        <v>16</v>
      </c>
      <c r="C149" t="s">
        <v>43</v>
      </c>
      <c r="D149" t="str">
        <f>VLOOKUP(C149,Nomenclatura!A:B,2,FALSE)</f>
        <v>TENERIFE</v>
      </c>
      <c r="E149">
        <v>177</v>
      </c>
      <c r="F149" t="s">
        <v>49</v>
      </c>
      <c r="G149" t="s">
        <v>60</v>
      </c>
      <c r="H149">
        <v>181</v>
      </c>
      <c r="I149" t="s">
        <v>52</v>
      </c>
      <c r="J149" t="str">
        <f>VLOOKUP(G149,Info_Zona!A:B,2,FALSE)</f>
        <v>Zona 4</v>
      </c>
      <c r="K149" s="5" t="s">
        <v>71</v>
      </c>
      <c r="L149">
        <v>177</v>
      </c>
      <c r="M149" t="str">
        <f t="shared" si="2"/>
        <v>TENERIFE_4G</v>
      </c>
    </row>
    <row r="150" spans="1:13">
      <c r="A150" t="s">
        <v>755</v>
      </c>
      <c r="B150" t="s">
        <v>19</v>
      </c>
      <c r="C150" t="s">
        <v>24</v>
      </c>
      <c r="D150" t="str">
        <f>VLOOKUP(C150,Nomenclatura!A:B,2,FALSE)</f>
        <v>TIRAJANA</v>
      </c>
      <c r="E150">
        <v>204</v>
      </c>
      <c r="F150" t="s">
        <v>51</v>
      </c>
      <c r="G150" t="s">
        <v>63</v>
      </c>
      <c r="H150">
        <v>201</v>
      </c>
      <c r="I150" t="s">
        <v>52</v>
      </c>
      <c r="J150" t="str">
        <f>VLOOKUP(G150,Info_Zona!A:B,2,FALSE)</f>
        <v>Zona 4</v>
      </c>
      <c r="L150">
        <v>204</v>
      </c>
      <c r="M150" t="str">
        <f t="shared" si="2"/>
        <v>TIRAJANA_3G</v>
      </c>
    </row>
    <row r="151" spans="1:13">
      <c r="A151" t="s">
        <v>755</v>
      </c>
      <c r="B151" t="s">
        <v>19</v>
      </c>
      <c r="C151" t="s">
        <v>24</v>
      </c>
      <c r="D151" t="str">
        <f>VLOOKUP(C151,Nomenclatura!A:B,2,FALSE)</f>
        <v>TIRAJANA</v>
      </c>
      <c r="E151">
        <v>202</v>
      </c>
      <c r="F151" t="s">
        <v>51</v>
      </c>
      <c r="G151" t="s">
        <v>63</v>
      </c>
      <c r="H151">
        <v>199</v>
      </c>
      <c r="I151" t="s">
        <v>52</v>
      </c>
      <c r="J151" t="str">
        <f>VLOOKUP(G151,Info_Zona!A:B,2,FALSE)</f>
        <v>Zona 4</v>
      </c>
      <c r="L151">
        <v>202</v>
      </c>
      <c r="M151" t="str">
        <f t="shared" si="2"/>
        <v>TIRAJANA_3G</v>
      </c>
    </row>
    <row r="152" spans="1:13">
      <c r="A152" t="s">
        <v>755</v>
      </c>
      <c r="B152" t="s">
        <v>19</v>
      </c>
      <c r="C152" t="s">
        <v>24</v>
      </c>
      <c r="D152" t="str">
        <f>VLOOKUP(C152,Nomenclatura!A:B,2,FALSE)</f>
        <v>TIRAJANA</v>
      </c>
      <c r="E152">
        <v>201</v>
      </c>
      <c r="F152" t="s">
        <v>51</v>
      </c>
      <c r="G152" t="s">
        <v>63</v>
      </c>
      <c r="H152">
        <v>198</v>
      </c>
      <c r="I152" t="s">
        <v>52</v>
      </c>
      <c r="J152" t="str">
        <f>VLOOKUP(G152,Info_Zona!A:B,2,FALSE)</f>
        <v>Zona 4</v>
      </c>
      <c r="L152">
        <v>201</v>
      </c>
      <c r="M152" t="str">
        <f t="shared" si="2"/>
        <v>TIRAJANA_3G</v>
      </c>
    </row>
    <row r="153" spans="1:13">
      <c r="A153" t="s">
        <v>755</v>
      </c>
      <c r="B153" t="s">
        <v>19</v>
      </c>
      <c r="C153" t="s">
        <v>24</v>
      </c>
      <c r="D153" t="str">
        <f>VLOOKUP(C153,Nomenclatura!A:B,2,FALSE)</f>
        <v>TIRAJANA</v>
      </c>
      <c r="E153">
        <v>202</v>
      </c>
      <c r="F153" t="s">
        <v>51</v>
      </c>
      <c r="G153" t="s">
        <v>63</v>
      </c>
      <c r="H153">
        <v>199</v>
      </c>
      <c r="I153" t="s">
        <v>52</v>
      </c>
      <c r="J153" t="str">
        <f>VLOOKUP(G153,Info_Zona!A:B,2,FALSE)</f>
        <v>Zona 4</v>
      </c>
      <c r="L153">
        <v>202</v>
      </c>
      <c r="M153" t="str">
        <f t="shared" si="2"/>
        <v>TIRAJANA_3G</v>
      </c>
    </row>
    <row r="154" spans="1:13">
      <c r="A154" t="s">
        <v>70</v>
      </c>
      <c r="B154" t="s">
        <v>19</v>
      </c>
      <c r="C154" t="s">
        <v>24</v>
      </c>
      <c r="D154" t="str">
        <f>VLOOKUP(C154,Nomenclatura!A:B,2,FALSE)</f>
        <v>TIRAJANA</v>
      </c>
      <c r="E154">
        <v>181</v>
      </c>
      <c r="F154" t="s">
        <v>51</v>
      </c>
      <c r="G154" t="s">
        <v>63</v>
      </c>
      <c r="H154">
        <v>178</v>
      </c>
      <c r="I154" t="s">
        <v>52</v>
      </c>
      <c r="J154" t="str">
        <f>VLOOKUP(G154,Info_Zona!A:B,2,FALSE)</f>
        <v>Zona 4</v>
      </c>
      <c r="L154">
        <v>181</v>
      </c>
      <c r="M154" t="str">
        <f t="shared" si="2"/>
        <v>TIRAJANA_4G</v>
      </c>
    </row>
    <row r="155" spans="1:13">
      <c r="A155" t="s">
        <v>70</v>
      </c>
      <c r="B155" t="s">
        <v>19</v>
      </c>
      <c r="C155" t="s">
        <v>24</v>
      </c>
      <c r="D155" t="str">
        <f>VLOOKUP(C155,Nomenclatura!A:B,2,FALSE)</f>
        <v>TIRAJANA</v>
      </c>
      <c r="E155">
        <v>181</v>
      </c>
      <c r="F155" t="s">
        <v>51</v>
      </c>
      <c r="G155" t="s">
        <v>63</v>
      </c>
      <c r="H155">
        <v>179</v>
      </c>
      <c r="I155" t="s">
        <v>52</v>
      </c>
      <c r="J155" t="str">
        <f>VLOOKUP(G155,Info_Zona!A:B,2,FALSE)</f>
        <v>Zona 4</v>
      </c>
      <c r="L155">
        <v>181</v>
      </c>
      <c r="M155" t="str">
        <f t="shared" si="2"/>
        <v>TIRAJANA_4G</v>
      </c>
    </row>
    <row r="156" spans="1:13">
      <c r="A156" t="s">
        <v>70</v>
      </c>
      <c r="B156" t="s">
        <v>19</v>
      </c>
      <c r="C156" t="s">
        <v>24</v>
      </c>
      <c r="D156" t="str">
        <f>VLOOKUP(C156,Nomenclatura!A:B,2,FALSE)</f>
        <v>TIRAJANA</v>
      </c>
      <c r="E156">
        <v>181</v>
      </c>
      <c r="F156" t="s">
        <v>51</v>
      </c>
      <c r="G156" t="s">
        <v>63</v>
      </c>
      <c r="H156">
        <v>179</v>
      </c>
      <c r="I156" t="s">
        <v>52</v>
      </c>
      <c r="J156" t="str">
        <f>VLOOKUP(G156,Info_Zona!A:B,2,FALSE)</f>
        <v>Zona 4</v>
      </c>
      <c r="L156">
        <v>181</v>
      </c>
      <c r="M156" t="str">
        <f t="shared" si="2"/>
        <v>TIRAJANA_4G</v>
      </c>
    </row>
    <row r="157" spans="1:13">
      <c r="A157" t="s">
        <v>70</v>
      </c>
      <c r="B157" t="s">
        <v>19</v>
      </c>
      <c r="C157" t="s">
        <v>24</v>
      </c>
      <c r="D157" t="str">
        <f>VLOOKUP(C157,Nomenclatura!A:B,2,FALSE)</f>
        <v>TIRAJANA</v>
      </c>
      <c r="E157">
        <v>180</v>
      </c>
      <c r="F157" t="s">
        <v>51</v>
      </c>
      <c r="G157" t="s">
        <v>63</v>
      </c>
      <c r="H157">
        <v>177</v>
      </c>
      <c r="I157" t="s">
        <v>52</v>
      </c>
      <c r="J157" t="str">
        <f>VLOOKUP(G157,Info_Zona!A:B,2,FALSE)</f>
        <v>Zona 4</v>
      </c>
      <c r="L157">
        <v>180</v>
      </c>
      <c r="M157" t="str">
        <f t="shared" si="2"/>
        <v>TIRAJANA_4G</v>
      </c>
    </row>
    <row r="158" spans="1:13">
      <c r="A158" t="s">
        <v>755</v>
      </c>
      <c r="B158" t="s">
        <v>2</v>
      </c>
      <c r="C158" t="s">
        <v>9</v>
      </c>
      <c r="D158" t="str">
        <f>VLOOKUP(C158,Nomenclatura!A:B,2,FALSE)</f>
        <v>SANCRISTOBALDELALAGUNA</v>
      </c>
      <c r="E158">
        <v>203</v>
      </c>
      <c r="F158" t="s">
        <v>52</v>
      </c>
      <c r="G158" t="s">
        <v>60</v>
      </c>
      <c r="H158">
        <v>275</v>
      </c>
      <c r="I158" t="s">
        <v>52</v>
      </c>
      <c r="J158" t="str">
        <f>VLOOKUP(G158,Info_Zona!A:B,2,FALSE)</f>
        <v>Zona 4</v>
      </c>
      <c r="K158" s="5" t="s">
        <v>71</v>
      </c>
      <c r="L158">
        <v>203</v>
      </c>
      <c r="M158" t="str">
        <f t="shared" si="2"/>
        <v>SANCRISTOBALDELALAGUNA_3G</v>
      </c>
    </row>
    <row r="159" spans="1:13">
      <c r="A159" t="s">
        <v>755</v>
      </c>
      <c r="B159" t="s">
        <v>2</v>
      </c>
      <c r="C159" t="s">
        <v>9</v>
      </c>
      <c r="D159" t="str">
        <f>VLOOKUP(C159,Nomenclatura!A:B,2,FALSE)</f>
        <v>SANCRISTOBALDELALAGUNA</v>
      </c>
      <c r="E159">
        <v>200</v>
      </c>
      <c r="F159" t="s">
        <v>52</v>
      </c>
      <c r="G159" t="s">
        <v>60</v>
      </c>
      <c r="H159">
        <v>273</v>
      </c>
      <c r="I159" t="s">
        <v>52</v>
      </c>
      <c r="J159" t="str">
        <f>VLOOKUP(G159,Info_Zona!A:B,2,FALSE)</f>
        <v>Zona 4</v>
      </c>
      <c r="K159" s="5" t="s">
        <v>71</v>
      </c>
      <c r="L159">
        <v>200</v>
      </c>
      <c r="M159" t="str">
        <f t="shared" si="2"/>
        <v>SANCRISTOBALDELALAGUNA_3G</v>
      </c>
    </row>
    <row r="160" spans="1:13">
      <c r="A160" t="s">
        <v>755</v>
      </c>
      <c r="B160" t="s">
        <v>2</v>
      </c>
      <c r="C160" t="s">
        <v>9</v>
      </c>
      <c r="D160" t="str">
        <f>VLOOKUP(C160,Nomenclatura!A:B,2,FALSE)</f>
        <v>SANCRISTOBALDELALAGUNA</v>
      </c>
      <c r="E160">
        <v>206</v>
      </c>
      <c r="F160" t="s">
        <v>52</v>
      </c>
      <c r="G160" t="s">
        <v>60</v>
      </c>
      <c r="H160">
        <v>278</v>
      </c>
      <c r="I160" t="s">
        <v>52</v>
      </c>
      <c r="J160" t="str">
        <f>VLOOKUP(G160,Info_Zona!A:B,2,FALSE)</f>
        <v>Zona 4</v>
      </c>
      <c r="K160" s="5" t="s">
        <v>71</v>
      </c>
      <c r="L160">
        <v>206</v>
      </c>
      <c r="M160" t="str">
        <f t="shared" si="2"/>
        <v>SANCRISTOBALDELALAGUNA_3G</v>
      </c>
    </row>
    <row r="161" spans="1:13">
      <c r="A161" t="s">
        <v>755</v>
      </c>
      <c r="B161" t="s">
        <v>2</v>
      </c>
      <c r="C161" t="s">
        <v>9</v>
      </c>
      <c r="D161" t="str">
        <f>VLOOKUP(C161,Nomenclatura!A:B,2,FALSE)</f>
        <v>SANCRISTOBALDELALAGUNA</v>
      </c>
      <c r="E161">
        <v>202</v>
      </c>
      <c r="F161" t="s">
        <v>52</v>
      </c>
      <c r="G161" t="s">
        <v>60</v>
      </c>
      <c r="H161">
        <v>274</v>
      </c>
      <c r="I161" t="s">
        <v>52</v>
      </c>
      <c r="J161" t="str">
        <f>VLOOKUP(G161,Info_Zona!A:B,2,FALSE)</f>
        <v>Zona 4</v>
      </c>
      <c r="K161" s="5" t="s">
        <v>71</v>
      </c>
      <c r="L161">
        <v>202</v>
      </c>
      <c r="M161" t="str">
        <f t="shared" si="2"/>
        <v>SANCRISTOBALDELALAGUNA_3G</v>
      </c>
    </row>
    <row r="162" spans="1:13">
      <c r="A162" t="s">
        <v>70</v>
      </c>
      <c r="B162" t="s">
        <v>2</v>
      </c>
      <c r="C162" t="s">
        <v>37</v>
      </c>
      <c r="D162" t="str">
        <f>VLOOKUP(C162,Nomenclatura!A:B,2,FALSE)</f>
        <v>SANTALUCIADETIRAJANA</v>
      </c>
      <c r="E162">
        <v>183</v>
      </c>
      <c r="F162" t="s">
        <v>51</v>
      </c>
      <c r="G162" t="s">
        <v>63</v>
      </c>
      <c r="H162">
        <v>179</v>
      </c>
      <c r="I162" t="s">
        <v>52</v>
      </c>
      <c r="J162" t="str">
        <f>VLOOKUP(G162,Info_Zona!A:B,2,FALSE)</f>
        <v>Zona 4</v>
      </c>
      <c r="K162" s="5" t="s">
        <v>71</v>
      </c>
      <c r="L162">
        <v>183</v>
      </c>
      <c r="M162" t="str">
        <f t="shared" si="2"/>
        <v>SANTALUCIADETIRAJANA_4G</v>
      </c>
    </row>
    <row r="163" spans="1:13">
      <c r="A163" t="s">
        <v>70</v>
      </c>
      <c r="B163" t="s">
        <v>2</v>
      </c>
      <c r="C163" t="s">
        <v>37</v>
      </c>
      <c r="D163" t="str">
        <f>VLOOKUP(C163,Nomenclatura!A:B,2,FALSE)</f>
        <v>SANTALUCIADETIRAJANA</v>
      </c>
      <c r="E163">
        <v>182</v>
      </c>
      <c r="F163" t="s">
        <v>51</v>
      </c>
      <c r="G163" t="s">
        <v>63</v>
      </c>
      <c r="H163">
        <v>178</v>
      </c>
      <c r="I163" t="s">
        <v>52</v>
      </c>
      <c r="J163" t="str">
        <f>VLOOKUP(G163,Info_Zona!A:B,2,FALSE)</f>
        <v>Zona 4</v>
      </c>
      <c r="K163" s="5" t="s">
        <v>71</v>
      </c>
      <c r="L163">
        <v>182</v>
      </c>
      <c r="M163" t="str">
        <f t="shared" si="2"/>
        <v>SANTALUCIADETIRAJANA_4G</v>
      </c>
    </row>
    <row r="164" spans="1:13">
      <c r="A164" t="s">
        <v>70</v>
      </c>
      <c r="B164" t="s">
        <v>2</v>
      </c>
      <c r="C164" t="s">
        <v>37</v>
      </c>
      <c r="D164" t="str">
        <f>VLOOKUP(C164,Nomenclatura!A:B,2,FALSE)</f>
        <v>SANTALUCIADETIRAJANA</v>
      </c>
      <c r="E164">
        <v>183</v>
      </c>
      <c r="F164" t="s">
        <v>51</v>
      </c>
      <c r="G164" t="s">
        <v>63</v>
      </c>
      <c r="H164">
        <v>180</v>
      </c>
      <c r="I164" t="s">
        <v>52</v>
      </c>
      <c r="J164" t="str">
        <f>VLOOKUP(G164,Info_Zona!A:B,2,FALSE)</f>
        <v>Zona 4</v>
      </c>
      <c r="K164" s="5" t="s">
        <v>71</v>
      </c>
      <c r="L164">
        <v>183</v>
      </c>
      <c r="M164" t="str">
        <f t="shared" si="2"/>
        <v>SANTALUCIADETIRAJANA_4G</v>
      </c>
    </row>
    <row r="165" spans="1:13">
      <c r="A165" t="s">
        <v>70</v>
      </c>
      <c r="B165" t="s">
        <v>2</v>
      </c>
      <c r="C165" t="s">
        <v>37</v>
      </c>
      <c r="D165" t="str">
        <f>VLOOKUP(C165,Nomenclatura!A:B,2,FALSE)</f>
        <v>SANTALUCIADETIRAJANA</v>
      </c>
      <c r="E165">
        <v>181</v>
      </c>
      <c r="F165" t="s">
        <v>51</v>
      </c>
      <c r="G165" t="s">
        <v>63</v>
      </c>
      <c r="H165">
        <v>177</v>
      </c>
      <c r="I165" t="s">
        <v>52</v>
      </c>
      <c r="J165" t="str">
        <f>VLOOKUP(G165,Info_Zona!A:B,2,FALSE)</f>
        <v>Zona 4</v>
      </c>
      <c r="K165" s="5" t="s">
        <v>71</v>
      </c>
      <c r="L165">
        <v>181</v>
      </c>
      <c r="M165" t="str">
        <f t="shared" si="2"/>
        <v>SANTALUCIADETIRAJANA_4G</v>
      </c>
    </row>
    <row r="166" spans="1:13">
      <c r="A166" t="s">
        <v>755</v>
      </c>
      <c r="B166" t="s">
        <v>19</v>
      </c>
      <c r="C166" t="s">
        <v>25</v>
      </c>
      <c r="D166" t="str">
        <f>VLOOKUP(C166,Nomenclatura!A:B,2,FALSE)</f>
        <v>TIAS</v>
      </c>
      <c r="E166">
        <v>132</v>
      </c>
      <c r="F166" t="s">
        <v>51</v>
      </c>
      <c r="G166" t="s">
        <v>63</v>
      </c>
      <c r="H166">
        <v>111</v>
      </c>
      <c r="I166" t="s">
        <v>52</v>
      </c>
      <c r="J166" t="str">
        <f>VLOOKUP(G166,Info_Zona!A:B,2,FALSE)</f>
        <v>Zona 4</v>
      </c>
      <c r="L166">
        <v>132</v>
      </c>
      <c r="M166" t="str">
        <f t="shared" si="2"/>
        <v>TIAS_3G</v>
      </c>
    </row>
    <row r="167" spans="1:13">
      <c r="A167" t="s">
        <v>755</v>
      </c>
      <c r="B167" t="s">
        <v>19</v>
      </c>
      <c r="C167" t="s">
        <v>25</v>
      </c>
      <c r="D167" t="str">
        <f>VLOOKUP(C167,Nomenclatura!A:B,2,FALSE)</f>
        <v>TIAS</v>
      </c>
      <c r="E167">
        <v>135</v>
      </c>
      <c r="F167" t="s">
        <v>51</v>
      </c>
      <c r="G167" t="s">
        <v>63</v>
      </c>
      <c r="H167">
        <v>118</v>
      </c>
      <c r="I167" t="s">
        <v>52</v>
      </c>
      <c r="J167" t="str">
        <f>VLOOKUP(G167,Info_Zona!A:B,2,FALSE)</f>
        <v>Zona 4</v>
      </c>
      <c r="L167">
        <v>135</v>
      </c>
      <c r="M167" t="str">
        <f t="shared" si="2"/>
        <v>TIAS_3G</v>
      </c>
    </row>
    <row r="168" spans="1:13">
      <c r="A168" t="s">
        <v>755</v>
      </c>
      <c r="B168" t="s">
        <v>19</v>
      </c>
      <c r="C168" t="s">
        <v>25</v>
      </c>
      <c r="D168" t="str">
        <f>VLOOKUP(C168,Nomenclatura!A:B,2,FALSE)</f>
        <v>TIAS</v>
      </c>
      <c r="E168">
        <v>131</v>
      </c>
      <c r="F168" t="s">
        <v>51</v>
      </c>
      <c r="G168" t="s">
        <v>63</v>
      </c>
      <c r="H168">
        <v>112</v>
      </c>
      <c r="I168" t="s">
        <v>52</v>
      </c>
      <c r="J168" t="str">
        <f>VLOOKUP(G168,Info_Zona!A:B,2,FALSE)</f>
        <v>Zona 4</v>
      </c>
      <c r="L168">
        <v>131</v>
      </c>
      <c r="M168" t="str">
        <f t="shared" si="2"/>
        <v>TIAS_3G</v>
      </c>
    </row>
    <row r="169" spans="1:13">
      <c r="A169" t="s">
        <v>755</v>
      </c>
      <c r="B169" t="s">
        <v>19</v>
      </c>
      <c r="C169" t="s">
        <v>25</v>
      </c>
      <c r="D169" t="str">
        <f>VLOOKUP(C169,Nomenclatura!A:B,2,FALSE)</f>
        <v>TIAS</v>
      </c>
      <c r="E169">
        <v>137</v>
      </c>
      <c r="F169" t="s">
        <v>51</v>
      </c>
      <c r="G169" t="s">
        <v>63</v>
      </c>
      <c r="H169">
        <v>119</v>
      </c>
      <c r="I169" t="s">
        <v>52</v>
      </c>
      <c r="J169" t="str">
        <f>VLOOKUP(G169,Info_Zona!A:B,2,FALSE)</f>
        <v>Zona 4</v>
      </c>
      <c r="L169">
        <v>137</v>
      </c>
      <c r="M169" t="str">
        <f t="shared" si="2"/>
        <v>TIAS_3G</v>
      </c>
    </row>
    <row r="170" spans="1:13">
      <c r="A170" t="s">
        <v>70</v>
      </c>
      <c r="B170" t="s">
        <v>19</v>
      </c>
      <c r="C170" t="s">
        <v>25</v>
      </c>
      <c r="D170" t="str">
        <f>VLOOKUP(C170,Nomenclatura!A:B,2,FALSE)</f>
        <v>TIAS</v>
      </c>
      <c r="E170">
        <v>152</v>
      </c>
      <c r="F170" t="s">
        <v>51</v>
      </c>
      <c r="G170" t="s">
        <v>63</v>
      </c>
      <c r="H170">
        <v>146</v>
      </c>
      <c r="I170" t="s">
        <v>52</v>
      </c>
      <c r="J170" t="str">
        <f>VLOOKUP(G170,Info_Zona!A:B,2,FALSE)</f>
        <v>Zona 4</v>
      </c>
      <c r="L170">
        <v>152</v>
      </c>
      <c r="M170" t="str">
        <f t="shared" si="2"/>
        <v>TIAS_4G</v>
      </c>
    </row>
    <row r="171" spans="1:13">
      <c r="A171" t="s">
        <v>70</v>
      </c>
      <c r="B171" t="s">
        <v>19</v>
      </c>
      <c r="C171" t="s">
        <v>25</v>
      </c>
      <c r="D171" t="str">
        <f>VLOOKUP(C171,Nomenclatura!A:B,2,FALSE)</f>
        <v>TIAS</v>
      </c>
      <c r="E171">
        <v>155</v>
      </c>
      <c r="F171" t="s">
        <v>51</v>
      </c>
      <c r="G171" t="s">
        <v>63</v>
      </c>
      <c r="H171">
        <v>148</v>
      </c>
      <c r="I171" t="s">
        <v>52</v>
      </c>
      <c r="J171" t="str">
        <f>VLOOKUP(G171,Info_Zona!A:B,2,FALSE)</f>
        <v>Zona 4</v>
      </c>
      <c r="L171">
        <v>155</v>
      </c>
      <c r="M171" t="str">
        <f t="shared" si="2"/>
        <v>TIAS_4G</v>
      </c>
    </row>
    <row r="172" spans="1:13">
      <c r="A172" t="s">
        <v>70</v>
      </c>
      <c r="B172" t="s">
        <v>19</v>
      </c>
      <c r="C172" t="s">
        <v>25</v>
      </c>
      <c r="D172" t="str">
        <f>VLOOKUP(C172,Nomenclatura!A:B,2,FALSE)</f>
        <v>TIAS</v>
      </c>
      <c r="E172">
        <v>155</v>
      </c>
      <c r="F172" t="s">
        <v>51</v>
      </c>
      <c r="G172" t="s">
        <v>63</v>
      </c>
      <c r="H172">
        <v>147</v>
      </c>
      <c r="I172" t="s">
        <v>52</v>
      </c>
      <c r="J172" t="str">
        <f>VLOOKUP(G172,Info_Zona!A:B,2,FALSE)</f>
        <v>Zona 4</v>
      </c>
      <c r="L172">
        <v>155</v>
      </c>
      <c r="M172" t="str">
        <f t="shared" si="2"/>
        <v>TIAS_4G</v>
      </c>
    </row>
    <row r="173" spans="1:13">
      <c r="A173" t="s">
        <v>70</v>
      </c>
      <c r="B173" t="s">
        <v>19</v>
      </c>
      <c r="C173" t="s">
        <v>25</v>
      </c>
      <c r="D173" t="str">
        <f>VLOOKUP(C173,Nomenclatura!A:B,2,FALSE)</f>
        <v>TIAS</v>
      </c>
      <c r="E173">
        <v>152</v>
      </c>
      <c r="F173" t="s">
        <v>51</v>
      </c>
      <c r="G173" t="s">
        <v>63</v>
      </c>
      <c r="H173">
        <v>143</v>
      </c>
      <c r="I173" t="s">
        <v>52</v>
      </c>
      <c r="J173" t="str">
        <f>VLOOKUP(G173,Info_Zona!A:B,2,FALSE)</f>
        <v>Zona 4</v>
      </c>
      <c r="L173">
        <v>152</v>
      </c>
      <c r="M173" t="str">
        <f t="shared" si="2"/>
        <v>TIAS_4G</v>
      </c>
    </row>
    <row r="174" spans="1:13">
      <c r="A174" t="s">
        <v>755</v>
      </c>
      <c r="B174" t="s">
        <v>19</v>
      </c>
      <c r="C174" t="s">
        <v>26</v>
      </c>
      <c r="D174" t="str">
        <f>VLOOKUP(C174,Nomenclatura!A:B,2,FALSE)</f>
        <v>YAIZA</v>
      </c>
      <c r="E174">
        <v>228</v>
      </c>
      <c r="F174" t="s">
        <v>51</v>
      </c>
      <c r="G174" t="s">
        <v>63</v>
      </c>
      <c r="H174">
        <v>220</v>
      </c>
      <c r="I174" t="s">
        <v>52</v>
      </c>
      <c r="J174" t="str">
        <f>VLOOKUP(G174,Info_Zona!A:B,2,FALSE)</f>
        <v>Zona 4</v>
      </c>
      <c r="L174">
        <v>228</v>
      </c>
      <c r="M174" t="str">
        <f t="shared" si="2"/>
        <v>YAIZA_3G</v>
      </c>
    </row>
    <row r="175" spans="1:13">
      <c r="A175" t="s">
        <v>755</v>
      </c>
      <c r="B175" t="s">
        <v>19</v>
      </c>
      <c r="C175" t="s">
        <v>26</v>
      </c>
      <c r="D175" t="str">
        <f>VLOOKUP(C175,Nomenclatura!A:B,2,FALSE)</f>
        <v>YAIZA</v>
      </c>
      <c r="E175">
        <v>140</v>
      </c>
      <c r="F175" t="s">
        <v>51</v>
      </c>
      <c r="G175" t="s">
        <v>63</v>
      </c>
      <c r="H175">
        <v>134</v>
      </c>
      <c r="I175" t="s">
        <v>52</v>
      </c>
      <c r="J175" t="str">
        <f>VLOOKUP(G175,Info_Zona!A:B,2,FALSE)</f>
        <v>Zona 4</v>
      </c>
      <c r="L175">
        <v>140</v>
      </c>
      <c r="M175" t="str">
        <f t="shared" si="2"/>
        <v>YAIZA_3G</v>
      </c>
    </row>
    <row r="176" spans="1:13">
      <c r="A176" t="s">
        <v>755</v>
      </c>
      <c r="B176" t="s">
        <v>19</v>
      </c>
      <c r="C176" t="s">
        <v>26</v>
      </c>
      <c r="D176" t="str">
        <f>VLOOKUP(C176,Nomenclatura!A:B,2,FALSE)</f>
        <v>YAIZA</v>
      </c>
      <c r="E176">
        <v>138</v>
      </c>
      <c r="F176" t="s">
        <v>51</v>
      </c>
      <c r="G176" t="s">
        <v>63</v>
      </c>
      <c r="H176">
        <v>130</v>
      </c>
      <c r="I176" t="s">
        <v>52</v>
      </c>
      <c r="J176" t="str">
        <f>VLOOKUP(G176,Info_Zona!A:B,2,FALSE)</f>
        <v>Zona 4</v>
      </c>
      <c r="L176">
        <v>138</v>
      </c>
      <c r="M176" t="str">
        <f t="shared" si="2"/>
        <v>YAIZA_3G</v>
      </c>
    </row>
    <row r="177" spans="1:13">
      <c r="A177" t="s">
        <v>755</v>
      </c>
      <c r="B177" t="s">
        <v>19</v>
      </c>
      <c r="C177" t="s">
        <v>26</v>
      </c>
      <c r="D177" t="str">
        <f>VLOOKUP(C177,Nomenclatura!A:B,2,FALSE)</f>
        <v>YAIZA</v>
      </c>
      <c r="E177">
        <v>225</v>
      </c>
      <c r="F177" t="s">
        <v>51</v>
      </c>
      <c r="G177" t="s">
        <v>63</v>
      </c>
      <c r="H177">
        <v>219</v>
      </c>
      <c r="I177" t="s">
        <v>52</v>
      </c>
      <c r="J177" t="str">
        <f>VLOOKUP(G177,Info_Zona!A:B,2,FALSE)</f>
        <v>Zona 4</v>
      </c>
      <c r="L177">
        <v>225</v>
      </c>
      <c r="M177" t="str">
        <f t="shared" si="2"/>
        <v>YAIZA_3G</v>
      </c>
    </row>
    <row r="178" spans="1:13">
      <c r="A178" t="s">
        <v>70</v>
      </c>
      <c r="B178" t="s">
        <v>19</v>
      </c>
      <c r="C178" t="s">
        <v>26</v>
      </c>
      <c r="D178" t="str">
        <f>VLOOKUP(C178,Nomenclatura!A:B,2,FALSE)</f>
        <v>YAIZA</v>
      </c>
      <c r="E178">
        <v>308</v>
      </c>
      <c r="F178" t="s">
        <v>51</v>
      </c>
      <c r="G178" t="s">
        <v>63</v>
      </c>
      <c r="H178">
        <v>307</v>
      </c>
      <c r="I178" t="s">
        <v>52</v>
      </c>
      <c r="J178" t="str">
        <f>VLOOKUP(G178,Info_Zona!A:B,2,FALSE)</f>
        <v>Zona 4</v>
      </c>
      <c r="L178">
        <v>308</v>
      </c>
      <c r="M178" t="str">
        <f t="shared" si="2"/>
        <v>YAIZA_4G</v>
      </c>
    </row>
    <row r="179" spans="1:13">
      <c r="A179" t="s">
        <v>70</v>
      </c>
      <c r="B179" t="s">
        <v>19</v>
      </c>
      <c r="C179" t="s">
        <v>26</v>
      </c>
      <c r="D179" t="str">
        <f>VLOOKUP(C179,Nomenclatura!A:B,2,FALSE)</f>
        <v>YAIZA</v>
      </c>
      <c r="E179">
        <v>310</v>
      </c>
      <c r="F179" t="s">
        <v>51</v>
      </c>
      <c r="G179" t="s">
        <v>63</v>
      </c>
      <c r="H179">
        <v>309</v>
      </c>
      <c r="I179" t="s">
        <v>52</v>
      </c>
      <c r="J179" t="str">
        <f>VLOOKUP(G179,Info_Zona!A:B,2,FALSE)</f>
        <v>Zona 4</v>
      </c>
      <c r="L179">
        <v>310</v>
      </c>
      <c r="M179" t="str">
        <f t="shared" si="2"/>
        <v>YAIZA_4G</v>
      </c>
    </row>
    <row r="180" spans="1:13">
      <c r="A180" t="s">
        <v>70</v>
      </c>
      <c r="B180" t="s">
        <v>19</v>
      </c>
      <c r="C180" t="s">
        <v>26</v>
      </c>
      <c r="D180" t="str">
        <f>VLOOKUP(C180,Nomenclatura!A:B,2,FALSE)</f>
        <v>YAIZA</v>
      </c>
      <c r="E180">
        <v>307</v>
      </c>
      <c r="F180" t="s">
        <v>51</v>
      </c>
      <c r="G180" t="s">
        <v>63</v>
      </c>
      <c r="H180">
        <v>305</v>
      </c>
      <c r="I180" t="s">
        <v>52</v>
      </c>
      <c r="J180" t="str">
        <f>VLOOKUP(G180,Info_Zona!A:B,2,FALSE)</f>
        <v>Zona 4</v>
      </c>
      <c r="L180">
        <v>307</v>
      </c>
      <c r="M180" t="str">
        <f t="shared" si="2"/>
        <v>YAIZA_4G</v>
      </c>
    </row>
    <row r="181" spans="1:13">
      <c r="A181" t="s">
        <v>70</v>
      </c>
      <c r="B181" t="s">
        <v>19</v>
      </c>
      <c r="C181" t="s">
        <v>26</v>
      </c>
      <c r="D181" t="str">
        <f>VLOOKUP(C181,Nomenclatura!A:B,2,FALSE)</f>
        <v>YAIZA</v>
      </c>
      <c r="E181">
        <v>308</v>
      </c>
      <c r="F181" t="s">
        <v>51</v>
      </c>
      <c r="G181" t="s">
        <v>63</v>
      </c>
      <c r="H181">
        <v>307</v>
      </c>
      <c r="I181" t="s">
        <v>52</v>
      </c>
      <c r="J181" t="str">
        <f>VLOOKUP(G181,Info_Zona!A:B,2,FALSE)</f>
        <v>Zona 4</v>
      </c>
      <c r="L181">
        <v>308</v>
      </c>
      <c r="M181" t="str">
        <f t="shared" si="2"/>
        <v>YAIZA_4G</v>
      </c>
    </row>
    <row r="182" spans="1:13">
      <c r="A182" t="s">
        <v>70</v>
      </c>
      <c r="B182" t="s">
        <v>2</v>
      </c>
      <c r="C182" t="s">
        <v>32</v>
      </c>
      <c r="D182" t="str">
        <f>VLOOKUP(C182,Nomenclatura!A:B,2,FALSE)</f>
        <v>LANGREO</v>
      </c>
      <c r="E182">
        <v>95</v>
      </c>
      <c r="F182" t="s">
        <v>51</v>
      </c>
      <c r="G182" t="s">
        <v>64</v>
      </c>
      <c r="H182">
        <v>118</v>
      </c>
      <c r="I182" t="s">
        <v>52</v>
      </c>
      <c r="J182" t="str">
        <f>VLOOKUP(G182,Info_Zona!A:B,2,FALSE)</f>
        <v>Zona 5</v>
      </c>
      <c r="K182" s="5" t="s">
        <v>71</v>
      </c>
      <c r="L182">
        <v>95</v>
      </c>
      <c r="M182" t="str">
        <f t="shared" si="2"/>
        <v>LANGREO_4G</v>
      </c>
    </row>
    <row r="183" spans="1:13">
      <c r="A183" t="s">
        <v>70</v>
      </c>
      <c r="B183" t="s">
        <v>2</v>
      </c>
      <c r="C183" t="s">
        <v>32</v>
      </c>
      <c r="D183" t="str">
        <f>VLOOKUP(C183,Nomenclatura!A:B,2,FALSE)</f>
        <v>LANGREO</v>
      </c>
      <c r="E183">
        <v>94</v>
      </c>
      <c r="F183" t="s">
        <v>51</v>
      </c>
      <c r="G183" t="s">
        <v>64</v>
      </c>
      <c r="H183">
        <v>121</v>
      </c>
      <c r="I183" t="s">
        <v>52</v>
      </c>
      <c r="J183" t="str">
        <f>VLOOKUP(G183,Info_Zona!A:B,2,FALSE)</f>
        <v>Zona 5</v>
      </c>
      <c r="K183" s="5" t="s">
        <v>71</v>
      </c>
      <c r="L183">
        <v>94</v>
      </c>
      <c r="M183" t="str">
        <f t="shared" si="2"/>
        <v>LANGREO_4G</v>
      </c>
    </row>
    <row r="184" spans="1:13">
      <c r="A184" t="s">
        <v>70</v>
      </c>
      <c r="B184" t="s">
        <v>2</v>
      </c>
      <c r="C184" t="s">
        <v>32</v>
      </c>
      <c r="D184" t="str">
        <f>VLOOKUP(C184,Nomenclatura!A:B,2,FALSE)</f>
        <v>LANGREO</v>
      </c>
      <c r="E184">
        <v>97</v>
      </c>
      <c r="F184" t="s">
        <v>51</v>
      </c>
      <c r="G184" t="s">
        <v>64</v>
      </c>
      <c r="H184">
        <v>121</v>
      </c>
      <c r="I184" t="s">
        <v>52</v>
      </c>
      <c r="J184" t="str">
        <f>VLOOKUP(G184,Info_Zona!A:B,2,FALSE)</f>
        <v>Zona 5</v>
      </c>
      <c r="K184" s="5" t="s">
        <v>71</v>
      </c>
      <c r="L184">
        <v>97</v>
      </c>
      <c r="M184" t="str">
        <f t="shared" si="2"/>
        <v>LANGREO_4G</v>
      </c>
    </row>
    <row r="185" spans="1:13">
      <c r="A185" t="s">
        <v>70</v>
      </c>
      <c r="B185" t="s">
        <v>2</v>
      </c>
      <c r="C185" t="s">
        <v>32</v>
      </c>
      <c r="D185" t="str">
        <f>VLOOKUP(C185,Nomenclatura!A:B,2,FALSE)</f>
        <v>LANGREO</v>
      </c>
      <c r="E185">
        <v>100</v>
      </c>
      <c r="F185" t="s">
        <v>51</v>
      </c>
      <c r="G185" t="s">
        <v>64</v>
      </c>
      <c r="H185">
        <v>126</v>
      </c>
      <c r="I185" t="s">
        <v>52</v>
      </c>
      <c r="J185" t="str">
        <f>VLOOKUP(G185,Info_Zona!A:B,2,FALSE)</f>
        <v>Zona 5</v>
      </c>
      <c r="K185" s="5" t="s">
        <v>71</v>
      </c>
      <c r="L185">
        <v>100</v>
      </c>
      <c r="M185" t="str">
        <f t="shared" si="2"/>
        <v>LANGREO_4G</v>
      </c>
    </row>
    <row r="186" spans="1:13">
      <c r="A186" t="s">
        <v>755</v>
      </c>
      <c r="B186" t="s">
        <v>19</v>
      </c>
      <c r="C186" t="s">
        <v>21</v>
      </c>
      <c r="D186" t="str">
        <f>VLOOKUP(C186,Nomenclatura!A:B,2,FALSE)</f>
        <v>LLANES</v>
      </c>
      <c r="E186">
        <v>68</v>
      </c>
      <c r="F186" t="s">
        <v>51</v>
      </c>
      <c r="G186" t="s">
        <v>64</v>
      </c>
      <c r="H186">
        <v>68</v>
      </c>
      <c r="I186" t="s">
        <v>52</v>
      </c>
      <c r="J186" t="str">
        <f>VLOOKUP(G186,Info_Zona!A:B,2,FALSE)</f>
        <v>Zona 5</v>
      </c>
      <c r="L186">
        <v>68</v>
      </c>
      <c r="M186" t="str">
        <f t="shared" si="2"/>
        <v>LLANES_3G</v>
      </c>
    </row>
    <row r="187" spans="1:13">
      <c r="A187" t="s">
        <v>755</v>
      </c>
      <c r="B187" t="s">
        <v>19</v>
      </c>
      <c r="C187" t="s">
        <v>21</v>
      </c>
      <c r="D187" t="str">
        <f>VLOOKUP(C187,Nomenclatura!A:B,2,FALSE)</f>
        <v>LLANES</v>
      </c>
      <c r="E187">
        <v>63</v>
      </c>
      <c r="F187" t="s">
        <v>51</v>
      </c>
      <c r="G187" t="s">
        <v>64</v>
      </c>
      <c r="H187">
        <v>62</v>
      </c>
      <c r="I187" t="s">
        <v>52</v>
      </c>
      <c r="J187" t="str">
        <f>VLOOKUP(G187,Info_Zona!A:B,2,FALSE)</f>
        <v>Zona 5</v>
      </c>
      <c r="L187">
        <v>63</v>
      </c>
      <c r="M187" t="str">
        <f t="shared" si="2"/>
        <v>LLANES_3G</v>
      </c>
    </row>
    <row r="188" spans="1:13">
      <c r="A188" t="s">
        <v>755</v>
      </c>
      <c r="B188" t="s">
        <v>19</v>
      </c>
      <c r="C188" t="s">
        <v>21</v>
      </c>
      <c r="D188" t="str">
        <f>VLOOKUP(C188,Nomenclatura!A:B,2,FALSE)</f>
        <v>LLANES</v>
      </c>
      <c r="E188">
        <v>67</v>
      </c>
      <c r="F188" t="s">
        <v>51</v>
      </c>
      <c r="G188" t="s">
        <v>64</v>
      </c>
      <c r="H188">
        <v>67</v>
      </c>
      <c r="I188" t="s">
        <v>52</v>
      </c>
      <c r="J188" t="str">
        <f>VLOOKUP(G188,Info_Zona!A:B,2,FALSE)</f>
        <v>Zona 5</v>
      </c>
      <c r="L188">
        <v>67</v>
      </c>
      <c r="M188" t="str">
        <f t="shared" si="2"/>
        <v>LLANES_3G</v>
      </c>
    </row>
    <row r="189" spans="1:13">
      <c r="A189" t="s">
        <v>755</v>
      </c>
      <c r="B189" t="s">
        <v>19</v>
      </c>
      <c r="C189" t="s">
        <v>21</v>
      </c>
      <c r="D189" t="str">
        <f>VLOOKUP(C189,Nomenclatura!A:B,2,FALSE)</f>
        <v>LLANES</v>
      </c>
      <c r="E189">
        <v>66</v>
      </c>
      <c r="F189" t="s">
        <v>51</v>
      </c>
      <c r="G189" t="s">
        <v>64</v>
      </c>
      <c r="H189">
        <v>66</v>
      </c>
      <c r="I189" t="s">
        <v>52</v>
      </c>
      <c r="J189" t="str">
        <f>VLOOKUP(G189,Info_Zona!A:B,2,FALSE)</f>
        <v>Zona 5</v>
      </c>
      <c r="L189">
        <v>66</v>
      </c>
      <c r="M189" t="str">
        <f t="shared" si="2"/>
        <v>LLANES_3G</v>
      </c>
    </row>
  </sheetData>
  <sortState ref="A2:K1043692">
    <sortCondition ref="J2:J1043692"/>
    <sortCondition ref="C2:C1043692"/>
    <sortCondition ref="A2:A1043692"/>
  </sortState>
  <conditionalFormatting sqref="H1:H1048576">
    <cfRule type="cellIs" dxfId="1" priority="2" operator="equal">
      <formula>$L1</formula>
    </cfRule>
  </conditionalFormatting>
  <conditionalFormatting sqref="E1:E1048576">
    <cfRule type="cellIs" dxfId="0" priority="1" operator="equal">
      <formula>$L1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53"/>
  <sheetViews>
    <sheetView workbookViewId="0">
      <selection activeCell="E15" sqref="E15"/>
    </sheetView>
  </sheetViews>
  <sheetFormatPr baseColWidth="10" defaultRowHeight="15"/>
  <cols>
    <col min="1" max="1" width="25.28515625" style="4" bestFit="1" customWidth="1"/>
    <col min="2" max="2" width="11.42578125" style="4"/>
    <col min="3" max="3" width="21.5703125" bestFit="1" customWidth="1"/>
  </cols>
  <sheetData>
    <row r="1" spans="1:3">
      <c r="A1" s="1" t="s">
        <v>55</v>
      </c>
      <c r="B1" s="1" t="s">
        <v>72</v>
      </c>
      <c r="C1" s="2" t="s">
        <v>79</v>
      </c>
    </row>
    <row r="2" spans="1:3">
      <c r="A2" s="3" t="s">
        <v>80</v>
      </c>
      <c r="B2" s="3" t="s">
        <v>75</v>
      </c>
      <c r="C2" t="s">
        <v>81</v>
      </c>
    </row>
    <row r="3" spans="1:3">
      <c r="A3" s="3" t="s">
        <v>82</v>
      </c>
      <c r="B3" s="3" t="s">
        <v>73</v>
      </c>
      <c r="C3" t="s">
        <v>83</v>
      </c>
    </row>
    <row r="4" spans="1:3">
      <c r="A4" s="3" t="s">
        <v>59</v>
      </c>
      <c r="B4" s="3" t="s">
        <v>73</v>
      </c>
      <c r="C4" t="s">
        <v>84</v>
      </c>
    </row>
    <row r="5" spans="1:3">
      <c r="A5" s="3" t="s">
        <v>85</v>
      </c>
      <c r="B5" s="3" t="s">
        <v>76</v>
      </c>
      <c r="C5" t="s">
        <v>86</v>
      </c>
    </row>
    <row r="6" spans="1:3">
      <c r="A6" s="3" t="s">
        <v>64</v>
      </c>
      <c r="B6" s="3" t="s">
        <v>77</v>
      </c>
      <c r="C6" t="s">
        <v>87</v>
      </c>
    </row>
    <row r="7" spans="1:3">
      <c r="A7" s="3" t="s">
        <v>88</v>
      </c>
      <c r="B7" s="3" t="s">
        <v>74</v>
      </c>
      <c r="C7" t="s">
        <v>89</v>
      </c>
    </row>
    <row r="8" spans="1:3">
      <c r="A8" s="3" t="s">
        <v>90</v>
      </c>
      <c r="B8" s="3" t="s">
        <v>76</v>
      </c>
      <c r="C8" t="s">
        <v>91</v>
      </c>
    </row>
    <row r="9" spans="1:3">
      <c r="A9" s="3" t="s">
        <v>61</v>
      </c>
      <c r="B9" s="3" t="s">
        <v>73</v>
      </c>
      <c r="C9" t="s">
        <v>92</v>
      </c>
    </row>
    <row r="10" spans="1:3">
      <c r="A10" s="3" t="s">
        <v>40</v>
      </c>
      <c r="B10" s="3" t="s">
        <v>75</v>
      </c>
      <c r="C10" t="s">
        <v>93</v>
      </c>
    </row>
    <row r="11" spans="1:3">
      <c r="A11" s="3" t="s">
        <v>94</v>
      </c>
      <c r="B11" s="3" t="s">
        <v>77</v>
      </c>
      <c r="C11" t="s">
        <v>89</v>
      </c>
    </row>
    <row r="12" spans="1:3">
      <c r="A12" s="3" t="s">
        <v>95</v>
      </c>
      <c r="B12" s="3" t="s">
        <v>76</v>
      </c>
      <c r="C12" t="s">
        <v>91</v>
      </c>
    </row>
    <row r="13" spans="1:3">
      <c r="A13" s="3" t="s">
        <v>65</v>
      </c>
      <c r="B13" s="3" t="s">
        <v>76</v>
      </c>
      <c r="C13" t="s">
        <v>86</v>
      </c>
    </row>
    <row r="14" spans="1:3">
      <c r="A14" s="3" t="s">
        <v>96</v>
      </c>
      <c r="B14" s="3" t="s">
        <v>77</v>
      </c>
      <c r="C14" t="s">
        <v>97</v>
      </c>
    </row>
    <row r="15" spans="1:3">
      <c r="A15" s="3" t="s">
        <v>67</v>
      </c>
      <c r="B15" s="3" t="s">
        <v>73</v>
      </c>
      <c r="C15" t="s">
        <v>84</v>
      </c>
    </row>
    <row r="16" spans="1:3">
      <c r="A16" s="3" t="s">
        <v>98</v>
      </c>
      <c r="B16" s="3" t="s">
        <v>76</v>
      </c>
      <c r="C16" t="s">
        <v>99</v>
      </c>
    </row>
    <row r="17" spans="1:3">
      <c r="A17" s="3" t="s">
        <v>100</v>
      </c>
      <c r="B17" s="3" t="s">
        <v>74</v>
      </c>
      <c r="C17" t="s">
        <v>83</v>
      </c>
    </row>
    <row r="18" spans="1:3">
      <c r="A18" s="3" t="s">
        <v>101</v>
      </c>
      <c r="B18" s="3" t="s">
        <v>76</v>
      </c>
      <c r="C18" t="s">
        <v>86</v>
      </c>
    </row>
    <row r="19" spans="1:3">
      <c r="A19" s="3" t="s">
        <v>102</v>
      </c>
      <c r="B19" s="3" t="s">
        <v>77</v>
      </c>
      <c r="C19" t="s">
        <v>103</v>
      </c>
    </row>
    <row r="20" spans="1:3">
      <c r="A20" s="3" t="s">
        <v>104</v>
      </c>
      <c r="B20" s="3" t="s">
        <v>74</v>
      </c>
      <c r="C20" t="s">
        <v>83</v>
      </c>
    </row>
    <row r="21" spans="1:3">
      <c r="A21" s="3" t="s">
        <v>105</v>
      </c>
      <c r="B21" s="3" t="s">
        <v>75</v>
      </c>
      <c r="C21" t="s">
        <v>93</v>
      </c>
    </row>
    <row r="22" spans="1:3">
      <c r="A22" s="3" t="s">
        <v>106</v>
      </c>
      <c r="B22" s="3" t="s">
        <v>76</v>
      </c>
      <c r="C22" t="s">
        <v>86</v>
      </c>
    </row>
    <row r="23" spans="1:3">
      <c r="A23" s="3" t="s">
        <v>57</v>
      </c>
      <c r="B23" s="3" t="s">
        <v>74</v>
      </c>
      <c r="C23" t="s">
        <v>83</v>
      </c>
    </row>
    <row r="24" spans="1:3">
      <c r="A24" s="3" t="s">
        <v>107</v>
      </c>
      <c r="B24" s="3" t="s">
        <v>75</v>
      </c>
      <c r="C24" t="s">
        <v>81</v>
      </c>
    </row>
    <row r="25" spans="1:3">
      <c r="A25" s="3" t="s">
        <v>62</v>
      </c>
      <c r="B25" s="3" t="s">
        <v>76</v>
      </c>
      <c r="C25" t="s">
        <v>86</v>
      </c>
    </row>
    <row r="26" spans="1:3">
      <c r="A26" s="3" t="s">
        <v>108</v>
      </c>
      <c r="B26" s="3" t="s">
        <v>75</v>
      </c>
      <c r="C26" t="s">
        <v>109</v>
      </c>
    </row>
    <row r="27" spans="1:3">
      <c r="A27" s="3" t="s">
        <v>110</v>
      </c>
      <c r="B27" s="3" t="s">
        <v>76</v>
      </c>
      <c r="C27" t="s">
        <v>86</v>
      </c>
    </row>
    <row r="28" spans="1:3">
      <c r="A28" s="3" t="s">
        <v>111</v>
      </c>
      <c r="B28" s="3" t="s">
        <v>77</v>
      </c>
      <c r="C28" t="s">
        <v>89</v>
      </c>
    </row>
    <row r="29" spans="1:3">
      <c r="A29" s="3" t="s">
        <v>112</v>
      </c>
      <c r="B29" s="3" t="s">
        <v>75</v>
      </c>
      <c r="C29" t="s">
        <v>93</v>
      </c>
    </row>
    <row r="30" spans="1:3">
      <c r="A30" s="3" t="s">
        <v>113</v>
      </c>
      <c r="B30" s="3" t="s">
        <v>77</v>
      </c>
      <c r="C30" t="s">
        <v>103</v>
      </c>
    </row>
    <row r="31" spans="1:3">
      <c r="A31" s="3" t="s">
        <v>66</v>
      </c>
      <c r="B31" s="3" t="s">
        <v>74</v>
      </c>
      <c r="C31" t="s">
        <v>114</v>
      </c>
    </row>
    <row r="32" spans="1:3">
      <c r="A32" s="3" t="s">
        <v>115</v>
      </c>
      <c r="B32" s="3" t="s">
        <v>76</v>
      </c>
      <c r="C32" t="s">
        <v>86</v>
      </c>
    </row>
    <row r="33" spans="1:3">
      <c r="A33" s="3" t="s">
        <v>116</v>
      </c>
      <c r="B33" s="3" t="s">
        <v>76</v>
      </c>
      <c r="C33" t="s">
        <v>99</v>
      </c>
    </row>
    <row r="34" spans="1:3">
      <c r="A34" s="3" t="s">
        <v>68</v>
      </c>
      <c r="B34" s="3" t="s">
        <v>73</v>
      </c>
      <c r="C34" t="s">
        <v>117</v>
      </c>
    </row>
    <row r="35" spans="1:3">
      <c r="A35" s="3" t="s">
        <v>118</v>
      </c>
      <c r="B35" s="3" t="s">
        <v>75</v>
      </c>
      <c r="C35" t="s">
        <v>119</v>
      </c>
    </row>
    <row r="36" spans="1:3">
      <c r="A36" s="3" t="s">
        <v>120</v>
      </c>
      <c r="B36" s="3" t="s">
        <v>77</v>
      </c>
      <c r="C36" t="s">
        <v>103</v>
      </c>
    </row>
    <row r="37" spans="1:3">
      <c r="A37" s="3" t="s">
        <v>121</v>
      </c>
      <c r="B37" s="3" t="s">
        <v>77</v>
      </c>
      <c r="C37" t="s">
        <v>89</v>
      </c>
    </row>
    <row r="38" spans="1:3">
      <c r="A38" s="3" t="s">
        <v>63</v>
      </c>
      <c r="B38" s="3" t="s">
        <v>76</v>
      </c>
      <c r="C38" t="s">
        <v>122</v>
      </c>
    </row>
    <row r="39" spans="1:3">
      <c r="A39" s="3" t="s">
        <v>123</v>
      </c>
      <c r="B39" s="3" t="s">
        <v>77</v>
      </c>
      <c r="C39" t="s">
        <v>103</v>
      </c>
    </row>
    <row r="40" spans="1:3">
      <c r="A40" s="3" t="s">
        <v>124</v>
      </c>
      <c r="B40" s="3" t="s">
        <v>75</v>
      </c>
      <c r="C40" t="s">
        <v>125</v>
      </c>
    </row>
    <row r="41" spans="1:3">
      <c r="A41" s="3" t="s">
        <v>126</v>
      </c>
      <c r="B41" s="3" t="s">
        <v>74</v>
      </c>
      <c r="C41" t="s">
        <v>89</v>
      </c>
    </row>
    <row r="42" spans="1:3">
      <c r="A42" s="3" t="s">
        <v>60</v>
      </c>
      <c r="B42" s="3" t="s">
        <v>76</v>
      </c>
      <c r="C42" t="s">
        <v>122</v>
      </c>
    </row>
    <row r="43" spans="1:3">
      <c r="A43" s="3" t="s">
        <v>127</v>
      </c>
      <c r="B43" s="3" t="s">
        <v>74</v>
      </c>
      <c r="C43" t="s">
        <v>89</v>
      </c>
    </row>
    <row r="44" spans="1:3">
      <c r="A44" s="3" t="s">
        <v>128</v>
      </c>
      <c r="B44" s="3" t="s">
        <v>76</v>
      </c>
      <c r="C44" t="s">
        <v>86</v>
      </c>
    </row>
    <row r="45" spans="1:3">
      <c r="A45" s="3" t="s">
        <v>129</v>
      </c>
      <c r="B45" s="3" t="s">
        <v>74</v>
      </c>
      <c r="C45" t="s">
        <v>89</v>
      </c>
    </row>
    <row r="46" spans="1:3">
      <c r="A46" s="3" t="s">
        <v>130</v>
      </c>
      <c r="B46" s="3" t="s">
        <v>75</v>
      </c>
      <c r="C46" t="s">
        <v>93</v>
      </c>
    </row>
    <row r="47" spans="1:3">
      <c r="A47" s="3" t="s">
        <v>131</v>
      </c>
      <c r="B47" s="3" t="s">
        <v>73</v>
      </c>
      <c r="C47" t="s">
        <v>109</v>
      </c>
    </row>
    <row r="48" spans="1:3">
      <c r="A48" s="3" t="s">
        <v>132</v>
      </c>
      <c r="B48" s="3" t="s">
        <v>74</v>
      </c>
      <c r="C48" t="s">
        <v>83</v>
      </c>
    </row>
    <row r="49" spans="1:3">
      <c r="A49" s="3" t="s">
        <v>56</v>
      </c>
      <c r="B49" s="3" t="s">
        <v>73</v>
      </c>
      <c r="C49" t="s">
        <v>84</v>
      </c>
    </row>
    <row r="50" spans="1:3">
      <c r="A50" s="3" t="s">
        <v>133</v>
      </c>
      <c r="B50" s="3" t="s">
        <v>77</v>
      </c>
      <c r="C50" t="s">
        <v>89</v>
      </c>
    </row>
    <row r="51" spans="1:3">
      <c r="A51" s="3" t="s">
        <v>58</v>
      </c>
      <c r="B51" s="3" t="s">
        <v>75</v>
      </c>
      <c r="C51" t="s">
        <v>81</v>
      </c>
    </row>
    <row r="52" spans="1:3">
      <c r="A52" s="3" t="s">
        <v>134</v>
      </c>
      <c r="B52" s="3" t="s">
        <v>77</v>
      </c>
      <c r="C52" t="s">
        <v>89</v>
      </c>
    </row>
    <row r="53" spans="1:3">
      <c r="A53" s="3" t="s">
        <v>135</v>
      </c>
      <c r="B53" s="3" t="s">
        <v>75</v>
      </c>
      <c r="C53" t="s">
        <v>109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892"/>
  <sheetViews>
    <sheetView workbookViewId="0">
      <selection sqref="A1:C1"/>
    </sheetView>
  </sheetViews>
  <sheetFormatPr baseColWidth="10" defaultRowHeight="15"/>
  <cols>
    <col min="1" max="1" width="36.85546875" bestFit="1" customWidth="1"/>
    <col min="2" max="2" width="27.42578125" bestFit="1" customWidth="1"/>
    <col min="3" max="3" width="36.85546875" bestFit="1" customWidth="1"/>
  </cols>
  <sheetData>
    <row r="1" spans="1:3">
      <c r="A1" t="s">
        <v>136</v>
      </c>
      <c r="B1" t="s">
        <v>137</v>
      </c>
      <c r="C1" t="s">
        <v>136</v>
      </c>
    </row>
    <row r="2" spans="1:3">
      <c r="A2" t="s">
        <v>138</v>
      </c>
      <c r="B2" t="s">
        <v>139</v>
      </c>
      <c r="C2" t="s">
        <v>138</v>
      </c>
    </row>
    <row r="3" spans="1:3">
      <c r="A3" t="s">
        <v>140</v>
      </c>
      <c r="B3" t="s">
        <v>140</v>
      </c>
      <c r="C3" t="s">
        <v>140</v>
      </c>
    </row>
    <row r="4" spans="1:3">
      <c r="A4" t="s">
        <v>141</v>
      </c>
      <c r="B4" t="s">
        <v>142</v>
      </c>
      <c r="C4" t="s">
        <v>141</v>
      </c>
    </row>
    <row r="5" spans="1:3">
      <c r="A5" t="s">
        <v>127</v>
      </c>
      <c r="B5" t="s">
        <v>127</v>
      </c>
      <c r="C5" t="s">
        <v>127</v>
      </c>
    </row>
    <row r="6" spans="1:3">
      <c r="A6" t="s">
        <v>143</v>
      </c>
      <c r="B6" t="s">
        <v>143</v>
      </c>
      <c r="C6" t="s">
        <v>143</v>
      </c>
    </row>
    <row r="7" spans="1:3">
      <c r="A7" t="s">
        <v>144</v>
      </c>
      <c r="B7" t="s">
        <v>144</v>
      </c>
      <c r="C7" t="s">
        <v>144</v>
      </c>
    </row>
    <row r="8" spans="1:3">
      <c r="A8" t="s">
        <v>145</v>
      </c>
      <c r="B8" t="s">
        <v>146</v>
      </c>
      <c r="C8" t="s">
        <v>145</v>
      </c>
    </row>
    <row r="9" spans="1:3">
      <c r="A9" t="s">
        <v>57</v>
      </c>
      <c r="B9" t="s">
        <v>57</v>
      </c>
      <c r="C9" t="s">
        <v>57</v>
      </c>
    </row>
    <row r="10" spans="1:3">
      <c r="A10" t="s">
        <v>147</v>
      </c>
      <c r="B10" t="s">
        <v>147</v>
      </c>
      <c r="C10" t="s">
        <v>147</v>
      </c>
    </row>
    <row r="11" spans="1:3">
      <c r="A11" t="s">
        <v>6</v>
      </c>
      <c r="B11" t="s">
        <v>6</v>
      </c>
      <c r="C11" t="s">
        <v>6</v>
      </c>
    </row>
    <row r="12" spans="1:3">
      <c r="A12" t="s">
        <v>8</v>
      </c>
      <c r="B12" t="s">
        <v>8</v>
      </c>
      <c r="C12" t="s">
        <v>8</v>
      </c>
    </row>
    <row r="13" spans="1:3">
      <c r="A13" t="s">
        <v>148</v>
      </c>
      <c r="B13" t="s">
        <v>149</v>
      </c>
      <c r="C13" t="s">
        <v>148</v>
      </c>
    </row>
    <row r="14" spans="1:3">
      <c r="A14" t="s">
        <v>150</v>
      </c>
      <c r="B14" t="s">
        <v>150</v>
      </c>
      <c r="C14" t="s">
        <v>150</v>
      </c>
    </row>
    <row r="15" spans="1:3">
      <c r="A15" t="s">
        <v>151</v>
      </c>
      <c r="B15" t="s">
        <v>151</v>
      </c>
      <c r="C15" t="s">
        <v>151</v>
      </c>
    </row>
    <row r="16" spans="1:3">
      <c r="A16" t="s">
        <v>152</v>
      </c>
      <c r="B16" t="s">
        <v>152</v>
      </c>
      <c r="C16" t="s">
        <v>152</v>
      </c>
    </row>
    <row r="17" spans="1:3">
      <c r="A17" t="s">
        <v>153</v>
      </c>
      <c r="B17" t="s">
        <v>153</v>
      </c>
      <c r="C17" t="s">
        <v>153</v>
      </c>
    </row>
    <row r="18" spans="1:3">
      <c r="A18" t="s">
        <v>154</v>
      </c>
      <c r="B18" t="s">
        <v>154</v>
      </c>
      <c r="C18" t="s">
        <v>154</v>
      </c>
    </row>
    <row r="19" spans="1:3">
      <c r="A19" t="s">
        <v>155</v>
      </c>
      <c r="B19" t="s">
        <v>156</v>
      </c>
      <c r="C19" t="s">
        <v>155</v>
      </c>
    </row>
    <row r="20" spans="1:3">
      <c r="A20" t="s">
        <v>157</v>
      </c>
      <c r="B20" t="s">
        <v>157</v>
      </c>
      <c r="C20" t="s">
        <v>157</v>
      </c>
    </row>
    <row r="21" spans="1:3">
      <c r="A21" t="s">
        <v>111</v>
      </c>
      <c r="B21" t="s">
        <v>111</v>
      </c>
      <c r="C21" t="s">
        <v>111</v>
      </c>
    </row>
    <row r="22" spans="1:3">
      <c r="A22" t="s">
        <v>121</v>
      </c>
      <c r="B22" t="s">
        <v>121</v>
      </c>
      <c r="C22" t="s">
        <v>121</v>
      </c>
    </row>
    <row r="23" spans="1:3">
      <c r="A23" t="s">
        <v>130</v>
      </c>
      <c r="B23" t="s">
        <v>130</v>
      </c>
      <c r="C23" t="s">
        <v>130</v>
      </c>
    </row>
    <row r="24" spans="1:3">
      <c r="A24" t="s">
        <v>158</v>
      </c>
      <c r="B24" t="s">
        <v>159</v>
      </c>
      <c r="C24" t="s">
        <v>158</v>
      </c>
    </row>
    <row r="25" spans="1:3">
      <c r="A25" t="s">
        <v>160</v>
      </c>
      <c r="B25" t="s">
        <v>160</v>
      </c>
      <c r="C25" t="s">
        <v>160</v>
      </c>
    </row>
    <row r="26" spans="1:3">
      <c r="A26" t="s">
        <v>161</v>
      </c>
      <c r="B26" t="s">
        <v>161</v>
      </c>
      <c r="C26" t="s">
        <v>161</v>
      </c>
    </row>
    <row r="27" spans="1:3">
      <c r="A27" t="s">
        <v>162</v>
      </c>
      <c r="B27" t="s">
        <v>162</v>
      </c>
      <c r="C27" t="s">
        <v>162</v>
      </c>
    </row>
    <row r="28" spans="1:3">
      <c r="A28" t="s">
        <v>113</v>
      </c>
      <c r="B28" t="s">
        <v>113</v>
      </c>
      <c r="C28" t="s">
        <v>113</v>
      </c>
    </row>
    <row r="29" spans="1:3">
      <c r="A29" t="s">
        <v>163</v>
      </c>
      <c r="B29" t="s">
        <v>163</v>
      </c>
      <c r="C29" t="s">
        <v>163</v>
      </c>
    </row>
    <row r="30" spans="1:3">
      <c r="A30" t="s">
        <v>164</v>
      </c>
      <c r="B30" t="s">
        <v>164</v>
      </c>
      <c r="C30" t="s">
        <v>164</v>
      </c>
    </row>
    <row r="31" spans="1:3">
      <c r="A31" t="s">
        <v>120</v>
      </c>
      <c r="B31" t="s">
        <v>120</v>
      </c>
      <c r="C31" t="s">
        <v>120</v>
      </c>
    </row>
    <row r="32" spans="1:3">
      <c r="A32" t="s">
        <v>123</v>
      </c>
      <c r="B32" t="s">
        <v>123</v>
      </c>
      <c r="C32" t="s">
        <v>123</v>
      </c>
    </row>
    <row r="33" spans="1:3">
      <c r="A33" t="s">
        <v>165</v>
      </c>
      <c r="B33" t="s">
        <v>165</v>
      </c>
      <c r="C33" t="s">
        <v>165</v>
      </c>
    </row>
    <row r="34" spans="1:3">
      <c r="A34" t="s">
        <v>166</v>
      </c>
      <c r="B34" t="s">
        <v>166</v>
      </c>
      <c r="C34" t="s">
        <v>166</v>
      </c>
    </row>
    <row r="35" spans="1:3">
      <c r="A35" t="s">
        <v>32</v>
      </c>
      <c r="B35" t="s">
        <v>32</v>
      </c>
      <c r="C35" t="s">
        <v>32</v>
      </c>
    </row>
    <row r="36" spans="1:3">
      <c r="A36" t="s">
        <v>167</v>
      </c>
      <c r="B36" t="s">
        <v>168</v>
      </c>
      <c r="C36" t="s">
        <v>167</v>
      </c>
    </row>
    <row r="37" spans="1:3">
      <c r="A37" t="s">
        <v>169</v>
      </c>
      <c r="B37" t="s">
        <v>169</v>
      </c>
      <c r="C37" t="s">
        <v>169</v>
      </c>
    </row>
    <row r="38" spans="1:3">
      <c r="A38" t="s">
        <v>170</v>
      </c>
      <c r="B38" t="s">
        <v>170</v>
      </c>
      <c r="C38" t="s">
        <v>170</v>
      </c>
    </row>
    <row r="39" spans="1:3">
      <c r="A39" t="s">
        <v>171</v>
      </c>
      <c r="B39" t="s">
        <v>171</v>
      </c>
      <c r="C39" t="s">
        <v>171</v>
      </c>
    </row>
    <row r="40" spans="1:3">
      <c r="A40" t="s">
        <v>172</v>
      </c>
      <c r="B40" t="s">
        <v>172</v>
      </c>
      <c r="C40" t="s">
        <v>172</v>
      </c>
    </row>
    <row r="41" spans="1:3">
      <c r="A41" t="s">
        <v>173</v>
      </c>
      <c r="B41" t="s">
        <v>174</v>
      </c>
      <c r="C41" t="s">
        <v>173</v>
      </c>
    </row>
    <row r="42" spans="1:3">
      <c r="A42" t="s">
        <v>175</v>
      </c>
      <c r="B42" t="s">
        <v>175</v>
      </c>
      <c r="C42" t="s">
        <v>175</v>
      </c>
    </row>
    <row r="43" spans="1:3">
      <c r="A43" t="s">
        <v>88</v>
      </c>
      <c r="B43" t="s">
        <v>88</v>
      </c>
      <c r="C43" t="s">
        <v>88</v>
      </c>
    </row>
    <row r="44" spans="1:3">
      <c r="A44" t="s">
        <v>176</v>
      </c>
      <c r="B44" t="s">
        <v>176</v>
      </c>
      <c r="C44" t="s">
        <v>176</v>
      </c>
    </row>
    <row r="45" spans="1:3">
      <c r="A45" t="s">
        <v>126</v>
      </c>
      <c r="B45" t="s">
        <v>126</v>
      </c>
      <c r="C45" t="s">
        <v>126</v>
      </c>
    </row>
    <row r="46" spans="1:3">
      <c r="A46" t="s">
        <v>177</v>
      </c>
      <c r="B46" t="s">
        <v>177</v>
      </c>
      <c r="C46" t="s">
        <v>177</v>
      </c>
    </row>
    <row r="47" spans="1:3">
      <c r="A47" t="s">
        <v>178</v>
      </c>
      <c r="B47" t="s">
        <v>178</v>
      </c>
      <c r="C47" t="s">
        <v>178</v>
      </c>
    </row>
    <row r="48" spans="1:3">
      <c r="A48" t="s">
        <v>179</v>
      </c>
      <c r="B48" t="s">
        <v>179</v>
      </c>
      <c r="C48" t="s">
        <v>179</v>
      </c>
    </row>
    <row r="49" spans="1:3">
      <c r="A49" t="s">
        <v>85</v>
      </c>
      <c r="B49" t="s">
        <v>85</v>
      </c>
      <c r="C49" t="s">
        <v>85</v>
      </c>
    </row>
    <row r="50" spans="1:3">
      <c r="A50" t="s">
        <v>180</v>
      </c>
      <c r="B50" t="s">
        <v>180</v>
      </c>
      <c r="C50" t="s">
        <v>180</v>
      </c>
    </row>
    <row r="51" spans="1:3">
      <c r="A51" t="s">
        <v>181</v>
      </c>
      <c r="B51" t="s">
        <v>181</v>
      </c>
      <c r="C51" t="s">
        <v>181</v>
      </c>
    </row>
    <row r="52" spans="1:3">
      <c r="A52" t="s">
        <v>13</v>
      </c>
      <c r="B52" t="s">
        <v>13</v>
      </c>
      <c r="C52" t="s">
        <v>13</v>
      </c>
    </row>
    <row r="53" spans="1:3">
      <c r="A53" t="s">
        <v>182</v>
      </c>
      <c r="B53" t="s">
        <v>182</v>
      </c>
      <c r="C53" t="s">
        <v>182</v>
      </c>
    </row>
    <row r="54" spans="1:3">
      <c r="A54" t="s">
        <v>9</v>
      </c>
      <c r="B54" t="s">
        <v>183</v>
      </c>
      <c r="C54" t="s">
        <v>9</v>
      </c>
    </row>
    <row r="55" spans="1:3">
      <c r="A55" t="s">
        <v>184</v>
      </c>
      <c r="B55" t="s">
        <v>184</v>
      </c>
      <c r="C55" t="s">
        <v>184</v>
      </c>
    </row>
    <row r="56" spans="1:3">
      <c r="A56" t="s">
        <v>185</v>
      </c>
      <c r="B56" t="s">
        <v>186</v>
      </c>
      <c r="C56" t="s">
        <v>185</v>
      </c>
    </row>
    <row r="57" spans="1:3">
      <c r="A57" t="s">
        <v>187</v>
      </c>
      <c r="B57" t="s">
        <v>187</v>
      </c>
      <c r="C57" t="s">
        <v>187</v>
      </c>
    </row>
    <row r="58" spans="1:3">
      <c r="A58" t="s">
        <v>188</v>
      </c>
      <c r="B58" t="s">
        <v>188</v>
      </c>
      <c r="C58" t="s">
        <v>188</v>
      </c>
    </row>
    <row r="59" spans="1:3">
      <c r="A59" t="s">
        <v>134</v>
      </c>
      <c r="B59" t="s">
        <v>134</v>
      </c>
      <c r="C59" t="s">
        <v>134</v>
      </c>
    </row>
    <row r="60" spans="1:3">
      <c r="A60" t="s">
        <v>66</v>
      </c>
      <c r="B60" t="s">
        <v>66</v>
      </c>
      <c r="C60" t="s">
        <v>66</v>
      </c>
    </row>
    <row r="61" spans="1:3">
      <c r="A61" t="s">
        <v>40</v>
      </c>
      <c r="B61" t="s">
        <v>40</v>
      </c>
      <c r="C61" t="s">
        <v>40</v>
      </c>
    </row>
    <row r="62" spans="1:3">
      <c r="A62" t="s">
        <v>128</v>
      </c>
      <c r="B62" t="s">
        <v>128</v>
      </c>
      <c r="C62" t="s">
        <v>128</v>
      </c>
    </row>
    <row r="63" spans="1:3">
      <c r="A63" t="s">
        <v>115</v>
      </c>
      <c r="B63" t="s">
        <v>115</v>
      </c>
      <c r="C63" t="s">
        <v>115</v>
      </c>
    </row>
    <row r="64" spans="1:3">
      <c r="A64" t="s">
        <v>56</v>
      </c>
      <c r="B64" t="s">
        <v>56</v>
      </c>
      <c r="C64" t="s">
        <v>56</v>
      </c>
    </row>
    <row r="65" spans="1:3">
      <c r="A65" t="s">
        <v>41</v>
      </c>
      <c r="B65" t="s">
        <v>41</v>
      </c>
      <c r="C65" t="s">
        <v>41</v>
      </c>
    </row>
    <row r="66" spans="1:3">
      <c r="A66" t="s">
        <v>135</v>
      </c>
      <c r="B66" t="s">
        <v>135</v>
      </c>
      <c r="C66" t="s">
        <v>135</v>
      </c>
    </row>
    <row r="67" spans="1:3">
      <c r="A67" t="s">
        <v>189</v>
      </c>
      <c r="B67" t="s">
        <v>190</v>
      </c>
      <c r="C67" t="s">
        <v>189</v>
      </c>
    </row>
    <row r="68" spans="1:3">
      <c r="A68" t="s">
        <v>82</v>
      </c>
      <c r="B68" t="s">
        <v>82</v>
      </c>
      <c r="C68" t="s">
        <v>82</v>
      </c>
    </row>
    <row r="69" spans="1:3">
      <c r="A69" t="s">
        <v>59</v>
      </c>
      <c r="B69" t="s">
        <v>59</v>
      </c>
      <c r="C69" t="s">
        <v>59</v>
      </c>
    </row>
    <row r="70" spans="1:3">
      <c r="A70" t="s">
        <v>90</v>
      </c>
      <c r="B70" t="s">
        <v>90</v>
      </c>
      <c r="C70" t="s">
        <v>90</v>
      </c>
    </row>
    <row r="71" spans="1:3">
      <c r="A71" t="s">
        <v>94</v>
      </c>
      <c r="B71" t="s">
        <v>94</v>
      </c>
      <c r="C71" t="s">
        <v>94</v>
      </c>
    </row>
    <row r="72" spans="1:3">
      <c r="A72" t="s">
        <v>42</v>
      </c>
      <c r="B72" t="s">
        <v>42</v>
      </c>
      <c r="C72" t="s">
        <v>42</v>
      </c>
    </row>
    <row r="73" spans="1:3">
      <c r="A73" t="s">
        <v>67</v>
      </c>
      <c r="B73" t="s">
        <v>67</v>
      </c>
      <c r="C73" t="s">
        <v>67</v>
      </c>
    </row>
    <row r="74" spans="1:3">
      <c r="A74" t="s">
        <v>101</v>
      </c>
      <c r="B74" t="s">
        <v>101</v>
      </c>
      <c r="C74" t="s">
        <v>101</v>
      </c>
    </row>
    <row r="75" spans="1:3">
      <c r="A75" t="s">
        <v>191</v>
      </c>
      <c r="B75" t="s">
        <v>191</v>
      </c>
      <c r="C75" t="s">
        <v>191</v>
      </c>
    </row>
    <row r="76" spans="1:3">
      <c r="A76" t="s">
        <v>192</v>
      </c>
      <c r="B76" t="s">
        <v>192</v>
      </c>
      <c r="C76" t="s">
        <v>192</v>
      </c>
    </row>
    <row r="77" spans="1:3">
      <c r="A77" t="s">
        <v>106</v>
      </c>
      <c r="B77" t="s">
        <v>106</v>
      </c>
      <c r="C77" t="s">
        <v>106</v>
      </c>
    </row>
    <row r="78" spans="1:3">
      <c r="A78" t="s">
        <v>193</v>
      </c>
      <c r="B78" t="s">
        <v>194</v>
      </c>
      <c r="C78" t="s">
        <v>193</v>
      </c>
    </row>
    <row r="79" spans="1:3">
      <c r="A79" t="s">
        <v>17</v>
      </c>
      <c r="B79" t="s">
        <v>195</v>
      </c>
      <c r="C79" t="s">
        <v>17</v>
      </c>
    </row>
    <row r="80" spans="1:3">
      <c r="A80" t="s">
        <v>112</v>
      </c>
      <c r="B80" t="s">
        <v>112</v>
      </c>
      <c r="C80" t="s">
        <v>112</v>
      </c>
    </row>
    <row r="81" spans="1:3">
      <c r="A81" t="s">
        <v>196</v>
      </c>
      <c r="B81" t="s">
        <v>197</v>
      </c>
      <c r="C81" t="s">
        <v>196</v>
      </c>
    </row>
    <row r="82" spans="1:3">
      <c r="A82" t="s">
        <v>68</v>
      </c>
      <c r="B82" t="s">
        <v>68</v>
      </c>
      <c r="C82" t="s">
        <v>68</v>
      </c>
    </row>
    <row r="83" spans="1:3">
      <c r="A83" t="s">
        <v>198</v>
      </c>
      <c r="B83" t="s">
        <v>198</v>
      </c>
      <c r="C83" t="s">
        <v>198</v>
      </c>
    </row>
    <row r="84" spans="1:3">
      <c r="A84" t="s">
        <v>18</v>
      </c>
      <c r="B84" t="s">
        <v>199</v>
      </c>
      <c r="C84" t="s">
        <v>18</v>
      </c>
    </row>
    <row r="85" spans="1:3">
      <c r="A85" t="s">
        <v>200</v>
      </c>
      <c r="B85" t="s">
        <v>200</v>
      </c>
      <c r="C85" t="s">
        <v>200</v>
      </c>
    </row>
    <row r="86" spans="1:3">
      <c r="A86" t="s">
        <v>43</v>
      </c>
      <c r="B86" t="s">
        <v>201</v>
      </c>
      <c r="C86" t="s">
        <v>43</v>
      </c>
    </row>
    <row r="87" spans="1:3">
      <c r="A87" t="s">
        <v>202</v>
      </c>
      <c r="B87" t="s">
        <v>203</v>
      </c>
      <c r="C87" t="s">
        <v>202</v>
      </c>
    </row>
    <row r="88" spans="1:3">
      <c r="A88" t="s">
        <v>204</v>
      </c>
      <c r="B88" t="s">
        <v>204</v>
      </c>
      <c r="C88" t="s">
        <v>204</v>
      </c>
    </row>
    <row r="89" spans="1:3">
      <c r="A89" t="s">
        <v>133</v>
      </c>
      <c r="B89" t="s">
        <v>133</v>
      </c>
      <c r="C89" t="s">
        <v>133</v>
      </c>
    </row>
    <row r="90" spans="1:3">
      <c r="A90" t="s">
        <v>205</v>
      </c>
      <c r="B90" t="s">
        <v>205</v>
      </c>
      <c r="C90" t="s">
        <v>205</v>
      </c>
    </row>
    <row r="91" spans="1:3">
      <c r="A91" t="s">
        <v>206</v>
      </c>
      <c r="B91" t="s">
        <v>206</v>
      </c>
      <c r="C91" t="s">
        <v>206</v>
      </c>
    </row>
    <row r="92" spans="1:3">
      <c r="A92" t="s">
        <v>207</v>
      </c>
      <c r="B92" t="s">
        <v>207</v>
      </c>
      <c r="C92" t="s">
        <v>207</v>
      </c>
    </row>
    <row r="93" spans="1:3">
      <c r="A93" t="s">
        <v>208</v>
      </c>
      <c r="B93" t="s">
        <v>208</v>
      </c>
      <c r="C93" t="s">
        <v>208</v>
      </c>
    </row>
    <row r="94" spans="1:3">
      <c r="A94" t="s">
        <v>209</v>
      </c>
      <c r="B94" t="s">
        <v>209</v>
      </c>
      <c r="C94" t="s">
        <v>209</v>
      </c>
    </row>
    <row r="95" spans="1:3">
      <c r="A95" t="s">
        <v>210</v>
      </c>
      <c r="B95" t="s">
        <v>210</v>
      </c>
      <c r="C95" t="s">
        <v>210</v>
      </c>
    </row>
    <row r="96" spans="1:3">
      <c r="A96" t="s">
        <v>211</v>
      </c>
      <c r="B96" t="s">
        <v>211</v>
      </c>
      <c r="C96" t="s">
        <v>211</v>
      </c>
    </row>
    <row r="97" spans="1:3">
      <c r="A97" t="s">
        <v>212</v>
      </c>
      <c r="B97" t="s">
        <v>212</v>
      </c>
      <c r="C97" t="s">
        <v>212</v>
      </c>
    </row>
    <row r="98" spans="1:3">
      <c r="A98" t="s">
        <v>213</v>
      </c>
      <c r="B98" t="s">
        <v>213</v>
      </c>
      <c r="C98" t="s">
        <v>213</v>
      </c>
    </row>
    <row r="99" spans="1:3">
      <c r="A99" t="s">
        <v>214</v>
      </c>
      <c r="B99" t="s">
        <v>215</v>
      </c>
      <c r="C99" t="s">
        <v>214</v>
      </c>
    </row>
    <row r="100" spans="1:3">
      <c r="A100" t="s">
        <v>216</v>
      </c>
      <c r="B100" t="s">
        <v>217</v>
      </c>
      <c r="C100" t="s">
        <v>216</v>
      </c>
    </row>
    <row r="101" spans="1:3">
      <c r="A101" t="s">
        <v>218</v>
      </c>
      <c r="B101" t="s">
        <v>218</v>
      </c>
      <c r="C101" t="s">
        <v>218</v>
      </c>
    </row>
    <row r="102" spans="1:3">
      <c r="A102" t="s">
        <v>219</v>
      </c>
      <c r="B102" t="s">
        <v>219</v>
      </c>
      <c r="C102" t="s">
        <v>219</v>
      </c>
    </row>
    <row r="103" spans="1:3">
      <c r="A103" t="s">
        <v>220</v>
      </c>
      <c r="B103" t="s">
        <v>220</v>
      </c>
      <c r="C103" t="s">
        <v>220</v>
      </c>
    </row>
    <row r="104" spans="1:3">
      <c r="A104" t="s">
        <v>221</v>
      </c>
      <c r="B104" t="s">
        <v>221</v>
      </c>
      <c r="C104" t="s">
        <v>221</v>
      </c>
    </row>
    <row r="105" spans="1:3">
      <c r="A105" t="s">
        <v>222</v>
      </c>
      <c r="B105" t="s">
        <v>222</v>
      </c>
      <c r="C105" t="s">
        <v>222</v>
      </c>
    </row>
    <row r="106" spans="1:3">
      <c r="A106" t="s">
        <v>20</v>
      </c>
      <c r="B106" t="s">
        <v>20</v>
      </c>
      <c r="C106" t="s">
        <v>20</v>
      </c>
    </row>
    <row r="107" spans="1:3">
      <c r="A107" t="s">
        <v>223</v>
      </c>
      <c r="B107" t="s">
        <v>223</v>
      </c>
      <c r="C107" t="s">
        <v>223</v>
      </c>
    </row>
    <row r="108" spans="1:3">
      <c r="A108" t="s">
        <v>21</v>
      </c>
      <c r="B108" t="s">
        <v>21</v>
      </c>
      <c r="C108" t="s">
        <v>21</v>
      </c>
    </row>
    <row r="109" spans="1:3">
      <c r="A109" t="s">
        <v>224</v>
      </c>
      <c r="B109" t="s">
        <v>225</v>
      </c>
      <c r="C109" t="s">
        <v>224</v>
      </c>
    </row>
    <row r="110" spans="1:3">
      <c r="A110" t="s">
        <v>226</v>
      </c>
      <c r="B110" t="s">
        <v>226</v>
      </c>
      <c r="C110" t="s">
        <v>226</v>
      </c>
    </row>
    <row r="111" spans="1:3">
      <c r="A111" t="s">
        <v>22</v>
      </c>
      <c r="B111" t="s">
        <v>22</v>
      </c>
      <c r="C111" t="s">
        <v>22</v>
      </c>
    </row>
    <row r="112" spans="1:3">
      <c r="A112" t="s">
        <v>227</v>
      </c>
      <c r="B112" t="s">
        <v>227</v>
      </c>
      <c r="C112" t="s">
        <v>227</v>
      </c>
    </row>
    <row r="113" spans="1:3">
      <c r="A113" t="s">
        <v>228</v>
      </c>
      <c r="B113" t="s">
        <v>228</v>
      </c>
      <c r="C113" t="s">
        <v>228</v>
      </c>
    </row>
    <row r="114" spans="1:3">
      <c r="A114" t="s">
        <v>229</v>
      </c>
      <c r="B114" t="s">
        <v>230</v>
      </c>
      <c r="C114" t="s">
        <v>229</v>
      </c>
    </row>
    <row r="115" spans="1:3">
      <c r="A115" t="s">
        <v>231</v>
      </c>
      <c r="B115" t="s">
        <v>232</v>
      </c>
      <c r="C115" t="s">
        <v>231</v>
      </c>
    </row>
    <row r="116" spans="1:3">
      <c r="A116" t="s">
        <v>233</v>
      </c>
      <c r="B116" t="s">
        <v>233</v>
      </c>
      <c r="C116" t="s">
        <v>233</v>
      </c>
    </row>
    <row r="117" spans="1:3">
      <c r="A117" t="s">
        <v>44</v>
      </c>
      <c r="B117" t="s">
        <v>44</v>
      </c>
      <c r="C117" t="s">
        <v>44</v>
      </c>
    </row>
    <row r="118" spans="1:3">
      <c r="A118" t="s">
        <v>234</v>
      </c>
      <c r="B118" t="s">
        <v>234</v>
      </c>
      <c r="C118" t="s">
        <v>234</v>
      </c>
    </row>
    <row r="119" spans="1:3">
      <c r="A119" t="s">
        <v>235</v>
      </c>
      <c r="B119" t="s">
        <v>236</v>
      </c>
      <c r="C119" t="s">
        <v>235</v>
      </c>
    </row>
    <row r="120" spans="1:3">
      <c r="A120" t="s">
        <v>237</v>
      </c>
      <c r="B120" t="s">
        <v>238</v>
      </c>
      <c r="C120" t="s">
        <v>237</v>
      </c>
    </row>
    <row r="121" spans="1:3">
      <c r="A121" t="s">
        <v>23</v>
      </c>
      <c r="B121" t="s">
        <v>239</v>
      </c>
      <c r="C121" t="s">
        <v>23</v>
      </c>
    </row>
    <row r="122" spans="1:3">
      <c r="A122" t="s">
        <v>240</v>
      </c>
      <c r="B122" t="s">
        <v>241</v>
      </c>
      <c r="C122" t="s">
        <v>240</v>
      </c>
    </row>
    <row r="123" spans="1:3">
      <c r="A123" t="s">
        <v>242</v>
      </c>
      <c r="B123" t="s">
        <v>242</v>
      </c>
      <c r="C123" t="s">
        <v>242</v>
      </c>
    </row>
    <row r="124" spans="1:3">
      <c r="A124" t="s">
        <v>243</v>
      </c>
      <c r="B124" t="s">
        <v>243</v>
      </c>
      <c r="C124" t="s">
        <v>243</v>
      </c>
    </row>
    <row r="125" spans="1:3">
      <c r="A125" t="s">
        <v>244</v>
      </c>
      <c r="B125" t="s">
        <v>244</v>
      </c>
      <c r="C125" t="s">
        <v>244</v>
      </c>
    </row>
    <row r="126" spans="1:3">
      <c r="A126" t="s">
        <v>24</v>
      </c>
      <c r="B126" t="s">
        <v>245</v>
      </c>
      <c r="C126" t="s">
        <v>24</v>
      </c>
    </row>
    <row r="127" spans="1:3">
      <c r="A127" t="s">
        <v>246</v>
      </c>
      <c r="B127" t="s">
        <v>247</v>
      </c>
      <c r="C127" t="s">
        <v>246</v>
      </c>
    </row>
    <row r="128" spans="1:3">
      <c r="A128" t="s">
        <v>248</v>
      </c>
      <c r="B128" t="s">
        <v>249</v>
      </c>
      <c r="C128" t="s">
        <v>248</v>
      </c>
    </row>
    <row r="129" spans="1:3">
      <c r="A129" t="s">
        <v>250</v>
      </c>
      <c r="B129" t="s">
        <v>251</v>
      </c>
      <c r="C129" t="s">
        <v>250</v>
      </c>
    </row>
    <row r="130" spans="1:3">
      <c r="A130" t="s">
        <v>252</v>
      </c>
      <c r="B130" t="s">
        <v>252</v>
      </c>
      <c r="C130" t="s">
        <v>252</v>
      </c>
    </row>
    <row r="131" spans="1:3">
      <c r="A131" t="s">
        <v>253</v>
      </c>
      <c r="B131" t="s">
        <v>253</v>
      </c>
      <c r="C131" t="s">
        <v>253</v>
      </c>
    </row>
    <row r="132" spans="1:3">
      <c r="A132" t="s">
        <v>254</v>
      </c>
      <c r="B132" t="s">
        <v>254</v>
      </c>
      <c r="C132" t="s">
        <v>254</v>
      </c>
    </row>
    <row r="133" spans="1:3">
      <c r="A133" t="s">
        <v>25</v>
      </c>
      <c r="B133" t="s">
        <v>25</v>
      </c>
      <c r="C133" t="s">
        <v>25</v>
      </c>
    </row>
    <row r="134" spans="1:3">
      <c r="A134" t="s">
        <v>132</v>
      </c>
      <c r="B134" t="s">
        <v>132</v>
      </c>
      <c r="C134" t="s">
        <v>132</v>
      </c>
    </row>
    <row r="135" spans="1:3">
      <c r="A135" t="s">
        <v>255</v>
      </c>
      <c r="B135" t="s">
        <v>255</v>
      </c>
      <c r="C135" t="s">
        <v>255</v>
      </c>
    </row>
    <row r="136" spans="1:3">
      <c r="A136" t="s">
        <v>256</v>
      </c>
      <c r="B136" t="s">
        <v>257</v>
      </c>
      <c r="C136" t="s">
        <v>256</v>
      </c>
    </row>
    <row r="137" spans="1:3">
      <c r="A137" t="s">
        <v>258</v>
      </c>
      <c r="B137" t="s">
        <v>258</v>
      </c>
      <c r="C137" t="s">
        <v>258</v>
      </c>
    </row>
    <row r="138" spans="1:3">
      <c r="A138" t="s">
        <v>259</v>
      </c>
      <c r="B138" t="s">
        <v>260</v>
      </c>
      <c r="C138" t="s">
        <v>259</v>
      </c>
    </row>
    <row r="139" spans="1:3">
      <c r="A139" t="s">
        <v>26</v>
      </c>
      <c r="B139" t="s">
        <v>26</v>
      </c>
      <c r="C139" t="s">
        <v>26</v>
      </c>
    </row>
    <row r="140" spans="1:3">
      <c r="A140" t="s">
        <v>261</v>
      </c>
      <c r="B140" t="s">
        <v>261</v>
      </c>
      <c r="C140" t="s">
        <v>261</v>
      </c>
    </row>
    <row r="141" spans="1:3">
      <c r="A141" t="s">
        <v>262</v>
      </c>
      <c r="B141" t="s">
        <v>263</v>
      </c>
      <c r="C141" t="s">
        <v>262</v>
      </c>
    </row>
    <row r="142" spans="1:3">
      <c r="A142" t="s">
        <v>264</v>
      </c>
      <c r="B142" t="s">
        <v>265</v>
      </c>
      <c r="C142" t="s">
        <v>264</v>
      </c>
    </row>
    <row r="143" spans="1:3">
      <c r="A143" t="s">
        <v>266</v>
      </c>
      <c r="B143" t="s">
        <v>267</v>
      </c>
      <c r="C143" t="s">
        <v>266</v>
      </c>
    </row>
    <row r="144" spans="1:3">
      <c r="A144" t="s">
        <v>268</v>
      </c>
      <c r="B144" t="s">
        <v>269</v>
      </c>
      <c r="C144" t="s">
        <v>268</v>
      </c>
    </row>
    <row r="145" spans="1:3">
      <c r="A145" t="s">
        <v>270</v>
      </c>
      <c r="B145" t="s">
        <v>271</v>
      </c>
      <c r="C145" t="s">
        <v>270</v>
      </c>
    </row>
    <row r="146" spans="1:3">
      <c r="A146" t="s">
        <v>272</v>
      </c>
      <c r="B146" t="s">
        <v>273</v>
      </c>
      <c r="C146" t="s">
        <v>272</v>
      </c>
    </row>
    <row r="147" spans="1:3">
      <c r="A147" t="s">
        <v>274</v>
      </c>
      <c r="B147" t="s">
        <v>275</v>
      </c>
      <c r="C147" t="s">
        <v>274</v>
      </c>
    </row>
    <row r="148" spans="1:3">
      <c r="A148" t="s">
        <v>276</v>
      </c>
      <c r="B148" t="s">
        <v>277</v>
      </c>
      <c r="C148" t="s">
        <v>276</v>
      </c>
    </row>
    <row r="149" spans="1:3">
      <c r="A149" t="s">
        <v>278</v>
      </c>
      <c r="B149" t="s">
        <v>279</v>
      </c>
      <c r="C149" t="s">
        <v>278</v>
      </c>
    </row>
    <row r="150" spans="1:3">
      <c r="A150" t="s">
        <v>280</v>
      </c>
      <c r="B150" t="s">
        <v>281</v>
      </c>
      <c r="C150" t="s">
        <v>280</v>
      </c>
    </row>
    <row r="151" spans="1:3">
      <c r="A151" t="s">
        <v>282</v>
      </c>
      <c r="B151" t="s">
        <v>283</v>
      </c>
      <c r="C151" t="s">
        <v>282</v>
      </c>
    </row>
    <row r="152" spans="1:3">
      <c r="A152" t="s">
        <v>284</v>
      </c>
      <c r="B152" t="s">
        <v>285</v>
      </c>
      <c r="C152" t="s">
        <v>284</v>
      </c>
    </row>
    <row r="153" spans="1:3">
      <c r="A153" t="s">
        <v>286</v>
      </c>
      <c r="B153" t="s">
        <v>287</v>
      </c>
      <c r="C153" t="s">
        <v>286</v>
      </c>
    </row>
    <row r="154" spans="1:3">
      <c r="A154" t="s">
        <v>288</v>
      </c>
      <c r="B154" t="s">
        <v>289</v>
      </c>
      <c r="C154" t="s">
        <v>288</v>
      </c>
    </row>
    <row r="155" spans="1:3">
      <c r="A155" t="s">
        <v>290</v>
      </c>
      <c r="B155" t="s">
        <v>291</v>
      </c>
      <c r="C155" t="s">
        <v>290</v>
      </c>
    </row>
    <row r="156" spans="1:3">
      <c r="A156" t="s">
        <v>292</v>
      </c>
      <c r="B156" t="s">
        <v>293</v>
      </c>
      <c r="C156" t="s">
        <v>292</v>
      </c>
    </row>
    <row r="157" spans="1:3">
      <c r="A157" t="s">
        <v>294</v>
      </c>
      <c r="B157" t="s">
        <v>295</v>
      </c>
      <c r="C157" t="s">
        <v>294</v>
      </c>
    </row>
    <row r="158" spans="1:3">
      <c r="A158" t="s">
        <v>296</v>
      </c>
      <c r="B158" t="s">
        <v>297</v>
      </c>
      <c r="C158" t="s">
        <v>296</v>
      </c>
    </row>
    <row r="159" spans="1:3">
      <c r="A159" t="s">
        <v>298</v>
      </c>
      <c r="B159" t="s">
        <v>299</v>
      </c>
      <c r="C159" t="s">
        <v>298</v>
      </c>
    </row>
    <row r="160" spans="1:3">
      <c r="A160" t="s">
        <v>300</v>
      </c>
      <c r="B160" t="s">
        <v>301</v>
      </c>
      <c r="C160" t="s">
        <v>300</v>
      </c>
    </row>
    <row r="161" spans="1:3">
      <c r="A161" t="s">
        <v>302</v>
      </c>
      <c r="B161" t="s">
        <v>303</v>
      </c>
      <c r="C161" t="s">
        <v>302</v>
      </c>
    </row>
    <row r="162" spans="1:3">
      <c r="A162" t="s">
        <v>304</v>
      </c>
      <c r="B162" t="s">
        <v>305</v>
      </c>
      <c r="C162" t="s">
        <v>304</v>
      </c>
    </row>
    <row r="163" spans="1:3">
      <c r="A163" t="s">
        <v>306</v>
      </c>
      <c r="B163" t="s">
        <v>307</v>
      </c>
      <c r="C163" t="s">
        <v>306</v>
      </c>
    </row>
    <row r="164" spans="1:3">
      <c r="A164" t="s">
        <v>308</v>
      </c>
      <c r="B164" t="s">
        <v>309</v>
      </c>
      <c r="C164" t="s">
        <v>308</v>
      </c>
    </row>
    <row r="165" spans="1:3">
      <c r="A165" t="s">
        <v>310</v>
      </c>
      <c r="B165" t="s">
        <v>311</v>
      </c>
      <c r="C165" t="s">
        <v>310</v>
      </c>
    </row>
    <row r="166" spans="1:3">
      <c r="A166" t="s">
        <v>312</v>
      </c>
      <c r="B166" t="s">
        <v>313</v>
      </c>
      <c r="C166" t="s">
        <v>312</v>
      </c>
    </row>
    <row r="167" spans="1:3">
      <c r="A167" t="s">
        <v>314</v>
      </c>
      <c r="B167" t="s">
        <v>315</v>
      </c>
      <c r="C167" t="s">
        <v>314</v>
      </c>
    </row>
    <row r="168" spans="1:3">
      <c r="A168" t="s">
        <v>316</v>
      </c>
      <c r="B168" t="s">
        <v>317</v>
      </c>
      <c r="C168" t="s">
        <v>316</v>
      </c>
    </row>
    <row r="169" spans="1:3">
      <c r="A169" t="s">
        <v>318</v>
      </c>
      <c r="B169" t="s">
        <v>319</v>
      </c>
      <c r="C169" t="s">
        <v>318</v>
      </c>
    </row>
    <row r="170" spans="1:3">
      <c r="A170" t="s">
        <v>320</v>
      </c>
      <c r="B170" t="s">
        <v>321</v>
      </c>
      <c r="C170" t="s">
        <v>320</v>
      </c>
    </row>
    <row r="171" spans="1:3">
      <c r="A171" t="s">
        <v>322</v>
      </c>
      <c r="B171" t="s">
        <v>323</v>
      </c>
      <c r="C171" t="s">
        <v>322</v>
      </c>
    </row>
    <row r="172" spans="1:3">
      <c r="A172" t="s">
        <v>324</v>
      </c>
      <c r="B172" t="s">
        <v>325</v>
      </c>
      <c r="C172" t="s">
        <v>324</v>
      </c>
    </row>
    <row r="173" spans="1:3">
      <c r="A173" t="s">
        <v>326</v>
      </c>
      <c r="B173" t="s">
        <v>326</v>
      </c>
      <c r="C173" t="s">
        <v>326</v>
      </c>
    </row>
    <row r="174" spans="1:3">
      <c r="A174" t="s">
        <v>327</v>
      </c>
      <c r="B174" t="s">
        <v>327</v>
      </c>
      <c r="C174" t="s">
        <v>327</v>
      </c>
    </row>
    <row r="175" spans="1:3">
      <c r="A175" t="s">
        <v>27</v>
      </c>
      <c r="B175" t="s">
        <v>27</v>
      </c>
      <c r="C175" t="s">
        <v>27</v>
      </c>
    </row>
    <row r="176" spans="1:3">
      <c r="A176" t="s">
        <v>328</v>
      </c>
      <c r="B176" t="s">
        <v>328</v>
      </c>
      <c r="C176" t="s">
        <v>328</v>
      </c>
    </row>
    <row r="177" spans="1:3">
      <c r="A177" t="s">
        <v>329</v>
      </c>
      <c r="B177" t="s">
        <v>329</v>
      </c>
      <c r="C177" t="s">
        <v>329</v>
      </c>
    </row>
    <row r="178" spans="1:3">
      <c r="A178" t="s">
        <v>330</v>
      </c>
      <c r="B178" t="s">
        <v>330</v>
      </c>
      <c r="C178" t="s">
        <v>330</v>
      </c>
    </row>
    <row r="179" spans="1:3">
      <c r="A179" t="s">
        <v>331</v>
      </c>
      <c r="B179" t="s">
        <v>331</v>
      </c>
      <c r="C179" t="s">
        <v>331</v>
      </c>
    </row>
    <row r="180" spans="1:3">
      <c r="A180" t="s">
        <v>332</v>
      </c>
      <c r="B180" t="s">
        <v>332</v>
      </c>
      <c r="C180" t="s">
        <v>332</v>
      </c>
    </row>
    <row r="181" spans="1:3">
      <c r="A181" t="s">
        <v>333</v>
      </c>
      <c r="B181" t="s">
        <v>333</v>
      </c>
      <c r="C181" t="s">
        <v>333</v>
      </c>
    </row>
    <row r="182" spans="1:3">
      <c r="A182" t="s">
        <v>334</v>
      </c>
      <c r="B182" t="s">
        <v>334</v>
      </c>
      <c r="C182" t="s">
        <v>334</v>
      </c>
    </row>
    <row r="183" spans="1:3">
      <c r="A183" t="s">
        <v>335</v>
      </c>
      <c r="B183" t="s">
        <v>335</v>
      </c>
      <c r="C183" t="s">
        <v>335</v>
      </c>
    </row>
    <row r="184" spans="1:3">
      <c r="A184" t="s">
        <v>336</v>
      </c>
      <c r="B184" t="s">
        <v>336</v>
      </c>
      <c r="C184" t="s">
        <v>336</v>
      </c>
    </row>
    <row r="185" spans="1:3">
      <c r="A185" t="s">
        <v>337</v>
      </c>
      <c r="B185" t="s">
        <v>338</v>
      </c>
      <c r="C185" t="s">
        <v>337</v>
      </c>
    </row>
    <row r="186" spans="1:3">
      <c r="A186" t="s">
        <v>339</v>
      </c>
      <c r="B186" t="s">
        <v>339</v>
      </c>
      <c r="C186" t="s">
        <v>339</v>
      </c>
    </row>
    <row r="187" spans="1:3">
      <c r="A187" t="s">
        <v>340</v>
      </c>
      <c r="B187" t="s">
        <v>340</v>
      </c>
      <c r="C187" t="s">
        <v>340</v>
      </c>
    </row>
    <row r="188" spans="1:3">
      <c r="A188" t="s">
        <v>341</v>
      </c>
      <c r="B188" t="s">
        <v>341</v>
      </c>
      <c r="C188" t="s">
        <v>341</v>
      </c>
    </row>
    <row r="189" spans="1:3">
      <c r="A189" t="s">
        <v>29</v>
      </c>
      <c r="B189" t="s">
        <v>29</v>
      </c>
      <c r="C189" t="s">
        <v>29</v>
      </c>
    </row>
    <row r="190" spans="1:3">
      <c r="A190" t="s">
        <v>342</v>
      </c>
      <c r="B190" t="s">
        <v>343</v>
      </c>
      <c r="C190" t="s">
        <v>342</v>
      </c>
    </row>
    <row r="191" spans="1:3">
      <c r="A191" t="s">
        <v>344</v>
      </c>
      <c r="B191" t="s">
        <v>345</v>
      </c>
      <c r="C191" t="s">
        <v>344</v>
      </c>
    </row>
    <row r="192" spans="1:3">
      <c r="A192" t="s">
        <v>346</v>
      </c>
      <c r="B192" t="s">
        <v>346</v>
      </c>
      <c r="C192" t="s">
        <v>346</v>
      </c>
    </row>
    <row r="193" spans="1:3">
      <c r="A193" t="s">
        <v>7</v>
      </c>
      <c r="B193" t="s">
        <v>347</v>
      </c>
      <c r="C193" t="s">
        <v>7</v>
      </c>
    </row>
    <row r="194" spans="1:3">
      <c r="A194" t="s">
        <v>348</v>
      </c>
      <c r="B194" t="s">
        <v>348</v>
      </c>
      <c r="C194" t="s">
        <v>348</v>
      </c>
    </row>
    <row r="195" spans="1:3">
      <c r="A195" t="s">
        <v>349</v>
      </c>
      <c r="B195" t="s">
        <v>349</v>
      </c>
      <c r="C195" t="s">
        <v>349</v>
      </c>
    </row>
    <row r="196" spans="1:3">
      <c r="A196" t="s">
        <v>350</v>
      </c>
      <c r="B196" t="s">
        <v>350</v>
      </c>
      <c r="C196" t="s">
        <v>350</v>
      </c>
    </row>
    <row r="197" spans="1:3">
      <c r="A197" t="s">
        <v>351</v>
      </c>
      <c r="B197" t="s">
        <v>352</v>
      </c>
      <c r="C197" t="s">
        <v>351</v>
      </c>
    </row>
    <row r="198" spans="1:3">
      <c r="A198" t="s">
        <v>353</v>
      </c>
      <c r="B198" t="s">
        <v>354</v>
      </c>
      <c r="C198" t="s">
        <v>353</v>
      </c>
    </row>
    <row r="199" spans="1:3">
      <c r="A199" t="s">
        <v>355</v>
      </c>
      <c r="B199" t="s">
        <v>355</v>
      </c>
      <c r="C199" t="s">
        <v>355</v>
      </c>
    </row>
    <row r="200" spans="1:3">
      <c r="A200" t="s">
        <v>356</v>
      </c>
      <c r="B200" t="s">
        <v>356</v>
      </c>
      <c r="C200" t="s">
        <v>356</v>
      </c>
    </row>
    <row r="201" spans="1:3">
      <c r="A201" t="s">
        <v>357</v>
      </c>
      <c r="B201" t="s">
        <v>358</v>
      </c>
      <c r="C201" t="s">
        <v>357</v>
      </c>
    </row>
    <row r="202" spans="1:3">
      <c r="A202" t="s">
        <v>359</v>
      </c>
      <c r="B202" t="s">
        <v>360</v>
      </c>
      <c r="C202" t="s">
        <v>359</v>
      </c>
    </row>
    <row r="203" spans="1:3">
      <c r="A203" t="s">
        <v>361</v>
      </c>
      <c r="B203" t="s">
        <v>361</v>
      </c>
      <c r="C203" t="s">
        <v>361</v>
      </c>
    </row>
    <row r="204" spans="1:3">
      <c r="A204" t="s">
        <v>362</v>
      </c>
      <c r="B204" t="s">
        <v>362</v>
      </c>
      <c r="C204" t="s">
        <v>362</v>
      </c>
    </row>
    <row r="205" spans="1:3">
      <c r="A205" t="s">
        <v>363</v>
      </c>
      <c r="B205" t="s">
        <v>363</v>
      </c>
      <c r="C205" t="s">
        <v>363</v>
      </c>
    </row>
    <row r="206" spans="1:3">
      <c r="A206" t="s">
        <v>364</v>
      </c>
      <c r="B206" t="s">
        <v>365</v>
      </c>
      <c r="C206" t="s">
        <v>364</v>
      </c>
    </row>
    <row r="207" spans="1:3">
      <c r="A207" t="s">
        <v>366</v>
      </c>
      <c r="B207" t="s">
        <v>366</v>
      </c>
      <c r="C207" t="s">
        <v>366</v>
      </c>
    </row>
    <row r="208" spans="1:3">
      <c r="A208" t="s">
        <v>367</v>
      </c>
      <c r="B208" t="s">
        <v>367</v>
      </c>
      <c r="C208" t="s">
        <v>367</v>
      </c>
    </row>
    <row r="209" spans="1:3">
      <c r="A209" t="s">
        <v>368</v>
      </c>
      <c r="B209" t="s">
        <v>368</v>
      </c>
      <c r="C209" t="s">
        <v>368</v>
      </c>
    </row>
    <row r="210" spans="1:3">
      <c r="A210" t="s">
        <v>369</v>
      </c>
      <c r="B210" t="s">
        <v>370</v>
      </c>
      <c r="C210" t="s">
        <v>369</v>
      </c>
    </row>
    <row r="211" spans="1:3">
      <c r="A211" t="s">
        <v>371</v>
      </c>
      <c r="B211" t="s">
        <v>372</v>
      </c>
      <c r="C211" t="s">
        <v>371</v>
      </c>
    </row>
    <row r="212" spans="1:3">
      <c r="A212" t="s">
        <v>373</v>
      </c>
      <c r="B212" t="s">
        <v>373</v>
      </c>
      <c r="C212" t="s">
        <v>373</v>
      </c>
    </row>
    <row r="213" spans="1:3">
      <c r="A213" t="s">
        <v>374</v>
      </c>
      <c r="B213" t="s">
        <v>375</v>
      </c>
      <c r="C213" t="s">
        <v>374</v>
      </c>
    </row>
    <row r="214" spans="1:3">
      <c r="A214" t="s">
        <v>376</v>
      </c>
      <c r="B214" t="s">
        <v>376</v>
      </c>
      <c r="C214" t="s">
        <v>376</v>
      </c>
    </row>
    <row r="215" spans="1:3">
      <c r="A215" t="s">
        <v>377</v>
      </c>
      <c r="B215" t="s">
        <v>378</v>
      </c>
      <c r="C215" t="s">
        <v>377</v>
      </c>
    </row>
    <row r="216" spans="1:3">
      <c r="A216" t="s">
        <v>379</v>
      </c>
      <c r="B216" t="s">
        <v>380</v>
      </c>
      <c r="C216" t="s">
        <v>379</v>
      </c>
    </row>
    <row r="217" spans="1:3">
      <c r="A217" t="s">
        <v>381</v>
      </c>
      <c r="B217" t="s">
        <v>382</v>
      </c>
      <c r="C217" t="s">
        <v>381</v>
      </c>
    </row>
    <row r="218" spans="1:3">
      <c r="A218" t="s">
        <v>383</v>
      </c>
      <c r="B218" t="s">
        <v>384</v>
      </c>
      <c r="C218" t="s">
        <v>383</v>
      </c>
    </row>
    <row r="219" spans="1:3">
      <c r="A219" t="s">
        <v>385</v>
      </c>
      <c r="B219" t="s">
        <v>385</v>
      </c>
      <c r="C219" t="s">
        <v>385</v>
      </c>
    </row>
    <row r="220" spans="1:3">
      <c r="A220" t="s">
        <v>386</v>
      </c>
      <c r="B220" t="s">
        <v>386</v>
      </c>
      <c r="C220" t="s">
        <v>386</v>
      </c>
    </row>
    <row r="221" spans="1:3">
      <c r="A221" t="s">
        <v>387</v>
      </c>
      <c r="B221" t="s">
        <v>387</v>
      </c>
      <c r="C221" t="s">
        <v>387</v>
      </c>
    </row>
    <row r="222" spans="1:3">
      <c r="A222" t="s">
        <v>388</v>
      </c>
      <c r="B222" t="s">
        <v>389</v>
      </c>
      <c r="C222" t="s">
        <v>388</v>
      </c>
    </row>
    <row r="223" spans="1:3">
      <c r="A223" t="s">
        <v>35</v>
      </c>
      <c r="B223" t="s">
        <v>390</v>
      </c>
      <c r="C223" t="s">
        <v>35</v>
      </c>
    </row>
    <row r="224" spans="1:3">
      <c r="A224" t="s">
        <v>391</v>
      </c>
      <c r="B224" t="s">
        <v>392</v>
      </c>
      <c r="C224" t="s">
        <v>391</v>
      </c>
    </row>
    <row r="225" spans="1:3">
      <c r="A225" t="s">
        <v>393</v>
      </c>
      <c r="B225" t="s">
        <v>393</v>
      </c>
      <c r="C225" t="s">
        <v>393</v>
      </c>
    </row>
    <row r="226" spans="1:3">
      <c r="A226" t="s">
        <v>394</v>
      </c>
      <c r="B226" t="s">
        <v>394</v>
      </c>
      <c r="C226" t="s">
        <v>394</v>
      </c>
    </row>
    <row r="227" spans="1:3">
      <c r="A227" t="s">
        <v>395</v>
      </c>
      <c r="B227" t="s">
        <v>396</v>
      </c>
      <c r="C227" t="s">
        <v>395</v>
      </c>
    </row>
    <row r="228" spans="1:3">
      <c r="A228" t="s">
        <v>397</v>
      </c>
      <c r="B228" t="s">
        <v>398</v>
      </c>
      <c r="C228" t="s">
        <v>397</v>
      </c>
    </row>
    <row r="229" spans="1:3">
      <c r="A229" t="s">
        <v>10</v>
      </c>
      <c r="B229" t="s">
        <v>399</v>
      </c>
      <c r="C229" t="s">
        <v>10</v>
      </c>
    </row>
    <row r="230" spans="1:3">
      <c r="A230" t="s">
        <v>400</v>
      </c>
      <c r="B230" t="s">
        <v>401</v>
      </c>
      <c r="C230" t="s">
        <v>400</v>
      </c>
    </row>
    <row r="231" spans="1:3">
      <c r="A231" t="s">
        <v>402</v>
      </c>
      <c r="B231" t="s">
        <v>403</v>
      </c>
      <c r="C231" t="s">
        <v>402</v>
      </c>
    </row>
    <row r="232" spans="1:3">
      <c r="A232" t="s">
        <v>404</v>
      </c>
      <c r="B232" t="s">
        <v>405</v>
      </c>
      <c r="C232" t="s">
        <v>404</v>
      </c>
    </row>
    <row r="233" spans="1:3">
      <c r="A233" t="s">
        <v>406</v>
      </c>
      <c r="B233" t="s">
        <v>407</v>
      </c>
      <c r="C233" t="s">
        <v>406</v>
      </c>
    </row>
    <row r="234" spans="1:3">
      <c r="A234" t="s">
        <v>408</v>
      </c>
      <c r="B234" t="s">
        <v>409</v>
      </c>
      <c r="C234" t="s">
        <v>408</v>
      </c>
    </row>
    <row r="235" spans="1:3">
      <c r="A235" t="s">
        <v>410</v>
      </c>
      <c r="B235" t="s">
        <v>411</v>
      </c>
      <c r="C235" t="s">
        <v>410</v>
      </c>
    </row>
    <row r="236" spans="1:3">
      <c r="A236" t="s">
        <v>412</v>
      </c>
      <c r="B236" t="s">
        <v>412</v>
      </c>
      <c r="C236" t="s">
        <v>412</v>
      </c>
    </row>
    <row r="237" spans="1:3">
      <c r="A237" t="s">
        <v>413</v>
      </c>
      <c r="B237" t="s">
        <v>413</v>
      </c>
      <c r="C237" t="s">
        <v>413</v>
      </c>
    </row>
    <row r="238" spans="1:3">
      <c r="A238" t="s">
        <v>5</v>
      </c>
      <c r="B238" t="s">
        <v>5</v>
      </c>
      <c r="C238" t="s">
        <v>5</v>
      </c>
    </row>
    <row r="239" spans="1:3">
      <c r="A239" t="s">
        <v>414</v>
      </c>
      <c r="B239" t="s">
        <v>414</v>
      </c>
      <c r="C239" t="s">
        <v>414</v>
      </c>
    </row>
    <row r="240" spans="1:3">
      <c r="A240" t="s">
        <v>415</v>
      </c>
      <c r="B240" t="s">
        <v>415</v>
      </c>
      <c r="C240" t="s">
        <v>415</v>
      </c>
    </row>
    <row r="241" spans="1:3">
      <c r="A241" t="s">
        <v>416</v>
      </c>
      <c r="B241" t="s">
        <v>416</v>
      </c>
      <c r="C241" t="s">
        <v>416</v>
      </c>
    </row>
    <row r="242" spans="1:3">
      <c r="A242" t="s">
        <v>36</v>
      </c>
      <c r="B242" t="s">
        <v>36</v>
      </c>
      <c r="C242" t="s">
        <v>36</v>
      </c>
    </row>
    <row r="243" spans="1:3">
      <c r="A243" t="s">
        <v>417</v>
      </c>
      <c r="B243" t="s">
        <v>417</v>
      </c>
      <c r="C243" t="s">
        <v>417</v>
      </c>
    </row>
    <row r="244" spans="1:3">
      <c r="A244" t="s">
        <v>12</v>
      </c>
      <c r="B244" t="s">
        <v>12</v>
      </c>
      <c r="C244" t="s">
        <v>12</v>
      </c>
    </row>
    <row r="245" spans="1:3">
      <c r="A245" t="s">
        <v>418</v>
      </c>
      <c r="B245" t="s">
        <v>418</v>
      </c>
      <c r="C245" t="s">
        <v>418</v>
      </c>
    </row>
    <row r="246" spans="1:3">
      <c r="A246" t="s">
        <v>419</v>
      </c>
      <c r="B246" t="s">
        <v>419</v>
      </c>
      <c r="C246" t="s">
        <v>419</v>
      </c>
    </row>
    <row r="247" spans="1:3">
      <c r="A247" t="s">
        <v>420</v>
      </c>
      <c r="B247" t="s">
        <v>420</v>
      </c>
      <c r="C247" t="s">
        <v>420</v>
      </c>
    </row>
    <row r="248" spans="1:3">
      <c r="A248" t="s">
        <v>421</v>
      </c>
      <c r="B248" t="s">
        <v>422</v>
      </c>
      <c r="C248" t="s">
        <v>421</v>
      </c>
    </row>
    <row r="249" spans="1:3">
      <c r="A249" t="s">
        <v>423</v>
      </c>
      <c r="B249" t="s">
        <v>423</v>
      </c>
      <c r="C249" t="s">
        <v>423</v>
      </c>
    </row>
    <row r="250" spans="1:3">
      <c r="A250" t="s">
        <v>424</v>
      </c>
      <c r="B250" t="s">
        <v>424</v>
      </c>
      <c r="C250" t="s">
        <v>424</v>
      </c>
    </row>
    <row r="251" spans="1:3">
      <c r="A251" t="s">
        <v>425</v>
      </c>
      <c r="B251" t="s">
        <v>425</v>
      </c>
      <c r="C251" t="s">
        <v>425</v>
      </c>
    </row>
    <row r="252" spans="1:3">
      <c r="A252" t="s">
        <v>426</v>
      </c>
      <c r="B252" t="s">
        <v>426</v>
      </c>
      <c r="C252" t="s">
        <v>426</v>
      </c>
    </row>
    <row r="253" spans="1:3">
      <c r="A253" t="s">
        <v>427</v>
      </c>
      <c r="B253" t="s">
        <v>427</v>
      </c>
      <c r="C253" t="s">
        <v>427</v>
      </c>
    </row>
    <row r="254" spans="1:3">
      <c r="A254" t="s">
        <v>428</v>
      </c>
      <c r="B254" t="s">
        <v>428</v>
      </c>
      <c r="C254" t="s">
        <v>428</v>
      </c>
    </row>
    <row r="255" spans="1:3">
      <c r="A255" t="s">
        <v>429</v>
      </c>
      <c r="B255" t="s">
        <v>429</v>
      </c>
      <c r="C255" t="s">
        <v>429</v>
      </c>
    </row>
    <row r="256" spans="1:3">
      <c r="A256" t="s">
        <v>430</v>
      </c>
      <c r="B256" t="s">
        <v>430</v>
      </c>
      <c r="C256" t="s">
        <v>430</v>
      </c>
    </row>
    <row r="257" spans="1:3">
      <c r="A257" t="s">
        <v>431</v>
      </c>
      <c r="B257" t="s">
        <v>432</v>
      </c>
      <c r="C257" t="s">
        <v>431</v>
      </c>
    </row>
    <row r="258" spans="1:3">
      <c r="A258" t="s">
        <v>33</v>
      </c>
      <c r="B258" t="s">
        <v>33</v>
      </c>
      <c r="C258" t="s">
        <v>33</v>
      </c>
    </row>
    <row r="259" spans="1:3">
      <c r="A259" t="s">
        <v>433</v>
      </c>
      <c r="B259" t="s">
        <v>433</v>
      </c>
      <c r="C259" t="s">
        <v>433</v>
      </c>
    </row>
    <row r="260" spans="1:3">
      <c r="A260" t="s">
        <v>434</v>
      </c>
      <c r="B260" t="s">
        <v>434</v>
      </c>
      <c r="C260" t="s">
        <v>434</v>
      </c>
    </row>
    <row r="261" spans="1:3">
      <c r="A261" t="s">
        <v>435</v>
      </c>
      <c r="B261" t="s">
        <v>435</v>
      </c>
      <c r="C261" t="s">
        <v>435</v>
      </c>
    </row>
    <row r="262" spans="1:3">
      <c r="A262" t="s">
        <v>436</v>
      </c>
      <c r="B262" t="s">
        <v>436</v>
      </c>
      <c r="C262" t="s">
        <v>436</v>
      </c>
    </row>
    <row r="263" spans="1:3">
      <c r="A263" t="s">
        <v>437</v>
      </c>
      <c r="B263" t="s">
        <v>438</v>
      </c>
      <c r="C263" t="s">
        <v>437</v>
      </c>
    </row>
    <row r="264" spans="1:3">
      <c r="A264" t="s">
        <v>439</v>
      </c>
      <c r="B264" t="s">
        <v>440</v>
      </c>
      <c r="C264" t="s">
        <v>439</v>
      </c>
    </row>
    <row r="265" spans="1:3">
      <c r="A265" t="s">
        <v>441</v>
      </c>
      <c r="B265" t="s">
        <v>442</v>
      </c>
      <c r="C265" t="s">
        <v>441</v>
      </c>
    </row>
    <row r="266" spans="1:3">
      <c r="A266" t="s">
        <v>443</v>
      </c>
      <c r="B266" t="s">
        <v>444</v>
      </c>
      <c r="C266" t="s">
        <v>443</v>
      </c>
    </row>
    <row r="267" spans="1:3">
      <c r="A267" t="s">
        <v>445</v>
      </c>
      <c r="B267" t="s">
        <v>446</v>
      </c>
      <c r="C267" t="s">
        <v>445</v>
      </c>
    </row>
    <row r="268" spans="1:3">
      <c r="A268" t="s">
        <v>447</v>
      </c>
      <c r="B268" t="s">
        <v>447</v>
      </c>
      <c r="C268" t="s">
        <v>447</v>
      </c>
    </row>
    <row r="269" spans="1:3">
      <c r="A269" t="s">
        <v>448</v>
      </c>
      <c r="B269" t="s">
        <v>448</v>
      </c>
      <c r="C269" t="s">
        <v>448</v>
      </c>
    </row>
    <row r="270" spans="1:3">
      <c r="A270" t="s">
        <v>449</v>
      </c>
      <c r="B270" t="s">
        <v>450</v>
      </c>
      <c r="C270" t="s">
        <v>449</v>
      </c>
    </row>
    <row r="271" spans="1:3">
      <c r="A271" t="s">
        <v>451</v>
      </c>
      <c r="B271" t="s">
        <v>451</v>
      </c>
      <c r="C271" t="s">
        <v>451</v>
      </c>
    </row>
    <row r="272" spans="1:3">
      <c r="A272" t="s">
        <v>452</v>
      </c>
      <c r="B272" t="s">
        <v>453</v>
      </c>
      <c r="C272" t="s">
        <v>452</v>
      </c>
    </row>
    <row r="273" spans="1:3">
      <c r="A273" t="s">
        <v>454</v>
      </c>
      <c r="B273" t="s">
        <v>454</v>
      </c>
      <c r="C273" t="s">
        <v>454</v>
      </c>
    </row>
    <row r="274" spans="1:3">
      <c r="A274" t="s">
        <v>455</v>
      </c>
      <c r="B274" t="s">
        <v>455</v>
      </c>
      <c r="C274" t="s">
        <v>455</v>
      </c>
    </row>
    <row r="275" spans="1:3">
      <c r="A275" t="s">
        <v>456</v>
      </c>
      <c r="B275" t="s">
        <v>457</v>
      </c>
      <c r="C275" t="s">
        <v>456</v>
      </c>
    </row>
    <row r="276" spans="1:3">
      <c r="A276" t="s">
        <v>458</v>
      </c>
      <c r="B276" t="s">
        <v>459</v>
      </c>
      <c r="C276" t="s">
        <v>458</v>
      </c>
    </row>
    <row r="277" spans="1:3">
      <c r="A277" t="s">
        <v>460</v>
      </c>
      <c r="B277" t="s">
        <v>460</v>
      </c>
      <c r="C277" t="s">
        <v>460</v>
      </c>
    </row>
    <row r="278" spans="1:3">
      <c r="A278" t="s">
        <v>461</v>
      </c>
      <c r="B278" t="s">
        <v>462</v>
      </c>
      <c r="C278" t="s">
        <v>461</v>
      </c>
    </row>
    <row r="279" spans="1:3">
      <c r="A279" t="s">
        <v>463</v>
      </c>
      <c r="B279" t="s">
        <v>464</v>
      </c>
      <c r="C279" t="s">
        <v>463</v>
      </c>
    </row>
    <row r="280" spans="1:3">
      <c r="A280" t="s">
        <v>465</v>
      </c>
      <c r="B280" t="s">
        <v>466</v>
      </c>
      <c r="C280" t="s">
        <v>465</v>
      </c>
    </row>
    <row r="281" spans="1:3">
      <c r="A281" t="s">
        <v>467</v>
      </c>
      <c r="B281" t="s">
        <v>467</v>
      </c>
      <c r="C281" t="s">
        <v>467</v>
      </c>
    </row>
    <row r="282" spans="1:3">
      <c r="A282" t="s">
        <v>468</v>
      </c>
      <c r="B282" t="s">
        <v>468</v>
      </c>
      <c r="C282" t="s">
        <v>468</v>
      </c>
    </row>
    <row r="283" spans="1:3">
      <c r="A283" t="s">
        <v>469</v>
      </c>
      <c r="B283" t="s">
        <v>469</v>
      </c>
      <c r="C283" t="s">
        <v>469</v>
      </c>
    </row>
    <row r="284" spans="1:3">
      <c r="A284" t="s">
        <v>470</v>
      </c>
      <c r="B284" t="s">
        <v>470</v>
      </c>
      <c r="C284" t="s">
        <v>470</v>
      </c>
    </row>
    <row r="285" spans="1:3">
      <c r="A285" t="s">
        <v>471</v>
      </c>
      <c r="B285" t="s">
        <v>471</v>
      </c>
      <c r="C285" t="s">
        <v>471</v>
      </c>
    </row>
    <row r="286" spans="1:3">
      <c r="A286" t="s">
        <v>472</v>
      </c>
      <c r="B286" t="s">
        <v>472</v>
      </c>
      <c r="C286" t="s">
        <v>472</v>
      </c>
    </row>
    <row r="287" spans="1:3">
      <c r="A287" t="s">
        <v>473</v>
      </c>
      <c r="B287" t="s">
        <v>473</v>
      </c>
      <c r="C287" t="s">
        <v>473</v>
      </c>
    </row>
    <row r="288" spans="1:3">
      <c r="A288" t="s">
        <v>474</v>
      </c>
      <c r="B288" t="s">
        <v>474</v>
      </c>
      <c r="C288" t="s">
        <v>474</v>
      </c>
    </row>
    <row r="289" spans="1:3">
      <c r="A289" t="s">
        <v>475</v>
      </c>
      <c r="B289" t="s">
        <v>475</v>
      </c>
      <c r="C289" t="s">
        <v>475</v>
      </c>
    </row>
    <row r="290" spans="1:3">
      <c r="A290" t="s">
        <v>476</v>
      </c>
      <c r="B290" t="s">
        <v>476</v>
      </c>
      <c r="C290" t="s">
        <v>476</v>
      </c>
    </row>
    <row r="291" spans="1:3">
      <c r="A291" t="s">
        <v>477</v>
      </c>
      <c r="B291" t="s">
        <v>477</v>
      </c>
      <c r="C291" t="s">
        <v>477</v>
      </c>
    </row>
    <row r="292" spans="1:3">
      <c r="A292" t="s">
        <v>478</v>
      </c>
      <c r="B292" t="s">
        <v>479</v>
      </c>
      <c r="C292" t="s">
        <v>478</v>
      </c>
    </row>
    <row r="293" spans="1:3">
      <c r="A293" t="s">
        <v>480</v>
      </c>
      <c r="B293" t="s">
        <v>480</v>
      </c>
      <c r="C293" t="s">
        <v>480</v>
      </c>
    </row>
    <row r="294" spans="1:3">
      <c r="A294" t="s">
        <v>481</v>
      </c>
      <c r="B294" t="s">
        <v>481</v>
      </c>
      <c r="C294" t="s">
        <v>481</v>
      </c>
    </row>
    <row r="295" spans="1:3">
      <c r="A295" t="s">
        <v>482</v>
      </c>
      <c r="B295" t="s">
        <v>482</v>
      </c>
      <c r="C295" t="s">
        <v>482</v>
      </c>
    </row>
    <row r="296" spans="1:3">
      <c r="A296" t="s">
        <v>483</v>
      </c>
      <c r="B296" t="s">
        <v>483</v>
      </c>
      <c r="C296" t="s">
        <v>483</v>
      </c>
    </row>
    <row r="297" spans="1:3">
      <c r="A297" t="s">
        <v>484</v>
      </c>
      <c r="B297" t="s">
        <v>484</v>
      </c>
      <c r="C297" t="s">
        <v>484</v>
      </c>
    </row>
    <row r="298" spans="1:3">
      <c r="A298" t="s">
        <v>485</v>
      </c>
      <c r="B298" t="s">
        <v>485</v>
      </c>
      <c r="C298" t="s">
        <v>485</v>
      </c>
    </row>
    <row r="299" spans="1:3">
      <c r="A299" t="s">
        <v>486</v>
      </c>
      <c r="B299" t="s">
        <v>487</v>
      </c>
      <c r="C299" t="s">
        <v>486</v>
      </c>
    </row>
    <row r="300" spans="1:3">
      <c r="A300" t="s">
        <v>28</v>
      </c>
      <c r="B300" t="s">
        <v>488</v>
      </c>
      <c r="C300" t="s">
        <v>28</v>
      </c>
    </row>
    <row r="301" spans="1:3">
      <c r="A301" t="s">
        <v>489</v>
      </c>
      <c r="B301" t="s">
        <v>489</v>
      </c>
      <c r="C301" t="s">
        <v>489</v>
      </c>
    </row>
    <row r="302" spans="1:3">
      <c r="A302" t="s">
        <v>490</v>
      </c>
      <c r="B302" t="s">
        <v>491</v>
      </c>
      <c r="C302" t="s">
        <v>490</v>
      </c>
    </row>
    <row r="303" spans="1:3">
      <c r="A303" t="s">
        <v>492</v>
      </c>
      <c r="B303" t="s">
        <v>492</v>
      </c>
      <c r="C303" t="s">
        <v>492</v>
      </c>
    </row>
    <row r="304" spans="1:3">
      <c r="A304" t="s">
        <v>493</v>
      </c>
      <c r="B304" t="s">
        <v>493</v>
      </c>
      <c r="C304" t="s">
        <v>493</v>
      </c>
    </row>
    <row r="305" spans="1:3">
      <c r="A305" t="s">
        <v>31</v>
      </c>
      <c r="B305" t="s">
        <v>494</v>
      </c>
      <c r="C305" t="s">
        <v>31</v>
      </c>
    </row>
    <row r="306" spans="1:3">
      <c r="A306" t="s">
        <v>495</v>
      </c>
      <c r="B306" t="s">
        <v>495</v>
      </c>
      <c r="C306" t="s">
        <v>495</v>
      </c>
    </row>
    <row r="307" spans="1:3">
      <c r="A307" t="s">
        <v>496</v>
      </c>
      <c r="B307" t="s">
        <v>496</v>
      </c>
      <c r="C307" t="s">
        <v>496</v>
      </c>
    </row>
    <row r="308" spans="1:3">
      <c r="A308" t="s">
        <v>497</v>
      </c>
      <c r="B308" t="s">
        <v>498</v>
      </c>
      <c r="C308" t="s">
        <v>497</v>
      </c>
    </row>
    <row r="309" spans="1:3">
      <c r="A309" t="s">
        <v>499</v>
      </c>
      <c r="B309" t="s">
        <v>499</v>
      </c>
      <c r="C309" t="s">
        <v>499</v>
      </c>
    </row>
    <row r="310" spans="1:3">
      <c r="A310" t="s">
        <v>500</v>
      </c>
      <c r="B310" t="s">
        <v>500</v>
      </c>
      <c r="C310" t="s">
        <v>500</v>
      </c>
    </row>
    <row r="311" spans="1:3">
      <c r="A311" t="s">
        <v>501</v>
      </c>
      <c r="B311" t="s">
        <v>501</v>
      </c>
      <c r="C311" t="s">
        <v>501</v>
      </c>
    </row>
    <row r="312" spans="1:3">
      <c r="A312" t="s">
        <v>502</v>
      </c>
      <c r="B312" t="s">
        <v>502</v>
      </c>
      <c r="C312" t="s">
        <v>502</v>
      </c>
    </row>
    <row r="313" spans="1:3">
      <c r="A313" t="s">
        <v>503</v>
      </c>
      <c r="B313" t="s">
        <v>503</v>
      </c>
      <c r="C313" t="s">
        <v>503</v>
      </c>
    </row>
    <row r="314" spans="1:3">
      <c r="A314" t="s">
        <v>34</v>
      </c>
      <c r="B314" t="s">
        <v>34</v>
      </c>
      <c r="C314" t="s">
        <v>34</v>
      </c>
    </row>
    <row r="315" spans="1:3">
      <c r="A315" t="s">
        <v>504</v>
      </c>
      <c r="B315" t="s">
        <v>504</v>
      </c>
      <c r="C315" t="s">
        <v>504</v>
      </c>
    </row>
    <row r="316" spans="1:3">
      <c r="A316" t="s">
        <v>505</v>
      </c>
      <c r="B316" t="s">
        <v>506</v>
      </c>
      <c r="C316" t="s">
        <v>505</v>
      </c>
    </row>
    <row r="317" spans="1:3">
      <c r="A317" t="s">
        <v>507</v>
      </c>
      <c r="B317" t="s">
        <v>508</v>
      </c>
      <c r="C317" t="s">
        <v>507</v>
      </c>
    </row>
    <row r="318" spans="1:3">
      <c r="A318" t="s">
        <v>509</v>
      </c>
      <c r="B318" t="s">
        <v>509</v>
      </c>
      <c r="C318" t="s">
        <v>509</v>
      </c>
    </row>
    <row r="319" spans="1:3">
      <c r="A319" t="s">
        <v>510</v>
      </c>
      <c r="B319" t="s">
        <v>511</v>
      </c>
      <c r="C319" t="s">
        <v>510</v>
      </c>
    </row>
    <row r="320" spans="1:3">
      <c r="A320" t="s">
        <v>512</v>
      </c>
      <c r="B320" t="s">
        <v>513</v>
      </c>
      <c r="C320" t="s">
        <v>512</v>
      </c>
    </row>
    <row r="321" spans="1:3">
      <c r="A321" t="s">
        <v>95</v>
      </c>
      <c r="B321" t="s">
        <v>95</v>
      </c>
      <c r="C321" t="s">
        <v>95</v>
      </c>
    </row>
    <row r="322" spans="1:3">
      <c r="A322" t="s">
        <v>514</v>
      </c>
      <c r="B322" t="s">
        <v>515</v>
      </c>
      <c r="C322" t="s">
        <v>514</v>
      </c>
    </row>
    <row r="323" spans="1:3">
      <c r="A323" t="s">
        <v>516</v>
      </c>
      <c r="B323" t="s">
        <v>517</v>
      </c>
      <c r="C323" t="s">
        <v>516</v>
      </c>
    </row>
    <row r="324" spans="1:3">
      <c r="A324" t="s">
        <v>65</v>
      </c>
      <c r="B324" t="s">
        <v>65</v>
      </c>
      <c r="C324" t="s">
        <v>65</v>
      </c>
    </row>
    <row r="325" spans="1:3">
      <c r="A325" t="s">
        <v>518</v>
      </c>
      <c r="B325" t="s">
        <v>519</v>
      </c>
      <c r="C325" t="s">
        <v>518</v>
      </c>
    </row>
    <row r="326" spans="1:3">
      <c r="A326" t="s">
        <v>98</v>
      </c>
      <c r="B326" t="s">
        <v>98</v>
      </c>
      <c r="C326" t="s">
        <v>98</v>
      </c>
    </row>
    <row r="327" spans="1:3">
      <c r="A327" t="s">
        <v>520</v>
      </c>
      <c r="B327" t="s">
        <v>520</v>
      </c>
      <c r="C327" t="s">
        <v>520</v>
      </c>
    </row>
    <row r="328" spans="1:3">
      <c r="A328" t="s">
        <v>521</v>
      </c>
      <c r="B328" t="s">
        <v>522</v>
      </c>
      <c r="C328" t="s">
        <v>521</v>
      </c>
    </row>
    <row r="329" spans="1:3">
      <c r="A329" t="s">
        <v>523</v>
      </c>
      <c r="B329" t="s">
        <v>524</v>
      </c>
      <c r="C329" t="s">
        <v>523</v>
      </c>
    </row>
    <row r="330" spans="1:3">
      <c r="A330" t="s">
        <v>525</v>
      </c>
      <c r="B330" t="s">
        <v>526</v>
      </c>
      <c r="C330" t="s">
        <v>525</v>
      </c>
    </row>
    <row r="331" spans="1:3">
      <c r="A331" t="s">
        <v>527</v>
      </c>
      <c r="B331" t="s">
        <v>527</v>
      </c>
      <c r="C331" t="s">
        <v>527</v>
      </c>
    </row>
    <row r="332" spans="1:3">
      <c r="A332" t="s">
        <v>528</v>
      </c>
      <c r="B332" t="s">
        <v>528</v>
      </c>
      <c r="C332" t="s">
        <v>528</v>
      </c>
    </row>
    <row r="333" spans="1:3">
      <c r="A333" t="s">
        <v>529</v>
      </c>
      <c r="B333" t="s">
        <v>530</v>
      </c>
      <c r="C333" t="s">
        <v>529</v>
      </c>
    </row>
    <row r="334" spans="1:3">
      <c r="A334" t="s">
        <v>531</v>
      </c>
      <c r="B334" t="s">
        <v>531</v>
      </c>
      <c r="C334" t="s">
        <v>531</v>
      </c>
    </row>
    <row r="335" spans="1:3">
      <c r="A335" t="s">
        <v>129</v>
      </c>
      <c r="B335" t="s">
        <v>129</v>
      </c>
      <c r="C335" t="s">
        <v>129</v>
      </c>
    </row>
    <row r="336" spans="1:3">
      <c r="A336" t="s">
        <v>532</v>
      </c>
      <c r="B336" t="s">
        <v>533</v>
      </c>
      <c r="C336" t="s">
        <v>532</v>
      </c>
    </row>
    <row r="337" spans="1:3">
      <c r="A337" t="s">
        <v>534</v>
      </c>
      <c r="B337" t="s">
        <v>534</v>
      </c>
      <c r="C337" t="s">
        <v>534</v>
      </c>
    </row>
    <row r="338" spans="1:3">
      <c r="A338" t="s">
        <v>535</v>
      </c>
      <c r="B338" t="s">
        <v>535</v>
      </c>
      <c r="C338" t="s">
        <v>535</v>
      </c>
    </row>
    <row r="339" spans="1:3">
      <c r="A339" t="s">
        <v>536</v>
      </c>
      <c r="B339" t="s">
        <v>536</v>
      </c>
      <c r="C339" t="s">
        <v>536</v>
      </c>
    </row>
    <row r="340" spans="1:3">
      <c r="A340" t="s">
        <v>537</v>
      </c>
      <c r="B340" t="s">
        <v>537</v>
      </c>
      <c r="C340" t="s">
        <v>537</v>
      </c>
    </row>
    <row r="341" spans="1:3">
      <c r="A341" t="s">
        <v>538</v>
      </c>
      <c r="B341" t="s">
        <v>538</v>
      </c>
      <c r="C341" t="s">
        <v>538</v>
      </c>
    </row>
    <row r="342" spans="1:3">
      <c r="A342" t="s">
        <v>539</v>
      </c>
      <c r="B342" t="s">
        <v>540</v>
      </c>
      <c r="C342" t="s">
        <v>539</v>
      </c>
    </row>
    <row r="343" spans="1:3">
      <c r="A343" t="s">
        <v>108</v>
      </c>
      <c r="B343" t="s">
        <v>108</v>
      </c>
      <c r="C343" t="s">
        <v>108</v>
      </c>
    </row>
    <row r="344" spans="1:3">
      <c r="A344" t="s">
        <v>541</v>
      </c>
      <c r="B344" t="s">
        <v>541</v>
      </c>
      <c r="C344" t="s">
        <v>541</v>
      </c>
    </row>
    <row r="345" spans="1:3">
      <c r="A345" t="s">
        <v>30</v>
      </c>
      <c r="B345" t="s">
        <v>542</v>
      </c>
      <c r="C345" t="s">
        <v>30</v>
      </c>
    </row>
    <row r="346" spans="1:3">
      <c r="A346" t="s">
        <v>104</v>
      </c>
      <c r="B346" t="s">
        <v>104</v>
      </c>
      <c r="C346" t="s">
        <v>104</v>
      </c>
    </row>
    <row r="347" spans="1:3">
      <c r="A347" t="s">
        <v>543</v>
      </c>
      <c r="B347" t="s">
        <v>543</v>
      </c>
      <c r="C347" t="s">
        <v>543</v>
      </c>
    </row>
    <row r="348" spans="1:3">
      <c r="A348" t="s">
        <v>544</v>
      </c>
      <c r="B348" t="s">
        <v>544</v>
      </c>
      <c r="C348" t="s">
        <v>544</v>
      </c>
    </row>
    <row r="349" spans="1:3">
      <c r="A349" t="s">
        <v>105</v>
      </c>
      <c r="B349" t="s">
        <v>105</v>
      </c>
      <c r="C349" t="s">
        <v>105</v>
      </c>
    </row>
    <row r="350" spans="1:3">
      <c r="A350" t="s">
        <v>545</v>
      </c>
      <c r="B350" t="s">
        <v>545</v>
      </c>
      <c r="C350" t="s">
        <v>545</v>
      </c>
    </row>
    <row r="351" spans="1:3">
      <c r="A351" t="s">
        <v>546</v>
      </c>
      <c r="B351" t="s">
        <v>546</v>
      </c>
      <c r="C351" t="s">
        <v>546</v>
      </c>
    </row>
    <row r="352" spans="1:3">
      <c r="A352" t="s">
        <v>547</v>
      </c>
      <c r="B352" t="s">
        <v>548</v>
      </c>
      <c r="C352" t="s">
        <v>547</v>
      </c>
    </row>
    <row r="353" spans="1:3">
      <c r="A353" t="s">
        <v>549</v>
      </c>
      <c r="B353" t="s">
        <v>550</v>
      </c>
      <c r="C353" t="s">
        <v>549</v>
      </c>
    </row>
    <row r="354" spans="1:3">
      <c r="A354" t="s">
        <v>551</v>
      </c>
      <c r="B354" t="s">
        <v>551</v>
      </c>
      <c r="C354" t="s">
        <v>551</v>
      </c>
    </row>
    <row r="355" spans="1:3">
      <c r="A355" t="s">
        <v>552</v>
      </c>
      <c r="B355" t="s">
        <v>552</v>
      </c>
      <c r="C355" t="s">
        <v>552</v>
      </c>
    </row>
    <row r="356" spans="1:3">
      <c r="A356" t="s">
        <v>553</v>
      </c>
      <c r="B356" t="s">
        <v>553</v>
      </c>
      <c r="C356" t="s">
        <v>553</v>
      </c>
    </row>
    <row r="357" spans="1:3">
      <c r="A357" t="s">
        <v>37</v>
      </c>
      <c r="B357" t="s">
        <v>554</v>
      </c>
      <c r="C357" t="s">
        <v>37</v>
      </c>
    </row>
    <row r="358" spans="1:3">
      <c r="A358" t="s">
        <v>555</v>
      </c>
      <c r="B358" t="s">
        <v>556</v>
      </c>
      <c r="C358" t="s">
        <v>555</v>
      </c>
    </row>
    <row r="359" spans="1:3">
      <c r="A359" t="s">
        <v>4</v>
      </c>
      <c r="B359" t="s">
        <v>557</v>
      </c>
      <c r="C359" t="s">
        <v>4</v>
      </c>
    </row>
    <row r="360" spans="1:3">
      <c r="A360" t="s">
        <v>62</v>
      </c>
      <c r="B360" t="s">
        <v>62</v>
      </c>
      <c r="C360" t="s">
        <v>62</v>
      </c>
    </row>
    <row r="361" spans="1:3">
      <c r="A361" t="s">
        <v>558</v>
      </c>
      <c r="B361" t="s">
        <v>558</v>
      </c>
      <c r="C361" t="s">
        <v>558</v>
      </c>
    </row>
    <row r="362" spans="1:3">
      <c r="A362" t="s">
        <v>11</v>
      </c>
      <c r="B362" t="s">
        <v>559</v>
      </c>
      <c r="C362" t="s">
        <v>11</v>
      </c>
    </row>
    <row r="363" spans="1:3">
      <c r="A363" t="s">
        <v>560</v>
      </c>
      <c r="B363" t="s">
        <v>561</v>
      </c>
      <c r="C363" t="s">
        <v>560</v>
      </c>
    </row>
    <row r="364" spans="1:3">
      <c r="A364" t="s">
        <v>110</v>
      </c>
      <c r="B364" t="s">
        <v>110</v>
      </c>
      <c r="C364" t="s">
        <v>110</v>
      </c>
    </row>
    <row r="365" spans="1:3">
      <c r="A365" t="s">
        <v>562</v>
      </c>
      <c r="B365" t="s">
        <v>562</v>
      </c>
      <c r="C365" t="s">
        <v>562</v>
      </c>
    </row>
    <row r="366" spans="1:3">
      <c r="A366" t="s">
        <v>563</v>
      </c>
      <c r="B366" t="s">
        <v>563</v>
      </c>
      <c r="C366" t="s">
        <v>563</v>
      </c>
    </row>
    <row r="367" spans="1:3">
      <c r="A367" t="s">
        <v>564</v>
      </c>
      <c r="B367" t="s">
        <v>565</v>
      </c>
      <c r="C367" t="s">
        <v>564</v>
      </c>
    </row>
    <row r="368" spans="1:3">
      <c r="A368" t="s">
        <v>566</v>
      </c>
      <c r="B368" t="s">
        <v>566</v>
      </c>
      <c r="C368" t="s">
        <v>566</v>
      </c>
    </row>
    <row r="369" spans="1:3">
      <c r="A369" t="s">
        <v>567</v>
      </c>
      <c r="B369" t="s">
        <v>568</v>
      </c>
      <c r="C369" t="s">
        <v>567</v>
      </c>
    </row>
    <row r="370" spans="1:3">
      <c r="A370" t="s">
        <v>569</v>
      </c>
      <c r="B370" t="s">
        <v>569</v>
      </c>
      <c r="C370" t="s">
        <v>569</v>
      </c>
    </row>
    <row r="371" spans="1:3">
      <c r="A371" t="s">
        <v>570</v>
      </c>
      <c r="B371" t="s">
        <v>571</v>
      </c>
      <c r="C371" t="s">
        <v>570</v>
      </c>
    </row>
    <row r="372" spans="1:3">
      <c r="A372" t="s">
        <v>116</v>
      </c>
      <c r="B372" t="s">
        <v>116</v>
      </c>
      <c r="C372" t="s">
        <v>116</v>
      </c>
    </row>
    <row r="373" spans="1:3">
      <c r="A373" t="s">
        <v>572</v>
      </c>
      <c r="B373" t="s">
        <v>572</v>
      </c>
      <c r="C373" t="s">
        <v>572</v>
      </c>
    </row>
    <row r="374" spans="1:3">
      <c r="A374" t="s">
        <v>573</v>
      </c>
      <c r="B374" t="s">
        <v>574</v>
      </c>
      <c r="C374" t="s">
        <v>573</v>
      </c>
    </row>
    <row r="375" spans="1:3">
      <c r="A375" t="s">
        <v>575</v>
      </c>
      <c r="B375" t="s">
        <v>575</v>
      </c>
      <c r="C375" t="s">
        <v>575</v>
      </c>
    </row>
    <row r="376" spans="1:3">
      <c r="A376" t="s">
        <v>576</v>
      </c>
      <c r="B376" t="s">
        <v>576</v>
      </c>
      <c r="C376" t="s">
        <v>576</v>
      </c>
    </row>
    <row r="377" spans="1:3">
      <c r="A377" t="s">
        <v>577</v>
      </c>
      <c r="B377" t="s">
        <v>578</v>
      </c>
      <c r="C377" t="s">
        <v>577</v>
      </c>
    </row>
    <row r="378" spans="1:3">
      <c r="A378" t="s">
        <v>579</v>
      </c>
      <c r="B378" t="s">
        <v>580</v>
      </c>
      <c r="C378" t="s">
        <v>579</v>
      </c>
    </row>
    <row r="379" spans="1:3">
      <c r="A379" t="s">
        <v>581</v>
      </c>
      <c r="B379" t="s">
        <v>581</v>
      </c>
      <c r="C379" t="s">
        <v>581</v>
      </c>
    </row>
    <row r="380" spans="1:3">
      <c r="A380" t="s">
        <v>582</v>
      </c>
      <c r="B380" t="s">
        <v>583</v>
      </c>
      <c r="C380" t="s">
        <v>582</v>
      </c>
    </row>
    <row r="381" spans="1:3">
      <c r="A381" t="s">
        <v>584</v>
      </c>
      <c r="B381" t="s">
        <v>584</v>
      </c>
      <c r="C381" t="s">
        <v>584</v>
      </c>
    </row>
    <row r="382" spans="1:3">
      <c r="A382" t="s">
        <v>585</v>
      </c>
      <c r="B382" t="s">
        <v>586</v>
      </c>
      <c r="C382" t="s">
        <v>585</v>
      </c>
    </row>
    <row r="383" spans="1:3">
      <c r="A383" t="s">
        <v>587</v>
      </c>
      <c r="B383" t="s">
        <v>588</v>
      </c>
      <c r="C383" t="s">
        <v>587</v>
      </c>
    </row>
    <row r="384" spans="1:3">
      <c r="A384" t="s">
        <v>589</v>
      </c>
      <c r="B384" t="s">
        <v>589</v>
      </c>
      <c r="C384" t="s">
        <v>589</v>
      </c>
    </row>
    <row r="385" spans="1:3">
      <c r="A385" t="s">
        <v>590</v>
      </c>
      <c r="B385" t="s">
        <v>590</v>
      </c>
      <c r="C385" t="s">
        <v>590</v>
      </c>
    </row>
    <row r="386" spans="1:3">
      <c r="A386" t="s">
        <v>591</v>
      </c>
      <c r="B386" t="s">
        <v>591</v>
      </c>
      <c r="C386" t="s">
        <v>591</v>
      </c>
    </row>
    <row r="387" spans="1:3">
      <c r="A387" t="s">
        <v>592</v>
      </c>
      <c r="B387" t="s">
        <v>592</v>
      </c>
      <c r="C387" t="s">
        <v>592</v>
      </c>
    </row>
    <row r="388" spans="1:3">
      <c r="A388" t="s">
        <v>131</v>
      </c>
      <c r="B388" t="s">
        <v>131</v>
      </c>
      <c r="C388" t="s">
        <v>131</v>
      </c>
    </row>
    <row r="389" spans="1:3">
      <c r="A389" t="s">
        <v>593</v>
      </c>
      <c r="B389" t="s">
        <v>593</v>
      </c>
      <c r="C389" t="s">
        <v>593</v>
      </c>
    </row>
    <row r="390" spans="1:3">
      <c r="A390" t="s">
        <v>594</v>
      </c>
      <c r="B390" t="s">
        <v>595</v>
      </c>
      <c r="C390" t="s">
        <v>594</v>
      </c>
    </row>
    <row r="391" spans="1:3">
      <c r="A391" t="s">
        <v>3</v>
      </c>
      <c r="B391" t="s">
        <v>3</v>
      </c>
      <c r="C391" t="s">
        <v>3</v>
      </c>
    </row>
    <row r="392" spans="1:3">
      <c r="A392" t="s">
        <v>596</v>
      </c>
      <c r="B392" t="s">
        <v>596</v>
      </c>
      <c r="C392" t="s">
        <v>596</v>
      </c>
    </row>
    <row r="393" spans="1:3">
      <c r="A393" t="s">
        <v>597</v>
      </c>
      <c r="B393" t="s">
        <v>597</v>
      </c>
      <c r="C393" t="s">
        <v>597</v>
      </c>
    </row>
    <row r="394" spans="1:3">
      <c r="A394" t="s">
        <v>598</v>
      </c>
      <c r="B394" t="s">
        <v>598</v>
      </c>
      <c r="C394" t="s">
        <v>598</v>
      </c>
    </row>
    <row r="395" spans="1:3">
      <c r="A395" t="s">
        <v>599</v>
      </c>
      <c r="B395" t="s">
        <v>599</v>
      </c>
      <c r="C395" t="s">
        <v>599</v>
      </c>
    </row>
    <row r="396" spans="1:3">
      <c r="A396" t="s">
        <v>600</v>
      </c>
      <c r="B396" t="s">
        <v>601</v>
      </c>
      <c r="C396" t="s">
        <v>600</v>
      </c>
    </row>
    <row r="397" spans="1:3">
      <c r="A397" t="s">
        <v>602</v>
      </c>
      <c r="B397" t="s">
        <v>603</v>
      </c>
      <c r="C397" t="s">
        <v>602</v>
      </c>
    </row>
    <row r="398" spans="1:3">
      <c r="A398" t="s">
        <v>604</v>
      </c>
      <c r="B398" t="s">
        <v>605</v>
      </c>
      <c r="C398" t="s">
        <v>604</v>
      </c>
    </row>
    <row r="399" spans="1:3">
      <c r="A399" t="s">
        <v>606</v>
      </c>
      <c r="B399" t="s">
        <v>607</v>
      </c>
      <c r="C399" t="s">
        <v>606</v>
      </c>
    </row>
    <row r="400" spans="1:3">
      <c r="A400" t="s">
        <v>608</v>
      </c>
      <c r="B400" t="s">
        <v>609</v>
      </c>
      <c r="C400" t="s">
        <v>608</v>
      </c>
    </row>
    <row r="401" spans="1:3">
      <c r="A401" t="s">
        <v>610</v>
      </c>
      <c r="B401" t="s">
        <v>611</v>
      </c>
      <c r="C401" t="s">
        <v>610</v>
      </c>
    </row>
    <row r="402" spans="1:3">
      <c r="A402" t="s">
        <v>612</v>
      </c>
      <c r="B402" t="s">
        <v>613</v>
      </c>
      <c r="C402" t="s">
        <v>612</v>
      </c>
    </row>
    <row r="403" spans="1:3">
      <c r="A403" t="s">
        <v>138</v>
      </c>
      <c r="B403" t="s">
        <v>139</v>
      </c>
      <c r="C403" t="s">
        <v>138</v>
      </c>
    </row>
    <row r="404" spans="1:3">
      <c r="A404" t="s">
        <v>140</v>
      </c>
      <c r="B404" t="s">
        <v>140</v>
      </c>
      <c r="C404" t="s">
        <v>140</v>
      </c>
    </row>
    <row r="405" spans="1:3">
      <c r="A405" t="s">
        <v>141</v>
      </c>
      <c r="B405" t="s">
        <v>142</v>
      </c>
      <c r="C405" t="s">
        <v>141</v>
      </c>
    </row>
    <row r="406" spans="1:3">
      <c r="A406" t="s">
        <v>127</v>
      </c>
      <c r="B406" t="s">
        <v>127</v>
      </c>
      <c r="C406" t="s">
        <v>127</v>
      </c>
    </row>
    <row r="407" spans="1:3">
      <c r="A407" t="s">
        <v>143</v>
      </c>
      <c r="B407" t="s">
        <v>143</v>
      </c>
      <c r="C407" t="s">
        <v>143</v>
      </c>
    </row>
    <row r="408" spans="1:3">
      <c r="A408" t="s">
        <v>144</v>
      </c>
      <c r="B408" t="s">
        <v>144</v>
      </c>
      <c r="C408" t="s">
        <v>144</v>
      </c>
    </row>
    <row r="409" spans="1:3">
      <c r="A409" t="s">
        <v>145</v>
      </c>
      <c r="B409" t="s">
        <v>146</v>
      </c>
      <c r="C409" t="s">
        <v>145</v>
      </c>
    </row>
    <row r="410" spans="1:3">
      <c r="A410" t="s">
        <v>57</v>
      </c>
      <c r="B410" t="s">
        <v>57</v>
      </c>
      <c r="C410" t="s">
        <v>57</v>
      </c>
    </row>
    <row r="411" spans="1:3">
      <c r="A411" t="s">
        <v>147</v>
      </c>
      <c r="B411" t="s">
        <v>147</v>
      </c>
      <c r="C411" t="s">
        <v>147</v>
      </c>
    </row>
    <row r="412" spans="1:3">
      <c r="A412" t="s">
        <v>6</v>
      </c>
      <c r="B412" t="s">
        <v>6</v>
      </c>
      <c r="C412" t="s">
        <v>6</v>
      </c>
    </row>
    <row r="413" spans="1:3">
      <c r="A413" t="s">
        <v>8</v>
      </c>
      <c r="B413" t="s">
        <v>8</v>
      </c>
      <c r="C413" t="s">
        <v>8</v>
      </c>
    </row>
    <row r="414" spans="1:3">
      <c r="A414" t="s">
        <v>148</v>
      </c>
      <c r="B414" t="s">
        <v>149</v>
      </c>
      <c r="C414" t="s">
        <v>148</v>
      </c>
    </row>
    <row r="415" spans="1:3">
      <c r="A415" t="s">
        <v>150</v>
      </c>
      <c r="B415" t="s">
        <v>150</v>
      </c>
      <c r="C415" t="s">
        <v>150</v>
      </c>
    </row>
    <row r="416" spans="1:3">
      <c r="A416" t="s">
        <v>151</v>
      </c>
      <c r="B416" t="s">
        <v>151</v>
      </c>
      <c r="C416" t="s">
        <v>151</v>
      </c>
    </row>
    <row r="417" spans="1:3">
      <c r="A417" t="s">
        <v>152</v>
      </c>
      <c r="B417" t="s">
        <v>152</v>
      </c>
      <c r="C417" t="s">
        <v>152</v>
      </c>
    </row>
    <row r="418" spans="1:3">
      <c r="A418" t="s">
        <v>153</v>
      </c>
      <c r="B418" t="s">
        <v>153</v>
      </c>
      <c r="C418" t="s">
        <v>153</v>
      </c>
    </row>
    <row r="419" spans="1:3">
      <c r="A419" t="s">
        <v>154</v>
      </c>
      <c r="B419" t="s">
        <v>154</v>
      </c>
      <c r="C419" t="s">
        <v>154</v>
      </c>
    </row>
    <row r="420" spans="1:3">
      <c r="A420" t="s">
        <v>155</v>
      </c>
      <c r="B420" t="s">
        <v>156</v>
      </c>
      <c r="C420" t="s">
        <v>155</v>
      </c>
    </row>
    <row r="421" spans="1:3">
      <c r="A421" t="s">
        <v>157</v>
      </c>
      <c r="B421" t="s">
        <v>157</v>
      </c>
      <c r="C421" t="s">
        <v>157</v>
      </c>
    </row>
    <row r="422" spans="1:3">
      <c r="A422" t="s">
        <v>111</v>
      </c>
      <c r="B422" t="s">
        <v>111</v>
      </c>
      <c r="C422" t="s">
        <v>111</v>
      </c>
    </row>
    <row r="423" spans="1:3">
      <c r="A423" t="s">
        <v>121</v>
      </c>
      <c r="B423" t="s">
        <v>121</v>
      </c>
      <c r="C423" t="s">
        <v>121</v>
      </c>
    </row>
    <row r="424" spans="1:3">
      <c r="A424" t="s">
        <v>130</v>
      </c>
      <c r="B424" t="s">
        <v>130</v>
      </c>
      <c r="C424" t="s">
        <v>130</v>
      </c>
    </row>
    <row r="425" spans="1:3">
      <c r="A425" t="s">
        <v>158</v>
      </c>
      <c r="B425" t="s">
        <v>159</v>
      </c>
      <c r="C425" t="s">
        <v>158</v>
      </c>
    </row>
    <row r="426" spans="1:3">
      <c r="A426" t="s">
        <v>160</v>
      </c>
      <c r="B426" t="s">
        <v>160</v>
      </c>
      <c r="C426" t="s">
        <v>160</v>
      </c>
    </row>
    <row r="427" spans="1:3">
      <c r="A427" t="s">
        <v>161</v>
      </c>
      <c r="B427" t="s">
        <v>161</v>
      </c>
      <c r="C427" t="s">
        <v>161</v>
      </c>
    </row>
    <row r="428" spans="1:3">
      <c r="A428" t="s">
        <v>162</v>
      </c>
      <c r="B428" t="s">
        <v>162</v>
      </c>
      <c r="C428" t="s">
        <v>162</v>
      </c>
    </row>
    <row r="429" spans="1:3">
      <c r="A429" t="s">
        <v>113</v>
      </c>
      <c r="B429" t="s">
        <v>113</v>
      </c>
      <c r="C429" t="s">
        <v>113</v>
      </c>
    </row>
    <row r="430" spans="1:3">
      <c r="A430" t="s">
        <v>163</v>
      </c>
      <c r="B430" t="s">
        <v>163</v>
      </c>
      <c r="C430" t="s">
        <v>163</v>
      </c>
    </row>
    <row r="431" spans="1:3">
      <c r="A431" t="s">
        <v>164</v>
      </c>
      <c r="B431" t="s">
        <v>164</v>
      </c>
      <c r="C431" t="s">
        <v>164</v>
      </c>
    </row>
    <row r="432" spans="1:3">
      <c r="A432" t="s">
        <v>120</v>
      </c>
      <c r="B432" t="s">
        <v>120</v>
      </c>
      <c r="C432" t="s">
        <v>120</v>
      </c>
    </row>
    <row r="433" spans="1:3">
      <c r="A433" t="s">
        <v>123</v>
      </c>
      <c r="B433" t="s">
        <v>123</v>
      </c>
      <c r="C433" t="s">
        <v>123</v>
      </c>
    </row>
    <row r="434" spans="1:3">
      <c r="A434" t="s">
        <v>165</v>
      </c>
      <c r="B434" t="s">
        <v>165</v>
      </c>
      <c r="C434" t="s">
        <v>165</v>
      </c>
    </row>
    <row r="435" spans="1:3">
      <c r="A435" t="s">
        <v>166</v>
      </c>
      <c r="B435" t="s">
        <v>166</v>
      </c>
      <c r="C435" t="s">
        <v>166</v>
      </c>
    </row>
    <row r="436" spans="1:3">
      <c r="A436" t="s">
        <v>32</v>
      </c>
      <c r="B436" t="s">
        <v>32</v>
      </c>
      <c r="C436" t="s">
        <v>32</v>
      </c>
    </row>
    <row r="437" spans="1:3">
      <c r="A437" t="s">
        <v>167</v>
      </c>
      <c r="B437" t="s">
        <v>168</v>
      </c>
      <c r="C437" t="s">
        <v>167</v>
      </c>
    </row>
    <row r="438" spans="1:3">
      <c r="A438" t="s">
        <v>169</v>
      </c>
      <c r="B438" t="s">
        <v>169</v>
      </c>
      <c r="C438" t="s">
        <v>169</v>
      </c>
    </row>
    <row r="439" spans="1:3">
      <c r="A439" t="s">
        <v>170</v>
      </c>
      <c r="B439" t="s">
        <v>170</v>
      </c>
      <c r="C439" t="s">
        <v>170</v>
      </c>
    </row>
    <row r="440" spans="1:3">
      <c r="A440" t="s">
        <v>171</v>
      </c>
      <c r="B440" t="s">
        <v>171</v>
      </c>
      <c r="C440" t="s">
        <v>171</v>
      </c>
    </row>
    <row r="441" spans="1:3">
      <c r="A441" t="s">
        <v>172</v>
      </c>
      <c r="B441" t="s">
        <v>172</v>
      </c>
      <c r="C441" t="s">
        <v>172</v>
      </c>
    </row>
    <row r="442" spans="1:3">
      <c r="A442" t="s">
        <v>173</v>
      </c>
      <c r="B442" t="s">
        <v>174</v>
      </c>
      <c r="C442" t="s">
        <v>173</v>
      </c>
    </row>
    <row r="443" spans="1:3">
      <c r="A443" t="s">
        <v>175</v>
      </c>
      <c r="B443" t="s">
        <v>175</v>
      </c>
      <c r="C443" t="s">
        <v>175</v>
      </c>
    </row>
    <row r="444" spans="1:3">
      <c r="A444" t="s">
        <v>88</v>
      </c>
      <c r="B444" t="s">
        <v>88</v>
      </c>
      <c r="C444" t="s">
        <v>88</v>
      </c>
    </row>
    <row r="445" spans="1:3">
      <c r="A445" t="s">
        <v>176</v>
      </c>
      <c r="B445" t="s">
        <v>176</v>
      </c>
      <c r="C445" t="s">
        <v>176</v>
      </c>
    </row>
    <row r="446" spans="1:3">
      <c r="A446" t="s">
        <v>126</v>
      </c>
      <c r="B446" t="s">
        <v>126</v>
      </c>
      <c r="C446" t="s">
        <v>126</v>
      </c>
    </row>
    <row r="447" spans="1:3">
      <c r="A447" t="s">
        <v>177</v>
      </c>
      <c r="B447" t="s">
        <v>177</v>
      </c>
      <c r="C447" t="s">
        <v>177</v>
      </c>
    </row>
    <row r="448" spans="1:3">
      <c r="A448" t="s">
        <v>178</v>
      </c>
      <c r="B448" t="s">
        <v>178</v>
      </c>
      <c r="C448" t="s">
        <v>178</v>
      </c>
    </row>
    <row r="449" spans="1:3">
      <c r="A449" t="s">
        <v>179</v>
      </c>
      <c r="B449" t="s">
        <v>179</v>
      </c>
      <c r="C449" t="s">
        <v>179</v>
      </c>
    </row>
    <row r="450" spans="1:3">
      <c r="A450" t="s">
        <v>85</v>
      </c>
      <c r="B450" t="s">
        <v>85</v>
      </c>
      <c r="C450" t="s">
        <v>85</v>
      </c>
    </row>
    <row r="451" spans="1:3">
      <c r="A451" t="s">
        <v>180</v>
      </c>
      <c r="B451" t="s">
        <v>180</v>
      </c>
      <c r="C451" t="s">
        <v>180</v>
      </c>
    </row>
    <row r="452" spans="1:3">
      <c r="A452" t="s">
        <v>181</v>
      </c>
      <c r="B452" t="s">
        <v>181</v>
      </c>
      <c r="C452" t="s">
        <v>181</v>
      </c>
    </row>
    <row r="453" spans="1:3">
      <c r="A453" t="s">
        <v>13</v>
      </c>
      <c r="B453" t="s">
        <v>13</v>
      </c>
      <c r="C453" t="s">
        <v>13</v>
      </c>
    </row>
    <row r="454" spans="1:3">
      <c r="A454" t="s">
        <v>182</v>
      </c>
      <c r="B454" t="s">
        <v>182</v>
      </c>
      <c r="C454" t="s">
        <v>182</v>
      </c>
    </row>
    <row r="455" spans="1:3">
      <c r="A455" t="s">
        <v>9</v>
      </c>
      <c r="B455" t="s">
        <v>183</v>
      </c>
      <c r="C455" t="s">
        <v>9</v>
      </c>
    </row>
    <row r="456" spans="1:3">
      <c r="A456" t="s">
        <v>184</v>
      </c>
      <c r="B456" t="s">
        <v>184</v>
      </c>
      <c r="C456" t="s">
        <v>184</v>
      </c>
    </row>
    <row r="457" spans="1:3">
      <c r="A457" t="s">
        <v>185</v>
      </c>
      <c r="B457" t="s">
        <v>186</v>
      </c>
      <c r="C457" t="s">
        <v>185</v>
      </c>
    </row>
    <row r="458" spans="1:3">
      <c r="A458" t="s">
        <v>187</v>
      </c>
      <c r="B458" t="s">
        <v>187</v>
      </c>
      <c r="C458" t="s">
        <v>187</v>
      </c>
    </row>
    <row r="459" spans="1:3">
      <c r="A459" t="s">
        <v>188</v>
      </c>
      <c r="B459" t="s">
        <v>188</v>
      </c>
      <c r="C459" t="s">
        <v>188</v>
      </c>
    </row>
    <row r="460" spans="1:3">
      <c r="A460" t="s">
        <v>134</v>
      </c>
      <c r="B460" t="s">
        <v>134</v>
      </c>
      <c r="C460" t="s">
        <v>134</v>
      </c>
    </row>
    <row r="461" spans="1:3">
      <c r="A461" t="s">
        <v>66</v>
      </c>
      <c r="B461" t="s">
        <v>66</v>
      </c>
      <c r="C461" t="s">
        <v>66</v>
      </c>
    </row>
    <row r="462" spans="1:3">
      <c r="A462" t="s">
        <v>40</v>
      </c>
      <c r="B462" t="s">
        <v>40</v>
      </c>
      <c r="C462" t="s">
        <v>40</v>
      </c>
    </row>
    <row r="463" spans="1:3">
      <c r="A463" t="s">
        <v>128</v>
      </c>
      <c r="B463" t="s">
        <v>128</v>
      </c>
      <c r="C463" t="s">
        <v>128</v>
      </c>
    </row>
    <row r="464" spans="1:3">
      <c r="A464" t="s">
        <v>115</v>
      </c>
      <c r="B464" t="s">
        <v>115</v>
      </c>
      <c r="C464" t="s">
        <v>115</v>
      </c>
    </row>
    <row r="465" spans="1:3">
      <c r="A465" t="s">
        <v>56</v>
      </c>
      <c r="B465" t="s">
        <v>56</v>
      </c>
      <c r="C465" t="s">
        <v>56</v>
      </c>
    </row>
    <row r="466" spans="1:3">
      <c r="A466" t="s">
        <v>41</v>
      </c>
      <c r="B466" t="s">
        <v>41</v>
      </c>
      <c r="C466" t="s">
        <v>41</v>
      </c>
    </row>
    <row r="467" spans="1:3">
      <c r="A467" t="s">
        <v>135</v>
      </c>
      <c r="B467" t="s">
        <v>135</v>
      </c>
      <c r="C467" t="s">
        <v>135</v>
      </c>
    </row>
    <row r="468" spans="1:3">
      <c r="A468" t="s">
        <v>189</v>
      </c>
      <c r="B468" t="s">
        <v>190</v>
      </c>
      <c r="C468" t="s">
        <v>189</v>
      </c>
    </row>
    <row r="469" spans="1:3">
      <c r="A469" t="s">
        <v>82</v>
      </c>
      <c r="B469" t="s">
        <v>82</v>
      </c>
      <c r="C469" t="s">
        <v>82</v>
      </c>
    </row>
    <row r="470" spans="1:3">
      <c r="A470" t="s">
        <v>59</v>
      </c>
      <c r="B470" t="s">
        <v>59</v>
      </c>
      <c r="C470" t="s">
        <v>59</v>
      </c>
    </row>
    <row r="471" spans="1:3">
      <c r="A471" t="s">
        <v>90</v>
      </c>
      <c r="B471" t="s">
        <v>90</v>
      </c>
      <c r="C471" t="s">
        <v>90</v>
      </c>
    </row>
    <row r="472" spans="1:3">
      <c r="A472" t="s">
        <v>94</v>
      </c>
      <c r="B472" t="s">
        <v>94</v>
      </c>
      <c r="C472" t="s">
        <v>94</v>
      </c>
    </row>
    <row r="473" spans="1:3">
      <c r="A473" t="s">
        <v>42</v>
      </c>
      <c r="B473" t="s">
        <v>42</v>
      </c>
      <c r="C473" t="s">
        <v>42</v>
      </c>
    </row>
    <row r="474" spans="1:3">
      <c r="A474" t="s">
        <v>67</v>
      </c>
      <c r="B474" t="s">
        <v>67</v>
      </c>
      <c r="C474" t="s">
        <v>67</v>
      </c>
    </row>
    <row r="475" spans="1:3">
      <c r="A475" t="s">
        <v>101</v>
      </c>
      <c r="B475" t="s">
        <v>101</v>
      </c>
      <c r="C475" t="s">
        <v>101</v>
      </c>
    </row>
    <row r="476" spans="1:3">
      <c r="A476" t="s">
        <v>191</v>
      </c>
      <c r="B476" t="s">
        <v>191</v>
      </c>
      <c r="C476" t="s">
        <v>191</v>
      </c>
    </row>
    <row r="477" spans="1:3">
      <c r="A477" t="s">
        <v>192</v>
      </c>
      <c r="B477" t="s">
        <v>192</v>
      </c>
      <c r="C477" t="s">
        <v>192</v>
      </c>
    </row>
    <row r="478" spans="1:3">
      <c r="A478" t="s">
        <v>106</v>
      </c>
      <c r="B478" t="s">
        <v>106</v>
      </c>
      <c r="C478" t="s">
        <v>106</v>
      </c>
    </row>
    <row r="479" spans="1:3">
      <c r="A479" t="s">
        <v>193</v>
      </c>
      <c r="B479" t="s">
        <v>194</v>
      </c>
      <c r="C479" t="s">
        <v>193</v>
      </c>
    </row>
    <row r="480" spans="1:3">
      <c r="A480" t="s">
        <v>17</v>
      </c>
      <c r="B480" t="s">
        <v>195</v>
      </c>
      <c r="C480" t="s">
        <v>17</v>
      </c>
    </row>
    <row r="481" spans="1:3">
      <c r="A481" t="s">
        <v>112</v>
      </c>
      <c r="B481" t="s">
        <v>112</v>
      </c>
      <c r="C481" t="s">
        <v>112</v>
      </c>
    </row>
    <row r="482" spans="1:3">
      <c r="A482" t="s">
        <v>196</v>
      </c>
      <c r="B482" t="s">
        <v>197</v>
      </c>
      <c r="C482" t="s">
        <v>196</v>
      </c>
    </row>
    <row r="483" spans="1:3">
      <c r="A483" t="s">
        <v>68</v>
      </c>
      <c r="B483" t="s">
        <v>68</v>
      </c>
      <c r="C483" t="s">
        <v>68</v>
      </c>
    </row>
    <row r="484" spans="1:3">
      <c r="A484" t="s">
        <v>198</v>
      </c>
      <c r="B484" t="s">
        <v>198</v>
      </c>
      <c r="C484" t="s">
        <v>198</v>
      </c>
    </row>
    <row r="485" spans="1:3">
      <c r="A485" t="s">
        <v>18</v>
      </c>
      <c r="B485" t="s">
        <v>199</v>
      </c>
      <c r="C485" t="s">
        <v>18</v>
      </c>
    </row>
    <row r="486" spans="1:3">
      <c r="A486" t="s">
        <v>200</v>
      </c>
      <c r="B486" t="s">
        <v>200</v>
      </c>
      <c r="C486" t="s">
        <v>200</v>
      </c>
    </row>
    <row r="487" spans="1:3">
      <c r="A487" t="s">
        <v>43</v>
      </c>
      <c r="B487" t="s">
        <v>201</v>
      </c>
      <c r="C487" t="s">
        <v>43</v>
      </c>
    </row>
    <row r="488" spans="1:3">
      <c r="A488" t="s">
        <v>202</v>
      </c>
      <c r="B488" t="s">
        <v>203</v>
      </c>
      <c r="C488" t="s">
        <v>202</v>
      </c>
    </row>
    <row r="489" spans="1:3">
      <c r="A489" t="s">
        <v>204</v>
      </c>
      <c r="B489" t="s">
        <v>204</v>
      </c>
      <c r="C489" t="s">
        <v>204</v>
      </c>
    </row>
    <row r="490" spans="1:3">
      <c r="A490" t="s">
        <v>133</v>
      </c>
      <c r="B490" t="s">
        <v>133</v>
      </c>
      <c r="C490" t="s">
        <v>133</v>
      </c>
    </row>
    <row r="491" spans="1:3">
      <c r="A491" t="s">
        <v>205</v>
      </c>
      <c r="B491" t="s">
        <v>205</v>
      </c>
      <c r="C491" t="s">
        <v>205</v>
      </c>
    </row>
    <row r="492" spans="1:3">
      <c r="A492" t="s">
        <v>206</v>
      </c>
      <c r="B492" t="s">
        <v>206</v>
      </c>
      <c r="C492" t="s">
        <v>206</v>
      </c>
    </row>
    <row r="493" spans="1:3">
      <c r="A493" t="s">
        <v>207</v>
      </c>
      <c r="B493" t="s">
        <v>207</v>
      </c>
      <c r="C493" t="s">
        <v>207</v>
      </c>
    </row>
    <row r="494" spans="1:3">
      <c r="A494" t="s">
        <v>208</v>
      </c>
      <c r="B494" t="s">
        <v>208</v>
      </c>
      <c r="C494" t="s">
        <v>208</v>
      </c>
    </row>
    <row r="495" spans="1:3">
      <c r="A495" t="s">
        <v>209</v>
      </c>
      <c r="B495" t="s">
        <v>209</v>
      </c>
      <c r="C495" t="s">
        <v>209</v>
      </c>
    </row>
    <row r="496" spans="1:3">
      <c r="A496" t="s">
        <v>210</v>
      </c>
      <c r="B496" t="s">
        <v>210</v>
      </c>
      <c r="C496" t="s">
        <v>210</v>
      </c>
    </row>
    <row r="497" spans="1:3">
      <c r="A497" t="s">
        <v>211</v>
      </c>
      <c r="B497" t="s">
        <v>211</v>
      </c>
      <c r="C497" t="s">
        <v>211</v>
      </c>
    </row>
    <row r="498" spans="1:3">
      <c r="A498" t="s">
        <v>212</v>
      </c>
      <c r="B498" t="s">
        <v>212</v>
      </c>
      <c r="C498" t="s">
        <v>212</v>
      </c>
    </row>
    <row r="499" spans="1:3">
      <c r="A499" t="s">
        <v>213</v>
      </c>
      <c r="B499" t="s">
        <v>213</v>
      </c>
      <c r="C499" t="s">
        <v>213</v>
      </c>
    </row>
    <row r="500" spans="1:3">
      <c r="A500" t="s">
        <v>214</v>
      </c>
      <c r="B500" t="s">
        <v>215</v>
      </c>
      <c r="C500" t="s">
        <v>214</v>
      </c>
    </row>
    <row r="501" spans="1:3">
      <c r="A501" t="s">
        <v>216</v>
      </c>
      <c r="B501" t="s">
        <v>217</v>
      </c>
      <c r="C501" t="s">
        <v>216</v>
      </c>
    </row>
    <row r="502" spans="1:3">
      <c r="A502" t="s">
        <v>218</v>
      </c>
      <c r="B502" t="s">
        <v>218</v>
      </c>
      <c r="C502" t="s">
        <v>218</v>
      </c>
    </row>
    <row r="503" spans="1:3">
      <c r="A503" t="s">
        <v>219</v>
      </c>
      <c r="B503" t="s">
        <v>219</v>
      </c>
      <c r="C503" t="s">
        <v>219</v>
      </c>
    </row>
    <row r="504" spans="1:3">
      <c r="A504" t="s">
        <v>220</v>
      </c>
      <c r="B504" t="s">
        <v>220</v>
      </c>
      <c r="C504" t="s">
        <v>220</v>
      </c>
    </row>
    <row r="505" spans="1:3">
      <c r="A505" t="s">
        <v>221</v>
      </c>
      <c r="B505" t="s">
        <v>221</v>
      </c>
      <c r="C505" t="s">
        <v>221</v>
      </c>
    </row>
    <row r="506" spans="1:3">
      <c r="A506" t="s">
        <v>222</v>
      </c>
      <c r="B506" t="s">
        <v>222</v>
      </c>
      <c r="C506" t="s">
        <v>222</v>
      </c>
    </row>
    <row r="507" spans="1:3">
      <c r="A507" t="s">
        <v>20</v>
      </c>
      <c r="B507" t="s">
        <v>20</v>
      </c>
      <c r="C507" t="s">
        <v>20</v>
      </c>
    </row>
    <row r="508" spans="1:3">
      <c r="A508" t="s">
        <v>223</v>
      </c>
      <c r="B508" t="s">
        <v>223</v>
      </c>
      <c r="C508" t="s">
        <v>223</v>
      </c>
    </row>
    <row r="509" spans="1:3">
      <c r="A509" t="s">
        <v>21</v>
      </c>
      <c r="B509" t="s">
        <v>21</v>
      </c>
      <c r="C509" t="s">
        <v>21</v>
      </c>
    </row>
    <row r="510" spans="1:3">
      <c r="A510" t="s">
        <v>224</v>
      </c>
      <c r="B510" t="s">
        <v>225</v>
      </c>
      <c r="C510" t="s">
        <v>224</v>
      </c>
    </row>
    <row r="511" spans="1:3">
      <c r="A511" t="s">
        <v>226</v>
      </c>
      <c r="B511" t="s">
        <v>226</v>
      </c>
      <c r="C511" t="s">
        <v>226</v>
      </c>
    </row>
    <row r="512" spans="1:3">
      <c r="A512" t="s">
        <v>22</v>
      </c>
      <c r="B512" t="s">
        <v>22</v>
      </c>
      <c r="C512" t="s">
        <v>22</v>
      </c>
    </row>
    <row r="513" spans="1:3">
      <c r="A513" t="s">
        <v>227</v>
      </c>
      <c r="B513" t="s">
        <v>227</v>
      </c>
      <c r="C513" t="s">
        <v>227</v>
      </c>
    </row>
    <row r="514" spans="1:3">
      <c r="A514" t="s">
        <v>228</v>
      </c>
      <c r="B514" t="s">
        <v>228</v>
      </c>
      <c r="C514" t="s">
        <v>228</v>
      </c>
    </row>
    <row r="515" spans="1:3">
      <c r="A515" t="s">
        <v>229</v>
      </c>
      <c r="B515" t="s">
        <v>230</v>
      </c>
      <c r="C515" t="s">
        <v>229</v>
      </c>
    </row>
    <row r="516" spans="1:3">
      <c r="A516" t="s">
        <v>231</v>
      </c>
      <c r="B516" t="s">
        <v>232</v>
      </c>
      <c r="C516" t="s">
        <v>231</v>
      </c>
    </row>
    <row r="517" spans="1:3">
      <c r="A517" t="s">
        <v>233</v>
      </c>
      <c r="B517" t="s">
        <v>233</v>
      </c>
      <c r="C517" t="s">
        <v>233</v>
      </c>
    </row>
    <row r="518" spans="1:3">
      <c r="A518" t="s">
        <v>44</v>
      </c>
      <c r="B518" t="s">
        <v>44</v>
      </c>
      <c r="C518" t="s">
        <v>44</v>
      </c>
    </row>
    <row r="519" spans="1:3">
      <c r="A519" t="s">
        <v>234</v>
      </c>
      <c r="B519" t="s">
        <v>234</v>
      </c>
      <c r="C519" t="s">
        <v>234</v>
      </c>
    </row>
    <row r="520" spans="1:3">
      <c r="A520" t="s">
        <v>235</v>
      </c>
      <c r="B520" t="s">
        <v>236</v>
      </c>
      <c r="C520" t="s">
        <v>235</v>
      </c>
    </row>
    <row r="521" spans="1:3">
      <c r="A521" t="s">
        <v>237</v>
      </c>
      <c r="B521" t="s">
        <v>238</v>
      </c>
      <c r="C521" t="s">
        <v>237</v>
      </c>
    </row>
    <row r="522" spans="1:3">
      <c r="A522" t="s">
        <v>23</v>
      </c>
      <c r="B522" t="s">
        <v>239</v>
      </c>
      <c r="C522" t="s">
        <v>23</v>
      </c>
    </row>
    <row r="523" spans="1:3">
      <c r="A523" t="s">
        <v>240</v>
      </c>
      <c r="B523" t="s">
        <v>241</v>
      </c>
      <c r="C523" t="s">
        <v>240</v>
      </c>
    </row>
    <row r="524" spans="1:3">
      <c r="A524" t="s">
        <v>242</v>
      </c>
      <c r="B524" t="s">
        <v>242</v>
      </c>
      <c r="C524" t="s">
        <v>242</v>
      </c>
    </row>
    <row r="525" spans="1:3">
      <c r="A525" t="s">
        <v>243</v>
      </c>
      <c r="B525" t="s">
        <v>243</v>
      </c>
      <c r="C525" t="s">
        <v>243</v>
      </c>
    </row>
    <row r="526" spans="1:3">
      <c r="A526" t="s">
        <v>244</v>
      </c>
      <c r="B526" t="s">
        <v>244</v>
      </c>
      <c r="C526" t="s">
        <v>244</v>
      </c>
    </row>
    <row r="527" spans="1:3">
      <c r="A527" t="s">
        <v>24</v>
      </c>
      <c r="B527" t="s">
        <v>245</v>
      </c>
      <c r="C527" t="s">
        <v>24</v>
      </c>
    </row>
    <row r="528" spans="1:3">
      <c r="A528" t="s">
        <v>246</v>
      </c>
      <c r="B528" t="s">
        <v>247</v>
      </c>
      <c r="C528" t="s">
        <v>246</v>
      </c>
    </row>
    <row r="529" spans="1:3">
      <c r="A529" t="s">
        <v>248</v>
      </c>
      <c r="B529" t="s">
        <v>249</v>
      </c>
      <c r="C529" t="s">
        <v>248</v>
      </c>
    </row>
    <row r="530" spans="1:3">
      <c r="A530" t="s">
        <v>250</v>
      </c>
      <c r="B530" t="s">
        <v>251</v>
      </c>
      <c r="C530" t="s">
        <v>250</v>
      </c>
    </row>
    <row r="531" spans="1:3">
      <c r="A531" t="s">
        <v>252</v>
      </c>
      <c r="B531" t="s">
        <v>252</v>
      </c>
      <c r="C531" t="s">
        <v>252</v>
      </c>
    </row>
    <row r="532" spans="1:3">
      <c r="A532" t="s">
        <v>253</v>
      </c>
      <c r="B532" t="s">
        <v>253</v>
      </c>
      <c r="C532" t="s">
        <v>253</v>
      </c>
    </row>
    <row r="533" spans="1:3">
      <c r="A533" t="s">
        <v>254</v>
      </c>
      <c r="B533" t="s">
        <v>254</v>
      </c>
      <c r="C533" t="s">
        <v>254</v>
      </c>
    </row>
    <row r="534" spans="1:3">
      <c r="A534" t="s">
        <v>25</v>
      </c>
      <c r="B534" t="s">
        <v>25</v>
      </c>
      <c r="C534" t="s">
        <v>25</v>
      </c>
    </row>
    <row r="535" spans="1:3">
      <c r="A535" t="s">
        <v>132</v>
      </c>
      <c r="B535" t="s">
        <v>132</v>
      </c>
      <c r="C535" t="s">
        <v>132</v>
      </c>
    </row>
    <row r="536" spans="1:3">
      <c r="A536" t="s">
        <v>255</v>
      </c>
      <c r="B536" t="s">
        <v>255</v>
      </c>
      <c r="C536" t="s">
        <v>255</v>
      </c>
    </row>
    <row r="537" spans="1:3">
      <c r="A537" t="s">
        <v>256</v>
      </c>
      <c r="B537" t="s">
        <v>257</v>
      </c>
      <c r="C537" t="s">
        <v>256</v>
      </c>
    </row>
    <row r="538" spans="1:3">
      <c r="A538" t="s">
        <v>258</v>
      </c>
      <c r="B538" t="s">
        <v>258</v>
      </c>
      <c r="C538" t="s">
        <v>258</v>
      </c>
    </row>
    <row r="539" spans="1:3">
      <c r="A539" t="s">
        <v>259</v>
      </c>
      <c r="B539" t="s">
        <v>260</v>
      </c>
      <c r="C539" t="s">
        <v>259</v>
      </c>
    </row>
    <row r="540" spans="1:3">
      <c r="A540" t="s">
        <v>26</v>
      </c>
      <c r="B540" t="s">
        <v>26</v>
      </c>
      <c r="C540" t="s">
        <v>26</v>
      </c>
    </row>
    <row r="541" spans="1:3">
      <c r="A541" t="s">
        <v>261</v>
      </c>
      <c r="B541" t="s">
        <v>261</v>
      </c>
      <c r="C541" t="s">
        <v>261</v>
      </c>
    </row>
    <row r="542" spans="1:3">
      <c r="A542" t="s">
        <v>262</v>
      </c>
      <c r="B542" t="s">
        <v>263</v>
      </c>
      <c r="C542" t="s">
        <v>262</v>
      </c>
    </row>
    <row r="543" spans="1:3">
      <c r="A543" t="s">
        <v>264</v>
      </c>
      <c r="B543" t="s">
        <v>265</v>
      </c>
      <c r="C543" t="s">
        <v>264</v>
      </c>
    </row>
    <row r="544" spans="1:3">
      <c r="A544" t="s">
        <v>266</v>
      </c>
      <c r="B544" t="s">
        <v>267</v>
      </c>
      <c r="C544" t="s">
        <v>266</v>
      </c>
    </row>
    <row r="545" spans="1:3">
      <c r="A545" t="s">
        <v>268</v>
      </c>
      <c r="B545" t="s">
        <v>269</v>
      </c>
      <c r="C545" t="s">
        <v>268</v>
      </c>
    </row>
    <row r="546" spans="1:3">
      <c r="A546" t="s">
        <v>270</v>
      </c>
      <c r="B546" t="s">
        <v>271</v>
      </c>
      <c r="C546" t="s">
        <v>270</v>
      </c>
    </row>
    <row r="547" spans="1:3">
      <c r="A547" t="s">
        <v>272</v>
      </c>
      <c r="B547" t="s">
        <v>273</v>
      </c>
      <c r="C547" t="s">
        <v>272</v>
      </c>
    </row>
    <row r="548" spans="1:3">
      <c r="A548" t="s">
        <v>274</v>
      </c>
      <c r="B548" t="s">
        <v>275</v>
      </c>
      <c r="C548" t="s">
        <v>274</v>
      </c>
    </row>
    <row r="549" spans="1:3">
      <c r="A549" t="s">
        <v>276</v>
      </c>
      <c r="B549" t="s">
        <v>277</v>
      </c>
      <c r="C549" t="s">
        <v>276</v>
      </c>
    </row>
    <row r="550" spans="1:3">
      <c r="A550" t="s">
        <v>278</v>
      </c>
      <c r="B550" t="s">
        <v>279</v>
      </c>
      <c r="C550" t="s">
        <v>278</v>
      </c>
    </row>
    <row r="551" spans="1:3">
      <c r="A551" t="s">
        <v>280</v>
      </c>
      <c r="B551" t="s">
        <v>281</v>
      </c>
      <c r="C551" t="s">
        <v>280</v>
      </c>
    </row>
    <row r="552" spans="1:3">
      <c r="A552" t="s">
        <v>282</v>
      </c>
      <c r="B552" t="s">
        <v>283</v>
      </c>
      <c r="C552" t="s">
        <v>282</v>
      </c>
    </row>
    <row r="553" spans="1:3">
      <c r="A553" t="s">
        <v>284</v>
      </c>
      <c r="B553" t="s">
        <v>285</v>
      </c>
      <c r="C553" t="s">
        <v>284</v>
      </c>
    </row>
    <row r="554" spans="1:3">
      <c r="A554" t="s">
        <v>286</v>
      </c>
      <c r="B554" t="s">
        <v>287</v>
      </c>
      <c r="C554" t="s">
        <v>286</v>
      </c>
    </row>
    <row r="555" spans="1:3">
      <c r="A555" t="s">
        <v>288</v>
      </c>
      <c r="B555" t="s">
        <v>289</v>
      </c>
      <c r="C555" t="s">
        <v>288</v>
      </c>
    </row>
    <row r="556" spans="1:3">
      <c r="A556" t="s">
        <v>290</v>
      </c>
      <c r="B556" t="s">
        <v>291</v>
      </c>
      <c r="C556" t="s">
        <v>290</v>
      </c>
    </row>
    <row r="557" spans="1:3">
      <c r="A557" t="s">
        <v>292</v>
      </c>
      <c r="B557" t="s">
        <v>293</v>
      </c>
      <c r="C557" t="s">
        <v>292</v>
      </c>
    </row>
    <row r="558" spans="1:3">
      <c r="A558" t="s">
        <v>294</v>
      </c>
      <c r="B558" t="s">
        <v>295</v>
      </c>
      <c r="C558" t="s">
        <v>294</v>
      </c>
    </row>
    <row r="559" spans="1:3">
      <c r="A559" t="s">
        <v>296</v>
      </c>
      <c r="B559" t="s">
        <v>297</v>
      </c>
      <c r="C559" t="s">
        <v>296</v>
      </c>
    </row>
    <row r="560" spans="1:3">
      <c r="A560" t="s">
        <v>298</v>
      </c>
      <c r="B560" t="s">
        <v>299</v>
      </c>
      <c r="C560" t="s">
        <v>298</v>
      </c>
    </row>
    <row r="561" spans="1:3">
      <c r="A561" t="s">
        <v>300</v>
      </c>
      <c r="B561" t="s">
        <v>301</v>
      </c>
      <c r="C561" t="s">
        <v>300</v>
      </c>
    </row>
    <row r="562" spans="1:3">
      <c r="A562" t="s">
        <v>302</v>
      </c>
      <c r="B562" t="s">
        <v>303</v>
      </c>
      <c r="C562" t="s">
        <v>302</v>
      </c>
    </row>
    <row r="563" spans="1:3">
      <c r="A563" t="s">
        <v>304</v>
      </c>
      <c r="B563" t="s">
        <v>305</v>
      </c>
      <c r="C563" t="s">
        <v>304</v>
      </c>
    </row>
    <row r="564" spans="1:3">
      <c r="A564" t="s">
        <v>306</v>
      </c>
      <c r="B564" t="s">
        <v>307</v>
      </c>
      <c r="C564" t="s">
        <v>306</v>
      </c>
    </row>
    <row r="565" spans="1:3">
      <c r="A565" t="s">
        <v>308</v>
      </c>
      <c r="B565" t="s">
        <v>309</v>
      </c>
      <c r="C565" t="s">
        <v>308</v>
      </c>
    </row>
    <row r="566" spans="1:3">
      <c r="A566" t="s">
        <v>310</v>
      </c>
      <c r="B566" t="s">
        <v>311</v>
      </c>
      <c r="C566" t="s">
        <v>310</v>
      </c>
    </row>
    <row r="567" spans="1:3">
      <c r="A567" t="s">
        <v>312</v>
      </c>
      <c r="B567" t="s">
        <v>313</v>
      </c>
      <c r="C567" t="s">
        <v>312</v>
      </c>
    </row>
    <row r="568" spans="1:3">
      <c r="A568" t="s">
        <v>314</v>
      </c>
      <c r="B568" t="s">
        <v>315</v>
      </c>
      <c r="C568" t="s">
        <v>314</v>
      </c>
    </row>
    <row r="569" spans="1:3">
      <c r="A569" t="s">
        <v>316</v>
      </c>
      <c r="B569" t="s">
        <v>317</v>
      </c>
      <c r="C569" t="s">
        <v>316</v>
      </c>
    </row>
    <row r="570" spans="1:3">
      <c r="A570" t="s">
        <v>318</v>
      </c>
      <c r="B570" t="s">
        <v>319</v>
      </c>
      <c r="C570" t="s">
        <v>318</v>
      </c>
    </row>
    <row r="571" spans="1:3">
      <c r="A571" t="s">
        <v>320</v>
      </c>
      <c r="B571" t="s">
        <v>321</v>
      </c>
      <c r="C571" t="s">
        <v>320</v>
      </c>
    </row>
    <row r="572" spans="1:3">
      <c r="A572" t="s">
        <v>322</v>
      </c>
      <c r="B572" t="s">
        <v>323</v>
      </c>
      <c r="C572" t="s">
        <v>322</v>
      </c>
    </row>
    <row r="573" spans="1:3">
      <c r="A573" t="s">
        <v>324</v>
      </c>
      <c r="B573" t="s">
        <v>325</v>
      </c>
      <c r="C573" t="s">
        <v>324</v>
      </c>
    </row>
    <row r="574" spans="1:3">
      <c r="A574" t="s">
        <v>326</v>
      </c>
      <c r="B574" t="s">
        <v>326</v>
      </c>
      <c r="C574" t="s">
        <v>326</v>
      </c>
    </row>
    <row r="575" spans="1:3">
      <c r="A575" t="s">
        <v>327</v>
      </c>
      <c r="B575" t="s">
        <v>327</v>
      </c>
      <c r="C575" t="s">
        <v>327</v>
      </c>
    </row>
    <row r="576" spans="1:3">
      <c r="A576" t="s">
        <v>27</v>
      </c>
      <c r="B576" t="s">
        <v>27</v>
      </c>
      <c r="C576" t="s">
        <v>27</v>
      </c>
    </row>
    <row r="577" spans="1:3">
      <c r="A577" t="s">
        <v>328</v>
      </c>
      <c r="B577" t="s">
        <v>328</v>
      </c>
      <c r="C577" t="s">
        <v>328</v>
      </c>
    </row>
    <row r="578" spans="1:3">
      <c r="A578" t="s">
        <v>329</v>
      </c>
      <c r="B578" t="s">
        <v>329</v>
      </c>
      <c r="C578" t="s">
        <v>329</v>
      </c>
    </row>
    <row r="579" spans="1:3">
      <c r="A579" t="s">
        <v>330</v>
      </c>
      <c r="B579" t="s">
        <v>330</v>
      </c>
      <c r="C579" t="s">
        <v>330</v>
      </c>
    </row>
    <row r="580" spans="1:3">
      <c r="A580" t="s">
        <v>331</v>
      </c>
      <c r="B580" t="s">
        <v>331</v>
      </c>
      <c r="C580" t="s">
        <v>331</v>
      </c>
    </row>
    <row r="581" spans="1:3">
      <c r="A581" t="s">
        <v>332</v>
      </c>
      <c r="B581" t="s">
        <v>332</v>
      </c>
      <c r="C581" t="s">
        <v>332</v>
      </c>
    </row>
    <row r="582" spans="1:3">
      <c r="A582" t="s">
        <v>333</v>
      </c>
      <c r="B582" t="s">
        <v>333</v>
      </c>
      <c r="C582" t="s">
        <v>333</v>
      </c>
    </row>
    <row r="583" spans="1:3">
      <c r="A583" t="s">
        <v>334</v>
      </c>
      <c r="B583" t="s">
        <v>334</v>
      </c>
      <c r="C583" t="s">
        <v>334</v>
      </c>
    </row>
    <row r="584" spans="1:3">
      <c r="A584" t="s">
        <v>335</v>
      </c>
      <c r="B584" t="s">
        <v>335</v>
      </c>
      <c r="C584" t="s">
        <v>335</v>
      </c>
    </row>
    <row r="585" spans="1:3">
      <c r="A585" t="s">
        <v>336</v>
      </c>
      <c r="B585" t="s">
        <v>336</v>
      </c>
      <c r="C585" t="s">
        <v>336</v>
      </c>
    </row>
    <row r="586" spans="1:3">
      <c r="A586" t="s">
        <v>337</v>
      </c>
      <c r="B586" t="s">
        <v>338</v>
      </c>
      <c r="C586" t="s">
        <v>337</v>
      </c>
    </row>
    <row r="587" spans="1:3">
      <c r="A587" t="s">
        <v>339</v>
      </c>
      <c r="B587" t="s">
        <v>339</v>
      </c>
      <c r="C587" t="s">
        <v>339</v>
      </c>
    </row>
    <row r="588" spans="1:3">
      <c r="A588" t="s">
        <v>340</v>
      </c>
      <c r="B588" t="s">
        <v>340</v>
      </c>
      <c r="C588" t="s">
        <v>340</v>
      </c>
    </row>
    <row r="589" spans="1:3">
      <c r="A589" t="s">
        <v>341</v>
      </c>
      <c r="B589" t="s">
        <v>341</v>
      </c>
      <c r="C589" t="s">
        <v>341</v>
      </c>
    </row>
    <row r="590" spans="1:3">
      <c r="A590" t="s">
        <v>29</v>
      </c>
      <c r="B590" t="s">
        <v>29</v>
      </c>
      <c r="C590" t="s">
        <v>29</v>
      </c>
    </row>
    <row r="591" spans="1:3">
      <c r="A591" t="s">
        <v>342</v>
      </c>
      <c r="B591" t="s">
        <v>343</v>
      </c>
      <c r="C591" t="s">
        <v>342</v>
      </c>
    </row>
    <row r="592" spans="1:3">
      <c r="A592" t="s">
        <v>344</v>
      </c>
      <c r="B592" t="s">
        <v>345</v>
      </c>
      <c r="C592" t="s">
        <v>344</v>
      </c>
    </row>
    <row r="593" spans="1:3">
      <c r="A593" t="s">
        <v>346</v>
      </c>
      <c r="B593" t="s">
        <v>346</v>
      </c>
      <c r="C593" t="s">
        <v>346</v>
      </c>
    </row>
    <row r="594" spans="1:3">
      <c r="A594" t="s">
        <v>7</v>
      </c>
      <c r="B594" t="s">
        <v>347</v>
      </c>
      <c r="C594" t="s">
        <v>7</v>
      </c>
    </row>
    <row r="595" spans="1:3">
      <c r="A595" t="s">
        <v>348</v>
      </c>
      <c r="B595" t="s">
        <v>348</v>
      </c>
      <c r="C595" t="s">
        <v>348</v>
      </c>
    </row>
    <row r="596" spans="1:3">
      <c r="A596" t="s">
        <v>349</v>
      </c>
      <c r="B596" t="s">
        <v>349</v>
      </c>
      <c r="C596" t="s">
        <v>349</v>
      </c>
    </row>
    <row r="597" spans="1:3">
      <c r="A597" t="s">
        <v>350</v>
      </c>
      <c r="B597" t="s">
        <v>350</v>
      </c>
      <c r="C597" t="s">
        <v>350</v>
      </c>
    </row>
    <row r="598" spans="1:3">
      <c r="A598" t="s">
        <v>351</v>
      </c>
      <c r="B598" t="s">
        <v>352</v>
      </c>
      <c r="C598" t="s">
        <v>351</v>
      </c>
    </row>
    <row r="599" spans="1:3">
      <c r="A599" t="s">
        <v>353</v>
      </c>
      <c r="B599" t="s">
        <v>354</v>
      </c>
      <c r="C599" t="s">
        <v>353</v>
      </c>
    </row>
    <row r="600" spans="1:3">
      <c r="A600" t="s">
        <v>355</v>
      </c>
      <c r="B600" t="s">
        <v>355</v>
      </c>
      <c r="C600" t="s">
        <v>355</v>
      </c>
    </row>
    <row r="601" spans="1:3">
      <c r="A601" t="s">
        <v>356</v>
      </c>
      <c r="B601" t="s">
        <v>356</v>
      </c>
      <c r="C601" t="s">
        <v>356</v>
      </c>
    </row>
    <row r="602" spans="1:3">
      <c r="A602" t="s">
        <v>357</v>
      </c>
      <c r="B602" t="s">
        <v>358</v>
      </c>
      <c r="C602" t="s">
        <v>357</v>
      </c>
    </row>
    <row r="603" spans="1:3">
      <c r="A603" t="s">
        <v>359</v>
      </c>
      <c r="B603" t="s">
        <v>360</v>
      </c>
      <c r="C603" t="s">
        <v>359</v>
      </c>
    </row>
    <row r="604" spans="1:3">
      <c r="A604" t="s">
        <v>361</v>
      </c>
      <c r="B604" t="s">
        <v>361</v>
      </c>
      <c r="C604" t="s">
        <v>361</v>
      </c>
    </row>
    <row r="605" spans="1:3">
      <c r="A605" t="s">
        <v>362</v>
      </c>
      <c r="B605" t="s">
        <v>362</v>
      </c>
      <c r="C605" t="s">
        <v>362</v>
      </c>
    </row>
    <row r="606" spans="1:3">
      <c r="A606" t="s">
        <v>363</v>
      </c>
      <c r="B606" t="s">
        <v>363</v>
      </c>
      <c r="C606" t="s">
        <v>363</v>
      </c>
    </row>
    <row r="607" spans="1:3">
      <c r="A607" t="s">
        <v>364</v>
      </c>
      <c r="B607" t="s">
        <v>365</v>
      </c>
      <c r="C607" t="s">
        <v>364</v>
      </c>
    </row>
    <row r="608" spans="1:3">
      <c r="A608" t="s">
        <v>366</v>
      </c>
      <c r="B608" t="s">
        <v>366</v>
      </c>
      <c r="C608" t="s">
        <v>366</v>
      </c>
    </row>
    <row r="609" spans="1:3">
      <c r="A609" t="s">
        <v>367</v>
      </c>
      <c r="B609" t="s">
        <v>367</v>
      </c>
      <c r="C609" t="s">
        <v>367</v>
      </c>
    </row>
    <row r="610" spans="1:3">
      <c r="A610" t="s">
        <v>368</v>
      </c>
      <c r="B610" t="s">
        <v>368</v>
      </c>
      <c r="C610" t="s">
        <v>368</v>
      </c>
    </row>
    <row r="611" spans="1:3">
      <c r="A611" t="s">
        <v>369</v>
      </c>
      <c r="B611" t="s">
        <v>370</v>
      </c>
      <c r="C611" t="s">
        <v>369</v>
      </c>
    </row>
    <row r="612" spans="1:3">
      <c r="A612" t="s">
        <v>371</v>
      </c>
      <c r="B612" t="s">
        <v>372</v>
      </c>
      <c r="C612" t="s">
        <v>371</v>
      </c>
    </row>
    <row r="613" spans="1:3">
      <c r="A613" t="s">
        <v>373</v>
      </c>
      <c r="B613" t="s">
        <v>373</v>
      </c>
      <c r="C613" t="s">
        <v>373</v>
      </c>
    </row>
    <row r="614" spans="1:3">
      <c r="A614" t="s">
        <v>374</v>
      </c>
      <c r="B614" t="s">
        <v>375</v>
      </c>
      <c r="C614" t="s">
        <v>374</v>
      </c>
    </row>
    <row r="615" spans="1:3">
      <c r="A615" t="s">
        <v>376</v>
      </c>
      <c r="B615" t="s">
        <v>376</v>
      </c>
      <c r="C615" t="s">
        <v>376</v>
      </c>
    </row>
    <row r="616" spans="1:3">
      <c r="A616" t="s">
        <v>377</v>
      </c>
      <c r="B616" t="s">
        <v>378</v>
      </c>
      <c r="C616" t="s">
        <v>377</v>
      </c>
    </row>
    <row r="617" spans="1:3">
      <c r="A617" t="s">
        <v>379</v>
      </c>
      <c r="B617" t="s">
        <v>380</v>
      </c>
      <c r="C617" t="s">
        <v>379</v>
      </c>
    </row>
    <row r="618" spans="1:3">
      <c r="A618" t="s">
        <v>381</v>
      </c>
      <c r="B618" t="s">
        <v>382</v>
      </c>
      <c r="C618" t="s">
        <v>381</v>
      </c>
    </row>
    <row r="619" spans="1:3">
      <c r="A619" t="s">
        <v>383</v>
      </c>
      <c r="B619" t="s">
        <v>384</v>
      </c>
      <c r="C619" t="s">
        <v>383</v>
      </c>
    </row>
    <row r="620" spans="1:3">
      <c r="A620" t="s">
        <v>385</v>
      </c>
      <c r="B620" t="s">
        <v>385</v>
      </c>
      <c r="C620" t="s">
        <v>385</v>
      </c>
    </row>
    <row r="621" spans="1:3">
      <c r="A621" t="s">
        <v>386</v>
      </c>
      <c r="B621" t="s">
        <v>386</v>
      </c>
      <c r="C621" t="s">
        <v>386</v>
      </c>
    </row>
    <row r="622" spans="1:3">
      <c r="A622" t="s">
        <v>387</v>
      </c>
      <c r="B622" t="s">
        <v>387</v>
      </c>
      <c r="C622" t="s">
        <v>387</v>
      </c>
    </row>
    <row r="623" spans="1:3">
      <c r="A623" t="s">
        <v>388</v>
      </c>
      <c r="B623" t="s">
        <v>389</v>
      </c>
      <c r="C623" t="s">
        <v>388</v>
      </c>
    </row>
    <row r="624" spans="1:3">
      <c r="A624" t="s">
        <v>35</v>
      </c>
      <c r="B624" t="s">
        <v>390</v>
      </c>
      <c r="C624" t="s">
        <v>35</v>
      </c>
    </row>
    <row r="625" spans="1:3">
      <c r="A625" t="s">
        <v>391</v>
      </c>
      <c r="B625" t="s">
        <v>392</v>
      </c>
      <c r="C625" t="s">
        <v>391</v>
      </c>
    </row>
    <row r="626" spans="1:3">
      <c r="A626" t="s">
        <v>393</v>
      </c>
      <c r="B626" t="s">
        <v>393</v>
      </c>
      <c r="C626" t="s">
        <v>393</v>
      </c>
    </row>
    <row r="627" spans="1:3">
      <c r="A627" t="s">
        <v>394</v>
      </c>
      <c r="B627" t="s">
        <v>394</v>
      </c>
      <c r="C627" t="s">
        <v>394</v>
      </c>
    </row>
    <row r="628" spans="1:3">
      <c r="A628" t="s">
        <v>395</v>
      </c>
      <c r="B628" t="s">
        <v>396</v>
      </c>
      <c r="C628" t="s">
        <v>395</v>
      </c>
    </row>
    <row r="629" spans="1:3">
      <c r="A629" t="s">
        <v>397</v>
      </c>
      <c r="B629" t="s">
        <v>398</v>
      </c>
      <c r="C629" t="s">
        <v>397</v>
      </c>
    </row>
    <row r="630" spans="1:3">
      <c r="A630" t="s">
        <v>10</v>
      </c>
      <c r="B630" t="s">
        <v>399</v>
      </c>
      <c r="C630" t="s">
        <v>10</v>
      </c>
    </row>
    <row r="631" spans="1:3">
      <c r="A631" t="s">
        <v>400</v>
      </c>
      <c r="B631" t="s">
        <v>401</v>
      </c>
      <c r="C631" t="s">
        <v>400</v>
      </c>
    </row>
    <row r="632" spans="1:3">
      <c r="A632" t="s">
        <v>402</v>
      </c>
      <c r="B632" t="s">
        <v>403</v>
      </c>
      <c r="C632" t="s">
        <v>402</v>
      </c>
    </row>
    <row r="633" spans="1:3">
      <c r="A633" t="s">
        <v>404</v>
      </c>
      <c r="B633" t="s">
        <v>405</v>
      </c>
      <c r="C633" t="s">
        <v>404</v>
      </c>
    </row>
    <row r="634" spans="1:3">
      <c r="A634" t="s">
        <v>406</v>
      </c>
      <c r="B634" t="s">
        <v>407</v>
      </c>
      <c r="C634" t="s">
        <v>406</v>
      </c>
    </row>
    <row r="635" spans="1:3">
      <c r="A635" t="s">
        <v>408</v>
      </c>
      <c r="B635" t="s">
        <v>409</v>
      </c>
      <c r="C635" t="s">
        <v>408</v>
      </c>
    </row>
    <row r="636" spans="1:3">
      <c r="A636" t="s">
        <v>410</v>
      </c>
      <c r="B636" t="s">
        <v>411</v>
      </c>
      <c r="C636" t="s">
        <v>410</v>
      </c>
    </row>
    <row r="637" spans="1:3">
      <c r="A637" t="s">
        <v>412</v>
      </c>
      <c r="B637" t="s">
        <v>412</v>
      </c>
      <c r="C637" t="s">
        <v>412</v>
      </c>
    </row>
    <row r="638" spans="1:3">
      <c r="A638" t="s">
        <v>413</v>
      </c>
      <c r="B638" t="s">
        <v>413</v>
      </c>
      <c r="C638" t="s">
        <v>413</v>
      </c>
    </row>
    <row r="639" spans="1:3">
      <c r="A639" t="s">
        <v>5</v>
      </c>
      <c r="B639" t="s">
        <v>5</v>
      </c>
      <c r="C639" t="s">
        <v>5</v>
      </c>
    </row>
    <row r="640" spans="1:3">
      <c r="A640" t="s">
        <v>414</v>
      </c>
      <c r="B640" t="s">
        <v>414</v>
      </c>
      <c r="C640" t="s">
        <v>414</v>
      </c>
    </row>
    <row r="641" spans="1:3">
      <c r="A641" t="s">
        <v>415</v>
      </c>
      <c r="B641" t="s">
        <v>415</v>
      </c>
      <c r="C641" t="s">
        <v>415</v>
      </c>
    </row>
    <row r="642" spans="1:3">
      <c r="A642" t="s">
        <v>416</v>
      </c>
      <c r="B642" t="s">
        <v>416</v>
      </c>
      <c r="C642" t="s">
        <v>416</v>
      </c>
    </row>
    <row r="643" spans="1:3">
      <c r="A643" t="s">
        <v>36</v>
      </c>
      <c r="B643" t="s">
        <v>36</v>
      </c>
      <c r="C643" t="s">
        <v>36</v>
      </c>
    </row>
    <row r="644" spans="1:3">
      <c r="A644" t="s">
        <v>417</v>
      </c>
      <c r="B644" t="s">
        <v>417</v>
      </c>
      <c r="C644" t="s">
        <v>417</v>
      </c>
    </row>
    <row r="645" spans="1:3">
      <c r="A645" t="s">
        <v>12</v>
      </c>
      <c r="B645" t="s">
        <v>12</v>
      </c>
      <c r="C645" t="s">
        <v>12</v>
      </c>
    </row>
    <row r="646" spans="1:3">
      <c r="A646" t="s">
        <v>418</v>
      </c>
      <c r="B646" t="s">
        <v>418</v>
      </c>
      <c r="C646" t="s">
        <v>418</v>
      </c>
    </row>
    <row r="647" spans="1:3">
      <c r="A647" t="s">
        <v>419</v>
      </c>
      <c r="B647" t="s">
        <v>419</v>
      </c>
      <c r="C647" t="s">
        <v>419</v>
      </c>
    </row>
    <row r="648" spans="1:3">
      <c r="A648" t="s">
        <v>420</v>
      </c>
      <c r="B648" t="s">
        <v>420</v>
      </c>
      <c r="C648" t="s">
        <v>420</v>
      </c>
    </row>
    <row r="649" spans="1:3">
      <c r="A649" t="s">
        <v>421</v>
      </c>
      <c r="B649" t="s">
        <v>422</v>
      </c>
      <c r="C649" t="s">
        <v>421</v>
      </c>
    </row>
    <row r="650" spans="1:3">
      <c r="A650" t="s">
        <v>423</v>
      </c>
      <c r="B650" t="s">
        <v>423</v>
      </c>
      <c r="C650" t="s">
        <v>423</v>
      </c>
    </row>
    <row r="651" spans="1:3">
      <c r="A651" t="s">
        <v>424</v>
      </c>
      <c r="B651" t="s">
        <v>424</v>
      </c>
      <c r="C651" t="s">
        <v>424</v>
      </c>
    </row>
    <row r="652" spans="1:3">
      <c r="A652" t="s">
        <v>425</v>
      </c>
      <c r="B652" t="s">
        <v>425</v>
      </c>
      <c r="C652" t="s">
        <v>425</v>
      </c>
    </row>
    <row r="653" spans="1:3">
      <c r="A653" t="s">
        <v>426</v>
      </c>
      <c r="B653" t="s">
        <v>426</v>
      </c>
      <c r="C653" t="s">
        <v>426</v>
      </c>
    </row>
    <row r="654" spans="1:3">
      <c r="A654" t="s">
        <v>427</v>
      </c>
      <c r="B654" t="s">
        <v>427</v>
      </c>
      <c r="C654" t="s">
        <v>427</v>
      </c>
    </row>
    <row r="655" spans="1:3">
      <c r="A655" t="s">
        <v>428</v>
      </c>
      <c r="B655" t="s">
        <v>428</v>
      </c>
      <c r="C655" t="s">
        <v>428</v>
      </c>
    </row>
    <row r="656" spans="1:3">
      <c r="A656" t="s">
        <v>429</v>
      </c>
      <c r="B656" t="s">
        <v>429</v>
      </c>
      <c r="C656" t="s">
        <v>429</v>
      </c>
    </row>
    <row r="657" spans="1:3">
      <c r="A657" t="s">
        <v>430</v>
      </c>
      <c r="B657" t="s">
        <v>430</v>
      </c>
      <c r="C657" t="s">
        <v>430</v>
      </c>
    </row>
    <row r="658" spans="1:3">
      <c r="A658" t="s">
        <v>431</v>
      </c>
      <c r="B658" t="s">
        <v>431</v>
      </c>
      <c r="C658" t="s">
        <v>431</v>
      </c>
    </row>
    <row r="659" spans="1:3">
      <c r="A659" t="s">
        <v>33</v>
      </c>
      <c r="B659" t="s">
        <v>33</v>
      </c>
      <c r="C659" t="s">
        <v>33</v>
      </c>
    </row>
    <row r="660" spans="1:3">
      <c r="A660" t="s">
        <v>433</v>
      </c>
      <c r="B660" t="s">
        <v>433</v>
      </c>
      <c r="C660" t="s">
        <v>433</v>
      </c>
    </row>
    <row r="661" spans="1:3">
      <c r="A661" t="s">
        <v>434</v>
      </c>
      <c r="B661" t="s">
        <v>434</v>
      </c>
      <c r="C661" t="s">
        <v>434</v>
      </c>
    </row>
    <row r="662" spans="1:3">
      <c r="A662" t="s">
        <v>435</v>
      </c>
      <c r="B662" t="s">
        <v>435</v>
      </c>
      <c r="C662" t="s">
        <v>435</v>
      </c>
    </row>
    <row r="663" spans="1:3">
      <c r="A663" t="s">
        <v>436</v>
      </c>
      <c r="B663" t="s">
        <v>436</v>
      </c>
      <c r="C663" t="s">
        <v>436</v>
      </c>
    </row>
    <row r="664" spans="1:3">
      <c r="A664" t="s">
        <v>437</v>
      </c>
      <c r="B664" t="s">
        <v>438</v>
      </c>
      <c r="C664" t="s">
        <v>437</v>
      </c>
    </row>
    <row r="665" spans="1:3">
      <c r="A665" t="s">
        <v>439</v>
      </c>
      <c r="B665" t="s">
        <v>440</v>
      </c>
      <c r="C665" t="s">
        <v>439</v>
      </c>
    </row>
    <row r="666" spans="1:3">
      <c r="A666" t="s">
        <v>441</v>
      </c>
      <c r="B666" t="s">
        <v>442</v>
      </c>
      <c r="C666" t="s">
        <v>441</v>
      </c>
    </row>
    <row r="667" spans="1:3">
      <c r="A667" t="s">
        <v>443</v>
      </c>
      <c r="B667" t="s">
        <v>444</v>
      </c>
      <c r="C667" t="s">
        <v>443</v>
      </c>
    </row>
    <row r="668" spans="1:3">
      <c r="A668" t="s">
        <v>445</v>
      </c>
      <c r="B668" t="s">
        <v>446</v>
      </c>
      <c r="C668" t="s">
        <v>445</v>
      </c>
    </row>
    <row r="669" spans="1:3">
      <c r="A669" t="s">
        <v>447</v>
      </c>
      <c r="B669" t="s">
        <v>447</v>
      </c>
      <c r="C669" t="s">
        <v>447</v>
      </c>
    </row>
    <row r="670" spans="1:3">
      <c r="A670" t="s">
        <v>448</v>
      </c>
      <c r="B670" t="s">
        <v>448</v>
      </c>
      <c r="C670" t="s">
        <v>448</v>
      </c>
    </row>
    <row r="671" spans="1:3">
      <c r="A671" t="s">
        <v>449</v>
      </c>
      <c r="B671" t="s">
        <v>450</v>
      </c>
      <c r="C671" t="s">
        <v>449</v>
      </c>
    </row>
    <row r="672" spans="1:3">
      <c r="A672" t="s">
        <v>451</v>
      </c>
      <c r="B672" t="s">
        <v>451</v>
      </c>
      <c r="C672" t="s">
        <v>451</v>
      </c>
    </row>
    <row r="673" spans="1:3">
      <c r="A673" t="s">
        <v>452</v>
      </c>
      <c r="B673" t="s">
        <v>453</v>
      </c>
      <c r="C673" t="s">
        <v>452</v>
      </c>
    </row>
    <row r="674" spans="1:3">
      <c r="A674" t="s">
        <v>454</v>
      </c>
      <c r="B674" t="s">
        <v>454</v>
      </c>
      <c r="C674" t="s">
        <v>454</v>
      </c>
    </row>
    <row r="675" spans="1:3">
      <c r="A675" t="s">
        <v>455</v>
      </c>
      <c r="B675" t="s">
        <v>455</v>
      </c>
      <c r="C675" t="s">
        <v>455</v>
      </c>
    </row>
    <row r="676" spans="1:3">
      <c r="A676" t="s">
        <v>456</v>
      </c>
      <c r="B676" t="s">
        <v>457</v>
      </c>
      <c r="C676" t="s">
        <v>456</v>
      </c>
    </row>
    <row r="677" spans="1:3">
      <c r="A677" t="s">
        <v>458</v>
      </c>
      <c r="B677" t="s">
        <v>459</v>
      </c>
      <c r="C677" t="s">
        <v>458</v>
      </c>
    </row>
    <row r="678" spans="1:3">
      <c r="A678" t="s">
        <v>460</v>
      </c>
      <c r="B678" t="s">
        <v>460</v>
      </c>
      <c r="C678" t="s">
        <v>460</v>
      </c>
    </row>
    <row r="679" spans="1:3">
      <c r="A679" t="s">
        <v>461</v>
      </c>
      <c r="B679" t="s">
        <v>462</v>
      </c>
      <c r="C679" t="s">
        <v>461</v>
      </c>
    </row>
    <row r="680" spans="1:3">
      <c r="A680" t="s">
        <v>463</v>
      </c>
      <c r="B680" t="s">
        <v>464</v>
      </c>
      <c r="C680" t="s">
        <v>463</v>
      </c>
    </row>
    <row r="681" spans="1:3">
      <c r="A681" t="s">
        <v>465</v>
      </c>
      <c r="B681" t="s">
        <v>466</v>
      </c>
      <c r="C681" t="s">
        <v>465</v>
      </c>
    </row>
    <row r="682" spans="1:3">
      <c r="A682" t="s">
        <v>467</v>
      </c>
      <c r="B682" t="s">
        <v>467</v>
      </c>
      <c r="C682" t="s">
        <v>467</v>
      </c>
    </row>
    <row r="683" spans="1:3">
      <c r="A683" t="s">
        <v>468</v>
      </c>
      <c r="B683" t="s">
        <v>468</v>
      </c>
      <c r="C683" t="s">
        <v>468</v>
      </c>
    </row>
    <row r="684" spans="1:3">
      <c r="A684" t="s">
        <v>469</v>
      </c>
      <c r="B684" t="s">
        <v>469</v>
      </c>
      <c r="C684" t="s">
        <v>469</v>
      </c>
    </row>
    <row r="685" spans="1:3">
      <c r="A685" t="s">
        <v>470</v>
      </c>
      <c r="B685" t="s">
        <v>470</v>
      </c>
      <c r="C685" t="s">
        <v>470</v>
      </c>
    </row>
    <row r="686" spans="1:3">
      <c r="A686" t="s">
        <v>471</v>
      </c>
      <c r="B686" t="s">
        <v>471</v>
      </c>
      <c r="C686" t="s">
        <v>471</v>
      </c>
    </row>
    <row r="687" spans="1:3">
      <c r="A687" t="s">
        <v>472</v>
      </c>
      <c r="B687" t="s">
        <v>472</v>
      </c>
      <c r="C687" t="s">
        <v>472</v>
      </c>
    </row>
    <row r="688" spans="1:3">
      <c r="A688" t="s">
        <v>473</v>
      </c>
      <c r="B688" t="s">
        <v>473</v>
      </c>
      <c r="C688" t="s">
        <v>473</v>
      </c>
    </row>
    <row r="689" spans="1:3">
      <c r="A689" t="s">
        <v>474</v>
      </c>
      <c r="B689" t="s">
        <v>474</v>
      </c>
      <c r="C689" t="s">
        <v>474</v>
      </c>
    </row>
    <row r="690" spans="1:3">
      <c r="A690" t="s">
        <v>475</v>
      </c>
      <c r="B690" t="s">
        <v>475</v>
      </c>
      <c r="C690" t="s">
        <v>475</v>
      </c>
    </row>
    <row r="691" spans="1:3">
      <c r="A691" t="s">
        <v>476</v>
      </c>
      <c r="B691" t="s">
        <v>476</v>
      </c>
      <c r="C691" t="s">
        <v>476</v>
      </c>
    </row>
    <row r="692" spans="1:3">
      <c r="A692" t="s">
        <v>477</v>
      </c>
      <c r="B692" t="s">
        <v>477</v>
      </c>
      <c r="C692" t="s">
        <v>477</v>
      </c>
    </row>
    <row r="693" spans="1:3">
      <c r="A693" t="s">
        <v>478</v>
      </c>
      <c r="B693" t="s">
        <v>479</v>
      </c>
      <c r="C693" t="s">
        <v>478</v>
      </c>
    </row>
    <row r="694" spans="1:3">
      <c r="A694" t="s">
        <v>480</v>
      </c>
      <c r="B694" t="s">
        <v>480</v>
      </c>
      <c r="C694" t="s">
        <v>480</v>
      </c>
    </row>
    <row r="695" spans="1:3">
      <c r="A695" t="s">
        <v>481</v>
      </c>
      <c r="B695" t="s">
        <v>481</v>
      </c>
      <c r="C695" t="s">
        <v>481</v>
      </c>
    </row>
    <row r="696" spans="1:3">
      <c r="A696" t="s">
        <v>482</v>
      </c>
      <c r="B696" t="s">
        <v>482</v>
      </c>
      <c r="C696" t="s">
        <v>482</v>
      </c>
    </row>
    <row r="697" spans="1:3">
      <c r="A697" t="s">
        <v>483</v>
      </c>
      <c r="B697" t="s">
        <v>483</v>
      </c>
      <c r="C697" t="s">
        <v>483</v>
      </c>
    </row>
    <row r="698" spans="1:3">
      <c r="A698" t="s">
        <v>484</v>
      </c>
      <c r="B698" t="s">
        <v>484</v>
      </c>
      <c r="C698" t="s">
        <v>484</v>
      </c>
    </row>
    <row r="699" spans="1:3">
      <c r="A699" t="s">
        <v>485</v>
      </c>
      <c r="B699" t="s">
        <v>485</v>
      </c>
      <c r="C699" t="s">
        <v>485</v>
      </c>
    </row>
    <row r="700" spans="1:3">
      <c r="A700" t="s">
        <v>486</v>
      </c>
      <c r="B700" t="s">
        <v>487</v>
      </c>
      <c r="C700" t="s">
        <v>486</v>
      </c>
    </row>
    <row r="701" spans="1:3">
      <c r="A701" t="s">
        <v>28</v>
      </c>
      <c r="B701" t="s">
        <v>488</v>
      </c>
      <c r="C701" t="s">
        <v>28</v>
      </c>
    </row>
    <row r="702" spans="1:3">
      <c r="A702" t="s">
        <v>489</v>
      </c>
      <c r="B702" t="s">
        <v>489</v>
      </c>
      <c r="C702" t="s">
        <v>489</v>
      </c>
    </row>
    <row r="703" spans="1:3">
      <c r="A703" t="s">
        <v>490</v>
      </c>
      <c r="B703" t="s">
        <v>491</v>
      </c>
      <c r="C703" t="s">
        <v>490</v>
      </c>
    </row>
    <row r="704" spans="1:3">
      <c r="A704" t="s">
        <v>492</v>
      </c>
      <c r="B704" t="s">
        <v>492</v>
      </c>
      <c r="C704" t="s">
        <v>492</v>
      </c>
    </row>
    <row r="705" spans="1:3">
      <c r="A705" t="s">
        <v>493</v>
      </c>
      <c r="B705" t="s">
        <v>493</v>
      </c>
      <c r="C705" t="s">
        <v>493</v>
      </c>
    </row>
    <row r="706" spans="1:3">
      <c r="A706" t="s">
        <v>31</v>
      </c>
      <c r="B706" t="s">
        <v>494</v>
      </c>
      <c r="C706" t="s">
        <v>31</v>
      </c>
    </row>
    <row r="707" spans="1:3">
      <c r="A707" t="s">
        <v>495</v>
      </c>
      <c r="B707" t="s">
        <v>495</v>
      </c>
      <c r="C707" t="s">
        <v>495</v>
      </c>
    </row>
    <row r="708" spans="1:3">
      <c r="A708" t="s">
        <v>496</v>
      </c>
      <c r="B708" t="s">
        <v>496</v>
      </c>
      <c r="C708" t="s">
        <v>496</v>
      </c>
    </row>
    <row r="709" spans="1:3">
      <c r="A709" t="s">
        <v>497</v>
      </c>
      <c r="B709" t="s">
        <v>498</v>
      </c>
      <c r="C709" t="s">
        <v>497</v>
      </c>
    </row>
    <row r="710" spans="1:3">
      <c r="A710" t="s">
        <v>499</v>
      </c>
      <c r="B710" t="s">
        <v>499</v>
      </c>
      <c r="C710" t="s">
        <v>499</v>
      </c>
    </row>
    <row r="711" spans="1:3">
      <c r="A711" t="s">
        <v>500</v>
      </c>
      <c r="B711" t="s">
        <v>500</v>
      </c>
      <c r="C711" t="s">
        <v>500</v>
      </c>
    </row>
    <row r="712" spans="1:3">
      <c r="A712" t="s">
        <v>501</v>
      </c>
      <c r="B712" t="s">
        <v>501</v>
      </c>
      <c r="C712" t="s">
        <v>501</v>
      </c>
    </row>
    <row r="713" spans="1:3">
      <c r="A713" t="s">
        <v>502</v>
      </c>
      <c r="B713" t="s">
        <v>502</v>
      </c>
      <c r="C713" t="s">
        <v>502</v>
      </c>
    </row>
    <row r="714" spans="1:3">
      <c r="A714" t="s">
        <v>503</v>
      </c>
      <c r="B714" t="s">
        <v>503</v>
      </c>
      <c r="C714" t="s">
        <v>503</v>
      </c>
    </row>
    <row r="715" spans="1:3">
      <c r="A715" t="s">
        <v>34</v>
      </c>
      <c r="B715" t="s">
        <v>34</v>
      </c>
      <c r="C715" t="s">
        <v>34</v>
      </c>
    </row>
    <row r="716" spans="1:3">
      <c r="A716" t="s">
        <v>504</v>
      </c>
      <c r="B716" t="s">
        <v>504</v>
      </c>
      <c r="C716" t="s">
        <v>504</v>
      </c>
    </row>
    <row r="717" spans="1:3">
      <c r="A717" t="s">
        <v>505</v>
      </c>
      <c r="B717" t="s">
        <v>506</v>
      </c>
      <c r="C717" t="s">
        <v>505</v>
      </c>
    </row>
    <row r="718" spans="1:3">
      <c r="A718" t="s">
        <v>507</v>
      </c>
      <c r="B718" t="s">
        <v>508</v>
      </c>
      <c r="C718" t="s">
        <v>507</v>
      </c>
    </row>
    <row r="719" spans="1:3">
      <c r="A719" t="s">
        <v>509</v>
      </c>
      <c r="B719" t="s">
        <v>509</v>
      </c>
      <c r="C719" t="s">
        <v>509</v>
      </c>
    </row>
    <row r="720" spans="1:3">
      <c r="A720" t="s">
        <v>510</v>
      </c>
      <c r="B720" t="s">
        <v>511</v>
      </c>
      <c r="C720" t="s">
        <v>510</v>
      </c>
    </row>
    <row r="721" spans="1:3">
      <c r="A721" t="s">
        <v>512</v>
      </c>
      <c r="B721" t="s">
        <v>513</v>
      </c>
      <c r="C721" t="s">
        <v>512</v>
      </c>
    </row>
    <row r="722" spans="1:3">
      <c r="A722" t="s">
        <v>95</v>
      </c>
      <c r="B722" t="s">
        <v>95</v>
      </c>
      <c r="C722" t="s">
        <v>95</v>
      </c>
    </row>
    <row r="723" spans="1:3">
      <c r="A723" t="s">
        <v>514</v>
      </c>
      <c r="B723" t="s">
        <v>515</v>
      </c>
      <c r="C723" t="s">
        <v>514</v>
      </c>
    </row>
    <row r="724" spans="1:3">
      <c r="A724" t="s">
        <v>516</v>
      </c>
      <c r="B724" t="s">
        <v>517</v>
      </c>
      <c r="C724" t="s">
        <v>516</v>
      </c>
    </row>
    <row r="725" spans="1:3">
      <c r="A725" t="s">
        <v>65</v>
      </c>
      <c r="B725" t="s">
        <v>65</v>
      </c>
      <c r="C725" t="s">
        <v>65</v>
      </c>
    </row>
    <row r="726" spans="1:3">
      <c r="A726" t="s">
        <v>518</v>
      </c>
      <c r="B726" t="s">
        <v>519</v>
      </c>
      <c r="C726" t="s">
        <v>518</v>
      </c>
    </row>
    <row r="727" spans="1:3">
      <c r="A727" t="s">
        <v>98</v>
      </c>
      <c r="B727" t="s">
        <v>98</v>
      </c>
      <c r="C727" t="s">
        <v>98</v>
      </c>
    </row>
    <row r="728" spans="1:3">
      <c r="A728" t="s">
        <v>520</v>
      </c>
      <c r="B728" t="s">
        <v>520</v>
      </c>
      <c r="C728" t="s">
        <v>520</v>
      </c>
    </row>
    <row r="729" spans="1:3">
      <c r="A729" t="s">
        <v>521</v>
      </c>
      <c r="B729" t="s">
        <v>522</v>
      </c>
      <c r="C729" t="s">
        <v>521</v>
      </c>
    </row>
    <row r="730" spans="1:3">
      <c r="A730" t="s">
        <v>523</v>
      </c>
      <c r="B730" t="s">
        <v>524</v>
      </c>
      <c r="C730" t="s">
        <v>523</v>
      </c>
    </row>
    <row r="731" spans="1:3">
      <c r="A731" t="s">
        <v>525</v>
      </c>
      <c r="B731" t="s">
        <v>526</v>
      </c>
      <c r="C731" t="s">
        <v>525</v>
      </c>
    </row>
    <row r="732" spans="1:3">
      <c r="A732" t="s">
        <v>527</v>
      </c>
      <c r="B732" t="s">
        <v>527</v>
      </c>
      <c r="C732" t="s">
        <v>527</v>
      </c>
    </row>
    <row r="733" spans="1:3">
      <c r="A733" t="s">
        <v>528</v>
      </c>
      <c r="B733" t="s">
        <v>528</v>
      </c>
      <c r="C733" t="s">
        <v>528</v>
      </c>
    </row>
    <row r="734" spans="1:3">
      <c r="A734" t="s">
        <v>529</v>
      </c>
      <c r="B734" t="s">
        <v>530</v>
      </c>
      <c r="C734" t="s">
        <v>529</v>
      </c>
    </row>
    <row r="735" spans="1:3">
      <c r="A735" t="s">
        <v>531</v>
      </c>
      <c r="B735" t="s">
        <v>531</v>
      </c>
      <c r="C735" t="s">
        <v>531</v>
      </c>
    </row>
    <row r="736" spans="1:3">
      <c r="A736" t="s">
        <v>129</v>
      </c>
      <c r="B736" t="s">
        <v>129</v>
      </c>
      <c r="C736" t="s">
        <v>129</v>
      </c>
    </row>
    <row r="737" spans="1:3">
      <c r="A737" t="s">
        <v>532</v>
      </c>
      <c r="B737" t="s">
        <v>533</v>
      </c>
      <c r="C737" t="s">
        <v>532</v>
      </c>
    </row>
    <row r="738" spans="1:3">
      <c r="A738" t="s">
        <v>534</v>
      </c>
      <c r="B738" t="s">
        <v>534</v>
      </c>
      <c r="C738" t="s">
        <v>534</v>
      </c>
    </row>
    <row r="739" spans="1:3">
      <c r="A739" t="s">
        <v>535</v>
      </c>
      <c r="B739" t="s">
        <v>535</v>
      </c>
      <c r="C739" t="s">
        <v>535</v>
      </c>
    </row>
    <row r="740" spans="1:3">
      <c r="A740" t="s">
        <v>536</v>
      </c>
      <c r="B740" t="s">
        <v>536</v>
      </c>
      <c r="C740" t="s">
        <v>536</v>
      </c>
    </row>
    <row r="741" spans="1:3">
      <c r="A741" t="s">
        <v>537</v>
      </c>
      <c r="B741" t="s">
        <v>537</v>
      </c>
      <c r="C741" t="s">
        <v>537</v>
      </c>
    </row>
    <row r="742" spans="1:3">
      <c r="A742" t="s">
        <v>538</v>
      </c>
      <c r="B742" t="s">
        <v>538</v>
      </c>
      <c r="C742" t="s">
        <v>538</v>
      </c>
    </row>
    <row r="743" spans="1:3">
      <c r="A743" t="s">
        <v>539</v>
      </c>
      <c r="B743" t="s">
        <v>540</v>
      </c>
      <c r="C743" t="s">
        <v>539</v>
      </c>
    </row>
    <row r="744" spans="1:3">
      <c r="A744" t="s">
        <v>108</v>
      </c>
      <c r="B744" t="s">
        <v>108</v>
      </c>
      <c r="C744" t="s">
        <v>108</v>
      </c>
    </row>
    <row r="745" spans="1:3">
      <c r="A745" t="s">
        <v>541</v>
      </c>
      <c r="B745" t="s">
        <v>541</v>
      </c>
      <c r="C745" t="s">
        <v>541</v>
      </c>
    </row>
    <row r="746" spans="1:3">
      <c r="A746" t="s">
        <v>30</v>
      </c>
      <c r="B746" t="s">
        <v>542</v>
      </c>
      <c r="C746" t="s">
        <v>30</v>
      </c>
    </row>
    <row r="747" spans="1:3">
      <c r="A747" t="s">
        <v>104</v>
      </c>
      <c r="B747" t="s">
        <v>104</v>
      </c>
      <c r="C747" t="s">
        <v>104</v>
      </c>
    </row>
    <row r="748" spans="1:3">
      <c r="A748" t="s">
        <v>543</v>
      </c>
      <c r="B748" t="s">
        <v>543</v>
      </c>
      <c r="C748" t="s">
        <v>543</v>
      </c>
    </row>
    <row r="749" spans="1:3">
      <c r="A749" t="s">
        <v>544</v>
      </c>
      <c r="B749" t="s">
        <v>544</v>
      </c>
      <c r="C749" t="s">
        <v>544</v>
      </c>
    </row>
    <row r="750" spans="1:3">
      <c r="A750" t="s">
        <v>105</v>
      </c>
      <c r="B750" t="s">
        <v>105</v>
      </c>
      <c r="C750" t="s">
        <v>105</v>
      </c>
    </row>
    <row r="751" spans="1:3">
      <c r="A751" t="s">
        <v>545</v>
      </c>
      <c r="B751" t="s">
        <v>545</v>
      </c>
      <c r="C751" t="s">
        <v>545</v>
      </c>
    </row>
    <row r="752" spans="1:3">
      <c r="A752" t="s">
        <v>546</v>
      </c>
      <c r="B752" t="s">
        <v>546</v>
      </c>
      <c r="C752" t="s">
        <v>546</v>
      </c>
    </row>
    <row r="753" spans="1:3">
      <c r="A753" t="s">
        <v>547</v>
      </c>
      <c r="B753" t="s">
        <v>548</v>
      </c>
      <c r="C753" t="s">
        <v>547</v>
      </c>
    </row>
    <row r="754" spans="1:3">
      <c r="A754" t="s">
        <v>549</v>
      </c>
      <c r="B754" t="s">
        <v>550</v>
      </c>
      <c r="C754" t="s">
        <v>549</v>
      </c>
    </row>
    <row r="755" spans="1:3">
      <c r="A755" t="s">
        <v>551</v>
      </c>
      <c r="B755" t="s">
        <v>551</v>
      </c>
      <c r="C755" t="s">
        <v>551</v>
      </c>
    </row>
    <row r="756" spans="1:3">
      <c r="A756" t="s">
        <v>552</v>
      </c>
      <c r="B756" t="s">
        <v>552</v>
      </c>
      <c r="C756" t="s">
        <v>552</v>
      </c>
    </row>
    <row r="757" spans="1:3">
      <c r="A757" t="s">
        <v>553</v>
      </c>
      <c r="B757" t="s">
        <v>553</v>
      </c>
      <c r="C757" t="s">
        <v>553</v>
      </c>
    </row>
    <row r="758" spans="1:3">
      <c r="A758" t="s">
        <v>37</v>
      </c>
      <c r="B758" t="s">
        <v>554</v>
      </c>
      <c r="C758" t="s">
        <v>37</v>
      </c>
    </row>
    <row r="759" spans="1:3">
      <c r="A759" t="s">
        <v>555</v>
      </c>
      <c r="B759" t="s">
        <v>556</v>
      </c>
      <c r="C759" t="s">
        <v>555</v>
      </c>
    </row>
    <row r="760" spans="1:3">
      <c r="A760" t="s">
        <v>4</v>
      </c>
      <c r="B760" t="s">
        <v>557</v>
      </c>
      <c r="C760" t="s">
        <v>4</v>
      </c>
    </row>
    <row r="761" spans="1:3">
      <c r="A761" t="s">
        <v>62</v>
      </c>
      <c r="B761" t="s">
        <v>62</v>
      </c>
      <c r="C761" t="s">
        <v>62</v>
      </c>
    </row>
    <row r="762" spans="1:3">
      <c r="A762" t="s">
        <v>558</v>
      </c>
      <c r="B762" t="s">
        <v>558</v>
      </c>
      <c r="C762" t="s">
        <v>558</v>
      </c>
    </row>
    <row r="763" spans="1:3">
      <c r="A763" t="s">
        <v>11</v>
      </c>
      <c r="B763" t="s">
        <v>559</v>
      </c>
      <c r="C763" t="s">
        <v>11</v>
      </c>
    </row>
    <row r="764" spans="1:3">
      <c r="A764" t="s">
        <v>560</v>
      </c>
      <c r="B764" t="s">
        <v>561</v>
      </c>
      <c r="C764" t="s">
        <v>560</v>
      </c>
    </row>
    <row r="765" spans="1:3">
      <c r="A765" t="s">
        <v>110</v>
      </c>
      <c r="B765" t="s">
        <v>110</v>
      </c>
      <c r="C765" t="s">
        <v>110</v>
      </c>
    </row>
    <row r="766" spans="1:3">
      <c r="A766" t="s">
        <v>562</v>
      </c>
      <c r="B766" t="s">
        <v>562</v>
      </c>
      <c r="C766" t="s">
        <v>562</v>
      </c>
    </row>
    <row r="767" spans="1:3">
      <c r="A767" t="s">
        <v>563</v>
      </c>
      <c r="B767" t="s">
        <v>563</v>
      </c>
      <c r="C767" t="s">
        <v>563</v>
      </c>
    </row>
    <row r="768" spans="1:3">
      <c r="A768" t="s">
        <v>564</v>
      </c>
      <c r="B768" t="s">
        <v>565</v>
      </c>
      <c r="C768" t="s">
        <v>564</v>
      </c>
    </row>
    <row r="769" spans="1:3">
      <c r="A769" t="s">
        <v>566</v>
      </c>
      <c r="B769" t="s">
        <v>566</v>
      </c>
      <c r="C769" t="s">
        <v>566</v>
      </c>
    </row>
    <row r="770" spans="1:3">
      <c r="A770" t="s">
        <v>567</v>
      </c>
      <c r="B770" t="s">
        <v>568</v>
      </c>
      <c r="C770" t="s">
        <v>567</v>
      </c>
    </row>
    <row r="771" spans="1:3">
      <c r="A771" t="s">
        <v>569</v>
      </c>
      <c r="B771" t="s">
        <v>569</v>
      </c>
      <c r="C771" t="s">
        <v>569</v>
      </c>
    </row>
    <row r="772" spans="1:3">
      <c r="A772" t="s">
        <v>570</v>
      </c>
      <c r="B772" t="s">
        <v>571</v>
      </c>
      <c r="C772" t="s">
        <v>570</v>
      </c>
    </row>
    <row r="773" spans="1:3">
      <c r="A773" t="s">
        <v>116</v>
      </c>
      <c r="B773" t="s">
        <v>116</v>
      </c>
      <c r="C773" t="s">
        <v>116</v>
      </c>
    </row>
    <row r="774" spans="1:3">
      <c r="A774" t="s">
        <v>572</v>
      </c>
      <c r="B774" t="s">
        <v>572</v>
      </c>
      <c r="C774" t="s">
        <v>572</v>
      </c>
    </row>
    <row r="775" spans="1:3">
      <c r="A775" t="s">
        <v>573</v>
      </c>
      <c r="B775" t="s">
        <v>574</v>
      </c>
      <c r="C775" t="s">
        <v>573</v>
      </c>
    </row>
    <row r="776" spans="1:3">
      <c r="A776" t="s">
        <v>575</v>
      </c>
      <c r="B776" t="s">
        <v>575</v>
      </c>
      <c r="C776" t="s">
        <v>575</v>
      </c>
    </row>
    <row r="777" spans="1:3">
      <c r="A777" t="s">
        <v>576</v>
      </c>
      <c r="B777" t="s">
        <v>576</v>
      </c>
      <c r="C777" t="s">
        <v>576</v>
      </c>
    </row>
    <row r="778" spans="1:3">
      <c r="A778" t="s">
        <v>577</v>
      </c>
      <c r="B778" t="s">
        <v>578</v>
      </c>
      <c r="C778" t="s">
        <v>577</v>
      </c>
    </row>
    <row r="779" spans="1:3">
      <c r="A779" t="s">
        <v>579</v>
      </c>
      <c r="B779" t="s">
        <v>580</v>
      </c>
      <c r="C779" t="s">
        <v>579</v>
      </c>
    </row>
    <row r="780" spans="1:3">
      <c r="A780" t="s">
        <v>581</v>
      </c>
      <c r="B780" t="s">
        <v>581</v>
      </c>
      <c r="C780" t="s">
        <v>581</v>
      </c>
    </row>
    <row r="781" spans="1:3">
      <c r="A781" t="s">
        <v>582</v>
      </c>
      <c r="B781" t="s">
        <v>583</v>
      </c>
      <c r="C781" t="s">
        <v>582</v>
      </c>
    </row>
    <row r="782" spans="1:3">
      <c r="A782" t="s">
        <v>584</v>
      </c>
      <c r="B782" t="s">
        <v>584</v>
      </c>
      <c r="C782" t="s">
        <v>584</v>
      </c>
    </row>
    <row r="783" spans="1:3">
      <c r="A783" t="s">
        <v>585</v>
      </c>
      <c r="B783" t="s">
        <v>586</v>
      </c>
      <c r="C783" t="s">
        <v>585</v>
      </c>
    </row>
    <row r="784" spans="1:3">
      <c r="A784" t="s">
        <v>587</v>
      </c>
      <c r="B784" t="s">
        <v>588</v>
      </c>
      <c r="C784" t="s">
        <v>587</v>
      </c>
    </row>
    <row r="785" spans="1:3">
      <c r="A785" t="s">
        <v>589</v>
      </c>
      <c r="B785" t="s">
        <v>589</v>
      </c>
      <c r="C785" t="s">
        <v>589</v>
      </c>
    </row>
    <row r="786" spans="1:3">
      <c r="A786" t="s">
        <v>590</v>
      </c>
      <c r="B786" t="s">
        <v>590</v>
      </c>
      <c r="C786" t="s">
        <v>590</v>
      </c>
    </row>
    <row r="787" spans="1:3">
      <c r="A787" t="s">
        <v>591</v>
      </c>
      <c r="B787" t="s">
        <v>591</v>
      </c>
      <c r="C787" t="s">
        <v>591</v>
      </c>
    </row>
    <row r="788" spans="1:3">
      <c r="A788" t="s">
        <v>592</v>
      </c>
      <c r="B788" t="s">
        <v>592</v>
      </c>
      <c r="C788" t="s">
        <v>592</v>
      </c>
    </row>
    <row r="789" spans="1:3">
      <c r="A789" t="s">
        <v>131</v>
      </c>
      <c r="B789" t="s">
        <v>131</v>
      </c>
      <c r="C789" t="s">
        <v>131</v>
      </c>
    </row>
    <row r="790" spans="1:3">
      <c r="A790" t="s">
        <v>593</v>
      </c>
      <c r="B790" t="s">
        <v>593</v>
      </c>
      <c r="C790" t="s">
        <v>593</v>
      </c>
    </row>
    <row r="791" spans="1:3">
      <c r="A791" t="s">
        <v>594</v>
      </c>
      <c r="B791" t="s">
        <v>595</v>
      </c>
      <c r="C791" t="s">
        <v>594</v>
      </c>
    </row>
    <row r="792" spans="1:3">
      <c r="A792" t="s">
        <v>3</v>
      </c>
      <c r="B792" t="s">
        <v>3</v>
      </c>
      <c r="C792" t="s">
        <v>3</v>
      </c>
    </row>
    <row r="793" spans="1:3">
      <c r="A793" t="s">
        <v>596</v>
      </c>
      <c r="B793" t="s">
        <v>596</v>
      </c>
      <c r="C793" t="s">
        <v>596</v>
      </c>
    </row>
    <row r="794" spans="1:3">
      <c r="A794" t="s">
        <v>597</v>
      </c>
      <c r="B794" t="s">
        <v>597</v>
      </c>
      <c r="C794" t="s">
        <v>597</v>
      </c>
    </row>
    <row r="795" spans="1:3">
      <c r="A795" t="s">
        <v>598</v>
      </c>
      <c r="B795" t="s">
        <v>598</v>
      </c>
      <c r="C795" t="s">
        <v>598</v>
      </c>
    </row>
    <row r="796" spans="1:3">
      <c r="A796" t="s">
        <v>599</v>
      </c>
      <c r="B796" t="s">
        <v>599</v>
      </c>
      <c r="C796" t="s">
        <v>599</v>
      </c>
    </row>
    <row r="797" spans="1:3">
      <c r="A797" t="s">
        <v>600</v>
      </c>
      <c r="B797" t="s">
        <v>614</v>
      </c>
      <c r="C797" t="s">
        <v>600</v>
      </c>
    </row>
    <row r="798" spans="1:3">
      <c r="A798" t="s">
        <v>602</v>
      </c>
      <c r="B798" t="s">
        <v>615</v>
      </c>
      <c r="C798" t="s">
        <v>602</v>
      </c>
    </row>
    <row r="799" spans="1:3">
      <c r="A799" t="s">
        <v>604</v>
      </c>
      <c r="B799" t="s">
        <v>616</v>
      </c>
      <c r="C799" t="s">
        <v>604</v>
      </c>
    </row>
    <row r="800" spans="1:3">
      <c r="A800" t="s">
        <v>606</v>
      </c>
      <c r="B800" t="s">
        <v>617</v>
      </c>
      <c r="C800" t="s">
        <v>606</v>
      </c>
    </row>
    <row r="801" spans="1:3">
      <c r="A801" t="s">
        <v>608</v>
      </c>
      <c r="B801" t="s">
        <v>618</v>
      </c>
      <c r="C801" t="s">
        <v>608</v>
      </c>
    </row>
    <row r="802" spans="1:3">
      <c r="A802" t="s">
        <v>610</v>
      </c>
      <c r="B802" t="s">
        <v>619</v>
      </c>
      <c r="C802" t="s">
        <v>610</v>
      </c>
    </row>
    <row r="803" spans="1:3">
      <c r="A803" t="s">
        <v>612</v>
      </c>
      <c r="B803" t="s">
        <v>620</v>
      </c>
      <c r="C803" t="s">
        <v>612</v>
      </c>
    </row>
    <row r="804" spans="1:3">
      <c r="A804" t="s">
        <v>621</v>
      </c>
      <c r="B804" t="s">
        <v>622</v>
      </c>
      <c r="C804" t="s">
        <v>621</v>
      </c>
    </row>
    <row r="805" spans="1:3">
      <c r="A805" t="s">
        <v>623</v>
      </c>
      <c r="B805" t="s">
        <v>624</v>
      </c>
      <c r="C805" t="s">
        <v>623</v>
      </c>
    </row>
    <row r="806" spans="1:3">
      <c r="A806" t="s">
        <v>625</v>
      </c>
      <c r="B806" t="s">
        <v>626</v>
      </c>
      <c r="C806" t="s">
        <v>625</v>
      </c>
    </row>
    <row r="807" spans="1:3">
      <c r="A807" t="s">
        <v>627</v>
      </c>
      <c r="B807" t="s">
        <v>627</v>
      </c>
      <c r="C807" t="s">
        <v>627</v>
      </c>
    </row>
    <row r="808" spans="1:3">
      <c r="A808" t="s">
        <v>628</v>
      </c>
      <c r="B808" t="s">
        <v>628</v>
      </c>
      <c r="C808" t="s">
        <v>628</v>
      </c>
    </row>
    <row r="809" spans="1:3">
      <c r="A809" t="s">
        <v>629</v>
      </c>
      <c r="B809" t="s">
        <v>630</v>
      </c>
      <c r="C809" t="s">
        <v>629</v>
      </c>
    </row>
    <row r="810" spans="1:3">
      <c r="A810" t="s">
        <v>631</v>
      </c>
      <c r="B810" t="s">
        <v>632</v>
      </c>
      <c r="C810" t="s">
        <v>631</v>
      </c>
    </row>
    <row r="811" spans="1:3">
      <c r="A811" t="s">
        <v>633</v>
      </c>
      <c r="B811" t="s">
        <v>633</v>
      </c>
      <c r="C811" t="s">
        <v>633</v>
      </c>
    </row>
    <row r="812" spans="1:3">
      <c r="A812" t="s">
        <v>634</v>
      </c>
      <c r="B812" t="s">
        <v>634</v>
      </c>
      <c r="C812" t="s">
        <v>634</v>
      </c>
    </row>
    <row r="813" spans="1:3">
      <c r="A813" t="s">
        <v>635</v>
      </c>
      <c r="B813" t="s">
        <v>635</v>
      </c>
      <c r="C813" t="s">
        <v>635</v>
      </c>
    </row>
    <row r="814" spans="1:3">
      <c r="A814" t="s">
        <v>636</v>
      </c>
      <c r="B814" t="s">
        <v>637</v>
      </c>
      <c r="C814" t="s">
        <v>636</v>
      </c>
    </row>
    <row r="815" spans="1:3">
      <c r="A815" t="s">
        <v>638</v>
      </c>
      <c r="B815" t="s">
        <v>639</v>
      </c>
      <c r="C815" t="s">
        <v>638</v>
      </c>
    </row>
    <row r="816" spans="1:3">
      <c r="A816" t="s">
        <v>640</v>
      </c>
      <c r="B816" t="s">
        <v>640</v>
      </c>
      <c r="C816" t="s">
        <v>640</v>
      </c>
    </row>
    <row r="817" spans="1:3">
      <c r="A817" t="s">
        <v>641</v>
      </c>
      <c r="B817" t="s">
        <v>642</v>
      </c>
      <c r="C817" t="s">
        <v>641</v>
      </c>
    </row>
    <row r="818" spans="1:3">
      <c r="A818" t="s">
        <v>643</v>
      </c>
      <c r="B818" t="s">
        <v>644</v>
      </c>
      <c r="C818" t="s">
        <v>643</v>
      </c>
    </row>
    <row r="819" spans="1:3">
      <c r="A819" t="s">
        <v>645</v>
      </c>
      <c r="B819" t="s">
        <v>646</v>
      </c>
      <c r="C819" t="s">
        <v>645</v>
      </c>
    </row>
    <row r="820" spans="1:3">
      <c r="A820" t="s">
        <v>647</v>
      </c>
      <c r="B820" t="s">
        <v>648</v>
      </c>
      <c r="C820" t="s">
        <v>647</v>
      </c>
    </row>
    <row r="821" spans="1:3">
      <c r="A821" t="s">
        <v>649</v>
      </c>
      <c r="B821" t="s">
        <v>650</v>
      </c>
      <c r="C821" t="s">
        <v>649</v>
      </c>
    </row>
    <row r="822" spans="1:3">
      <c r="A822" t="s">
        <v>651</v>
      </c>
      <c r="B822" t="s">
        <v>652</v>
      </c>
      <c r="C822" t="s">
        <v>651</v>
      </c>
    </row>
    <row r="823" spans="1:3">
      <c r="A823" t="s">
        <v>653</v>
      </c>
      <c r="B823" t="s">
        <v>654</v>
      </c>
      <c r="C823" t="s">
        <v>653</v>
      </c>
    </row>
    <row r="824" spans="1:3">
      <c r="A824" t="s">
        <v>655</v>
      </c>
      <c r="B824" t="s">
        <v>655</v>
      </c>
      <c r="C824" t="s">
        <v>655</v>
      </c>
    </row>
    <row r="825" spans="1:3">
      <c r="A825" t="s">
        <v>656</v>
      </c>
      <c r="B825" t="s">
        <v>656</v>
      </c>
      <c r="C825" t="s">
        <v>656</v>
      </c>
    </row>
    <row r="826" spans="1:3">
      <c r="A826" t="s">
        <v>657</v>
      </c>
      <c r="B826" t="s">
        <v>658</v>
      </c>
      <c r="C826" t="s">
        <v>657</v>
      </c>
    </row>
    <row r="827" spans="1:3">
      <c r="A827" t="s">
        <v>659</v>
      </c>
      <c r="B827" t="s">
        <v>659</v>
      </c>
      <c r="C827" t="s">
        <v>659</v>
      </c>
    </row>
    <row r="828" spans="1:3">
      <c r="A828" t="s">
        <v>660</v>
      </c>
      <c r="B828" t="s">
        <v>660</v>
      </c>
      <c r="C828" t="s">
        <v>660</v>
      </c>
    </row>
    <row r="829" spans="1:3">
      <c r="A829" t="s">
        <v>661</v>
      </c>
      <c r="B829" t="s">
        <v>662</v>
      </c>
      <c r="C829" t="s">
        <v>661</v>
      </c>
    </row>
    <row r="830" spans="1:3">
      <c r="A830" t="s">
        <v>663</v>
      </c>
      <c r="B830" t="s">
        <v>664</v>
      </c>
      <c r="C830" t="s">
        <v>663</v>
      </c>
    </row>
    <row r="831" spans="1:3">
      <c r="A831" t="s">
        <v>665</v>
      </c>
      <c r="B831" t="s">
        <v>665</v>
      </c>
      <c r="C831" t="s">
        <v>665</v>
      </c>
    </row>
    <row r="832" spans="1:3">
      <c r="A832" t="s">
        <v>666</v>
      </c>
      <c r="B832" t="s">
        <v>667</v>
      </c>
      <c r="C832" t="s">
        <v>666</v>
      </c>
    </row>
    <row r="833" spans="1:3">
      <c r="A833" t="s">
        <v>668</v>
      </c>
      <c r="B833" t="s">
        <v>668</v>
      </c>
      <c r="C833" t="s">
        <v>668</v>
      </c>
    </row>
    <row r="834" spans="1:3">
      <c r="A834" t="s">
        <v>669</v>
      </c>
      <c r="B834" t="s">
        <v>669</v>
      </c>
      <c r="C834" t="s">
        <v>669</v>
      </c>
    </row>
    <row r="835" spans="1:3">
      <c r="A835" t="s">
        <v>670</v>
      </c>
      <c r="B835" t="s">
        <v>671</v>
      </c>
      <c r="C835" t="s">
        <v>670</v>
      </c>
    </row>
    <row r="836" spans="1:3">
      <c r="A836" t="s">
        <v>672</v>
      </c>
      <c r="B836" t="s">
        <v>672</v>
      </c>
      <c r="C836" t="s">
        <v>672</v>
      </c>
    </row>
    <row r="837" spans="1:3">
      <c r="A837" t="s">
        <v>673</v>
      </c>
      <c r="B837" t="s">
        <v>673</v>
      </c>
      <c r="C837" t="s">
        <v>673</v>
      </c>
    </row>
    <row r="838" spans="1:3">
      <c r="A838" t="s">
        <v>674</v>
      </c>
      <c r="B838" t="s">
        <v>674</v>
      </c>
      <c r="C838" t="s">
        <v>674</v>
      </c>
    </row>
    <row r="839" spans="1:3">
      <c r="A839" t="s">
        <v>675</v>
      </c>
      <c r="B839" t="s">
        <v>676</v>
      </c>
      <c r="C839" t="s">
        <v>675</v>
      </c>
    </row>
    <row r="840" spans="1:3">
      <c r="A840" t="s">
        <v>677</v>
      </c>
      <c r="B840" t="s">
        <v>678</v>
      </c>
      <c r="C840" t="s">
        <v>677</v>
      </c>
    </row>
    <row r="841" spans="1:3">
      <c r="A841" t="s">
        <v>679</v>
      </c>
      <c r="B841" t="s">
        <v>679</v>
      </c>
      <c r="C841" t="s">
        <v>679</v>
      </c>
    </row>
    <row r="842" spans="1:3">
      <c r="A842" t="s">
        <v>680</v>
      </c>
      <c r="B842" t="s">
        <v>681</v>
      </c>
      <c r="C842" t="s">
        <v>680</v>
      </c>
    </row>
    <row r="843" spans="1:3">
      <c r="A843" t="s">
        <v>682</v>
      </c>
      <c r="B843" t="s">
        <v>682</v>
      </c>
      <c r="C843" t="s">
        <v>682</v>
      </c>
    </row>
    <row r="844" spans="1:3">
      <c r="A844" t="s">
        <v>38</v>
      </c>
      <c r="B844" t="s">
        <v>38</v>
      </c>
      <c r="C844" t="s">
        <v>38</v>
      </c>
    </row>
    <row r="845" spans="1:3">
      <c r="A845" t="s">
        <v>15</v>
      </c>
      <c r="B845" t="s">
        <v>15</v>
      </c>
      <c r="C845" t="s">
        <v>15</v>
      </c>
    </row>
    <row r="846" spans="1:3">
      <c r="A846" t="s">
        <v>683</v>
      </c>
      <c r="B846" t="s">
        <v>684</v>
      </c>
      <c r="C846" t="s">
        <v>683</v>
      </c>
    </row>
    <row r="847" spans="1:3">
      <c r="A847" t="s">
        <v>685</v>
      </c>
      <c r="B847" t="s">
        <v>685</v>
      </c>
      <c r="C847" t="s">
        <v>685</v>
      </c>
    </row>
    <row r="848" spans="1:3">
      <c r="A848" t="s">
        <v>686</v>
      </c>
      <c r="B848" t="s">
        <v>686</v>
      </c>
      <c r="C848" t="s">
        <v>686</v>
      </c>
    </row>
    <row r="849" spans="1:3">
      <c r="A849" t="s">
        <v>687</v>
      </c>
      <c r="B849" t="s">
        <v>687</v>
      </c>
      <c r="C849" t="s">
        <v>687</v>
      </c>
    </row>
    <row r="850" spans="1:3">
      <c r="A850" t="s">
        <v>688</v>
      </c>
      <c r="B850" t="s">
        <v>689</v>
      </c>
      <c r="C850" t="s">
        <v>688</v>
      </c>
    </row>
    <row r="851" spans="1:3">
      <c r="A851" t="s">
        <v>690</v>
      </c>
      <c r="B851" t="s">
        <v>690</v>
      </c>
      <c r="C851" t="s">
        <v>690</v>
      </c>
    </row>
    <row r="852" spans="1:3">
      <c r="A852" t="s">
        <v>691</v>
      </c>
      <c r="B852" t="s">
        <v>691</v>
      </c>
      <c r="C852" t="s">
        <v>691</v>
      </c>
    </row>
    <row r="853" spans="1:3">
      <c r="A853" t="s">
        <v>692</v>
      </c>
      <c r="B853" t="s">
        <v>692</v>
      </c>
      <c r="C853" t="s">
        <v>692</v>
      </c>
    </row>
    <row r="854" spans="1:3">
      <c r="A854" t="s">
        <v>693</v>
      </c>
      <c r="B854" t="s">
        <v>693</v>
      </c>
      <c r="C854" t="s">
        <v>693</v>
      </c>
    </row>
    <row r="855" spans="1:3">
      <c r="A855" t="s">
        <v>694</v>
      </c>
      <c r="B855" t="s">
        <v>695</v>
      </c>
      <c r="C855" t="s">
        <v>694</v>
      </c>
    </row>
    <row r="856" spans="1:3">
      <c r="A856" t="s">
        <v>696</v>
      </c>
      <c r="B856" t="s">
        <v>697</v>
      </c>
      <c r="C856" t="s">
        <v>696</v>
      </c>
    </row>
    <row r="857" spans="1:3">
      <c r="A857" t="s">
        <v>698</v>
      </c>
      <c r="B857" t="s">
        <v>699</v>
      </c>
      <c r="C857" t="s">
        <v>698</v>
      </c>
    </row>
    <row r="858" spans="1:3">
      <c r="A858" t="s">
        <v>700</v>
      </c>
      <c r="B858" t="s">
        <v>701</v>
      </c>
      <c r="C858" t="s">
        <v>700</v>
      </c>
    </row>
    <row r="859" spans="1:3">
      <c r="A859" t="s">
        <v>702</v>
      </c>
      <c r="B859" t="s">
        <v>702</v>
      </c>
      <c r="C859" t="s">
        <v>702</v>
      </c>
    </row>
    <row r="860" spans="1:3">
      <c r="A860" t="s">
        <v>703</v>
      </c>
      <c r="B860" t="s">
        <v>703</v>
      </c>
      <c r="C860" t="s">
        <v>703</v>
      </c>
    </row>
    <row r="861" spans="1:3">
      <c r="A861" t="s">
        <v>704</v>
      </c>
      <c r="B861" t="s">
        <v>705</v>
      </c>
      <c r="C861" t="s">
        <v>704</v>
      </c>
    </row>
    <row r="862" spans="1:3">
      <c r="A862" t="s">
        <v>706</v>
      </c>
      <c r="B862" t="s">
        <v>707</v>
      </c>
      <c r="C862" t="s">
        <v>706</v>
      </c>
    </row>
    <row r="863" spans="1:3">
      <c r="A863" t="s">
        <v>708</v>
      </c>
      <c r="B863" t="s">
        <v>709</v>
      </c>
      <c r="C863" t="s">
        <v>708</v>
      </c>
    </row>
    <row r="864" spans="1:3">
      <c r="A864" t="s">
        <v>710</v>
      </c>
      <c r="B864" t="s">
        <v>711</v>
      </c>
      <c r="C864" t="s">
        <v>710</v>
      </c>
    </row>
    <row r="865" spans="1:3">
      <c r="A865" t="s">
        <v>712</v>
      </c>
      <c r="B865" t="s">
        <v>713</v>
      </c>
      <c r="C865" t="s">
        <v>712</v>
      </c>
    </row>
    <row r="866" spans="1:3">
      <c r="A866" t="s">
        <v>714</v>
      </c>
      <c r="B866" t="s">
        <v>715</v>
      </c>
      <c r="C866" t="s">
        <v>714</v>
      </c>
    </row>
    <row r="867" spans="1:3">
      <c r="A867" t="s">
        <v>716</v>
      </c>
      <c r="B867" t="s">
        <v>716</v>
      </c>
      <c r="C867" t="s">
        <v>716</v>
      </c>
    </row>
    <row r="868" spans="1:3">
      <c r="A868" t="s">
        <v>717</v>
      </c>
      <c r="B868" t="s">
        <v>718</v>
      </c>
      <c r="C868" t="s">
        <v>717</v>
      </c>
    </row>
    <row r="869" spans="1:3">
      <c r="A869" t="s">
        <v>719</v>
      </c>
      <c r="B869" t="s">
        <v>719</v>
      </c>
      <c r="C869" t="s">
        <v>719</v>
      </c>
    </row>
    <row r="870" spans="1:3">
      <c r="A870" t="s">
        <v>720</v>
      </c>
      <c r="B870" t="s">
        <v>720</v>
      </c>
      <c r="C870" t="s">
        <v>720</v>
      </c>
    </row>
    <row r="871" spans="1:3">
      <c r="A871" t="s">
        <v>721</v>
      </c>
      <c r="B871" t="s">
        <v>721</v>
      </c>
      <c r="C871" t="s">
        <v>721</v>
      </c>
    </row>
    <row r="872" spans="1:3">
      <c r="A872" t="s">
        <v>722</v>
      </c>
      <c r="B872" t="s">
        <v>722</v>
      </c>
      <c r="C872" t="s">
        <v>722</v>
      </c>
    </row>
    <row r="873" spans="1:3">
      <c r="A873" t="s">
        <v>723</v>
      </c>
      <c r="B873" t="s">
        <v>723</v>
      </c>
      <c r="C873" t="s">
        <v>723</v>
      </c>
    </row>
    <row r="874" spans="1:3">
      <c r="A874" t="s">
        <v>724</v>
      </c>
      <c r="B874" t="s">
        <v>724</v>
      </c>
      <c r="C874" t="s">
        <v>724</v>
      </c>
    </row>
    <row r="875" spans="1:3">
      <c r="A875" t="s">
        <v>725</v>
      </c>
      <c r="B875" t="s">
        <v>725</v>
      </c>
      <c r="C875" t="s">
        <v>725</v>
      </c>
    </row>
    <row r="876" spans="1:3">
      <c r="A876" t="s">
        <v>726</v>
      </c>
      <c r="B876" t="s">
        <v>726</v>
      </c>
      <c r="C876" t="s">
        <v>726</v>
      </c>
    </row>
    <row r="877" spans="1:3">
      <c r="A877" t="s">
        <v>727</v>
      </c>
      <c r="B877" t="s">
        <v>728</v>
      </c>
      <c r="C877" t="s">
        <v>727</v>
      </c>
    </row>
    <row r="878" spans="1:3">
      <c r="A878" t="s">
        <v>729</v>
      </c>
      <c r="B878" t="s">
        <v>729</v>
      </c>
      <c r="C878" t="s">
        <v>729</v>
      </c>
    </row>
    <row r="879" spans="1:3">
      <c r="A879" t="s">
        <v>730</v>
      </c>
      <c r="B879" t="s">
        <v>731</v>
      </c>
      <c r="C879" t="s">
        <v>730</v>
      </c>
    </row>
    <row r="880" spans="1:3">
      <c r="A880" t="s">
        <v>732</v>
      </c>
      <c r="B880" t="s">
        <v>733</v>
      </c>
      <c r="C880" t="s">
        <v>732</v>
      </c>
    </row>
    <row r="881" spans="1:3">
      <c r="A881" t="s">
        <v>734</v>
      </c>
      <c r="B881" t="s">
        <v>735</v>
      </c>
      <c r="C881" t="s">
        <v>734</v>
      </c>
    </row>
    <row r="882" spans="1:3">
      <c r="A882" t="s">
        <v>736</v>
      </c>
      <c r="B882" t="s">
        <v>737</v>
      </c>
      <c r="C882" t="s">
        <v>736</v>
      </c>
    </row>
    <row r="883" spans="1:3">
      <c r="A883" t="s">
        <v>738</v>
      </c>
      <c r="B883" t="s">
        <v>738</v>
      </c>
      <c r="C883" t="s">
        <v>738</v>
      </c>
    </row>
    <row r="884" spans="1:3">
      <c r="A884" t="s">
        <v>739</v>
      </c>
      <c r="B884" t="s">
        <v>740</v>
      </c>
      <c r="C884" t="s">
        <v>739</v>
      </c>
    </row>
    <row r="885" spans="1:3">
      <c r="A885" t="s">
        <v>741</v>
      </c>
      <c r="B885" t="s">
        <v>741</v>
      </c>
      <c r="C885" t="s">
        <v>741</v>
      </c>
    </row>
    <row r="886" spans="1:3">
      <c r="A886" t="s">
        <v>742</v>
      </c>
      <c r="B886" t="s">
        <v>742</v>
      </c>
      <c r="C886" t="s">
        <v>742</v>
      </c>
    </row>
    <row r="887" spans="1:3">
      <c r="A887" t="s">
        <v>743</v>
      </c>
      <c r="B887" t="s">
        <v>744</v>
      </c>
      <c r="C887" t="s">
        <v>743</v>
      </c>
    </row>
    <row r="888" spans="1:3">
      <c r="A888" t="s">
        <v>745</v>
      </c>
      <c r="B888" t="s">
        <v>746</v>
      </c>
      <c r="C888" t="s">
        <v>745</v>
      </c>
    </row>
    <row r="889" spans="1:3">
      <c r="A889" t="s">
        <v>747</v>
      </c>
      <c r="B889" t="s">
        <v>748</v>
      </c>
      <c r="C889" t="s">
        <v>747</v>
      </c>
    </row>
    <row r="890" spans="1:3">
      <c r="A890" t="s">
        <v>749</v>
      </c>
      <c r="B890" t="s">
        <v>749</v>
      </c>
      <c r="C890" t="s">
        <v>749</v>
      </c>
    </row>
    <row r="891" spans="1:3">
      <c r="A891" t="s">
        <v>750</v>
      </c>
      <c r="B891" t="s">
        <v>751</v>
      </c>
      <c r="C891" t="s">
        <v>750</v>
      </c>
    </row>
    <row r="892" spans="1:3">
      <c r="A892" t="s">
        <v>752</v>
      </c>
      <c r="B892" t="s">
        <v>753</v>
      </c>
      <c r="C892" t="s">
        <v>752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E52"/>
  <sheetViews>
    <sheetView tabSelected="1" workbookViewId="0">
      <selection activeCell="F4" sqref="F4"/>
    </sheetView>
  </sheetViews>
  <sheetFormatPr baseColWidth="10" defaultRowHeight="15"/>
  <cols>
    <col min="1" max="1" width="29.85546875" bestFit="1" customWidth="1"/>
    <col min="3" max="3" width="29.85546875" bestFit="1" customWidth="1"/>
    <col min="4" max="4" width="11.85546875" bestFit="1" customWidth="1"/>
  </cols>
  <sheetData>
    <row r="3" spans="1:5">
      <c r="A3" s="6" t="s">
        <v>762</v>
      </c>
      <c r="D3" t="s">
        <v>760</v>
      </c>
      <c r="E3" t="s">
        <v>812</v>
      </c>
    </row>
    <row r="4" spans="1:5">
      <c r="A4" s="7" t="s">
        <v>763</v>
      </c>
      <c r="C4" t="str">
        <f>A4</f>
        <v>ALCUDIA_4G</v>
      </c>
      <c r="D4" s="8" t="s">
        <v>813</v>
      </c>
      <c r="E4" s="9" t="s">
        <v>814</v>
      </c>
    </row>
    <row r="5" spans="1:5">
      <c r="A5" s="7" t="s">
        <v>764</v>
      </c>
      <c r="C5" t="str">
        <f t="shared" ref="C5:C50" si="0">A5</f>
        <v>ALGEMESI_3G</v>
      </c>
      <c r="D5" s="8" t="s">
        <v>813</v>
      </c>
      <c r="E5" s="9" t="s">
        <v>814</v>
      </c>
    </row>
    <row r="6" spans="1:5">
      <c r="A6" s="7" t="s">
        <v>765</v>
      </c>
      <c r="C6" t="str">
        <f t="shared" si="0"/>
        <v>ALMONTE_4G</v>
      </c>
      <c r="D6" s="8" t="s">
        <v>813</v>
      </c>
      <c r="E6" s="9" t="s">
        <v>814</v>
      </c>
    </row>
    <row r="7" spans="1:5">
      <c r="A7" s="7" t="s">
        <v>766</v>
      </c>
      <c r="C7" t="str">
        <f t="shared" si="0"/>
        <v>ARROYOMOLINOS_4G</v>
      </c>
      <c r="D7" s="8" t="s">
        <v>813</v>
      </c>
      <c r="E7" s="9" t="s">
        <v>814</v>
      </c>
    </row>
    <row r="8" spans="1:5">
      <c r="A8" s="7" t="s">
        <v>767</v>
      </c>
      <c r="C8" t="str">
        <f t="shared" si="0"/>
        <v>AZUQUECADEHENARES_3G</v>
      </c>
      <c r="D8" s="8" t="s">
        <v>813</v>
      </c>
      <c r="E8" s="9" t="s">
        <v>814</v>
      </c>
    </row>
    <row r="9" spans="1:5">
      <c r="A9" s="7" t="s">
        <v>768</v>
      </c>
      <c r="C9" t="str">
        <f t="shared" si="0"/>
        <v>BARCELONA_4G</v>
      </c>
      <c r="D9" s="8" t="s">
        <v>813</v>
      </c>
      <c r="E9" s="9" t="s">
        <v>814</v>
      </c>
    </row>
    <row r="10" spans="1:5">
      <c r="A10" s="7" t="s">
        <v>769</v>
      </c>
      <c r="C10" t="str">
        <f t="shared" si="0"/>
        <v>BASAURI_3G</v>
      </c>
      <c r="D10" s="9" t="s">
        <v>814</v>
      </c>
      <c r="E10" s="9" t="s">
        <v>814</v>
      </c>
    </row>
    <row r="11" spans="1:5">
      <c r="A11" s="7" t="s">
        <v>770</v>
      </c>
      <c r="C11" t="str">
        <f t="shared" si="0"/>
        <v>BASAURI_4G</v>
      </c>
      <c r="D11" s="8" t="s">
        <v>813</v>
      </c>
      <c r="E11" s="9" t="s">
        <v>814</v>
      </c>
    </row>
    <row r="12" spans="1:5">
      <c r="A12" s="7" t="s">
        <v>771</v>
      </c>
      <c r="C12" t="str">
        <f t="shared" si="0"/>
        <v>BILBAO_4G</v>
      </c>
      <c r="D12" s="8" t="s">
        <v>813</v>
      </c>
      <c r="E12" s="9" t="s">
        <v>814</v>
      </c>
    </row>
    <row r="13" spans="1:5">
      <c r="A13" s="7" t="s">
        <v>772</v>
      </c>
      <c r="C13" t="str">
        <f t="shared" si="0"/>
        <v>CARTAGENA_4G</v>
      </c>
      <c r="D13" s="8" t="s">
        <v>813</v>
      </c>
      <c r="E13" s="9" t="s">
        <v>814</v>
      </c>
    </row>
    <row r="14" spans="1:5">
      <c r="A14" s="7" t="s">
        <v>773</v>
      </c>
      <c r="C14" t="str">
        <f t="shared" si="0"/>
        <v>ELDA_3G</v>
      </c>
      <c r="D14" s="8" t="s">
        <v>813</v>
      </c>
      <c r="E14" s="9" t="s">
        <v>814</v>
      </c>
    </row>
    <row r="15" spans="1:5">
      <c r="A15" s="7" t="s">
        <v>774</v>
      </c>
      <c r="C15" t="str">
        <f t="shared" si="0"/>
        <v>IBIZA_3G</v>
      </c>
      <c r="D15" s="8" t="s">
        <v>813</v>
      </c>
      <c r="E15" s="9" t="s">
        <v>814</v>
      </c>
    </row>
    <row r="16" spans="1:5">
      <c r="A16" s="7" t="s">
        <v>775</v>
      </c>
      <c r="C16" t="str">
        <f t="shared" si="0"/>
        <v>IBIZA_4G</v>
      </c>
      <c r="D16" s="8" t="s">
        <v>813</v>
      </c>
      <c r="E16" s="9" t="s">
        <v>814</v>
      </c>
    </row>
    <row r="17" spans="1:5">
      <c r="A17" s="7" t="s">
        <v>776</v>
      </c>
      <c r="C17" t="str">
        <f t="shared" si="0"/>
        <v>IGUALADA_4G</v>
      </c>
      <c r="D17" s="8" t="s">
        <v>813</v>
      </c>
      <c r="E17" s="9" t="s">
        <v>814</v>
      </c>
    </row>
    <row r="18" spans="1:5">
      <c r="A18" s="7" t="s">
        <v>777</v>
      </c>
      <c r="C18" t="str">
        <f t="shared" si="0"/>
        <v>LANGREO_4G</v>
      </c>
      <c r="D18" s="8" t="s">
        <v>813</v>
      </c>
      <c r="E18" s="9" t="s">
        <v>814</v>
      </c>
    </row>
    <row r="19" spans="1:5">
      <c r="A19" s="7" t="s">
        <v>778</v>
      </c>
      <c r="C19" t="str">
        <f t="shared" si="0"/>
        <v>LAVALLDUIXO_4G</v>
      </c>
      <c r="D19" s="8" t="s">
        <v>813</v>
      </c>
      <c r="E19" s="9" t="s">
        <v>814</v>
      </c>
    </row>
    <row r="20" spans="1:5">
      <c r="A20" s="7" t="s">
        <v>779</v>
      </c>
      <c r="C20" t="str">
        <f t="shared" si="0"/>
        <v>LAVILLAJOYOSA_4G</v>
      </c>
      <c r="D20" s="8" t="s">
        <v>813</v>
      </c>
      <c r="E20" s="9" t="s">
        <v>814</v>
      </c>
    </row>
    <row r="21" spans="1:5">
      <c r="A21" s="7" t="s">
        <v>780</v>
      </c>
      <c r="C21" t="str">
        <f t="shared" si="0"/>
        <v>LEGANES_4G</v>
      </c>
      <c r="D21" s="8" t="s">
        <v>813</v>
      </c>
      <c r="E21" s="9" t="s">
        <v>814</v>
      </c>
    </row>
    <row r="22" spans="1:5">
      <c r="A22" s="7" t="s">
        <v>781</v>
      </c>
      <c r="C22" t="str">
        <f t="shared" si="0"/>
        <v>LLANES_3G</v>
      </c>
      <c r="D22" s="8" t="s">
        <v>813</v>
      </c>
      <c r="E22" s="9" t="s">
        <v>814</v>
      </c>
    </row>
    <row r="23" spans="1:5">
      <c r="A23" s="7" t="s">
        <v>782</v>
      </c>
      <c r="C23" t="str">
        <f t="shared" si="0"/>
        <v>LOSREALEJOS_3G</v>
      </c>
      <c r="D23" s="8" t="s">
        <v>813</v>
      </c>
      <c r="E23" s="9" t="s">
        <v>814</v>
      </c>
    </row>
    <row r="24" spans="1:5">
      <c r="A24" s="7" t="s">
        <v>783</v>
      </c>
      <c r="C24" t="str">
        <f t="shared" si="0"/>
        <v>MALLORCA_3G</v>
      </c>
      <c r="D24" s="8" t="s">
        <v>813</v>
      </c>
      <c r="E24" s="9" t="s">
        <v>814</v>
      </c>
    </row>
    <row r="25" spans="1:5">
      <c r="A25" s="7" t="s">
        <v>784</v>
      </c>
      <c r="C25" t="str">
        <f t="shared" si="0"/>
        <v>MALLORCA_4G</v>
      </c>
      <c r="D25" s="8" t="s">
        <v>813</v>
      </c>
      <c r="E25" s="9" t="s">
        <v>814</v>
      </c>
    </row>
    <row r="26" spans="1:5">
      <c r="A26" s="7" t="s">
        <v>785</v>
      </c>
      <c r="C26" t="str">
        <f t="shared" si="0"/>
        <v>MANACOR_3G</v>
      </c>
      <c r="D26" s="8" t="s">
        <v>813</v>
      </c>
      <c r="E26" s="9" t="s">
        <v>814</v>
      </c>
    </row>
    <row r="27" spans="1:5">
      <c r="A27" s="7" t="s">
        <v>786</v>
      </c>
      <c r="C27" t="str">
        <f t="shared" si="0"/>
        <v>MANACOR_4G</v>
      </c>
      <c r="D27" s="8" t="s">
        <v>813</v>
      </c>
      <c r="E27" s="9" t="s">
        <v>814</v>
      </c>
    </row>
    <row r="28" spans="1:5">
      <c r="A28" s="7" t="s">
        <v>787</v>
      </c>
      <c r="C28" t="str">
        <f t="shared" si="0"/>
        <v>MANRESA_4G</v>
      </c>
      <c r="D28" s="8" t="s">
        <v>813</v>
      </c>
      <c r="E28" s="9" t="s">
        <v>814</v>
      </c>
    </row>
    <row r="29" spans="1:5">
      <c r="A29" s="7" t="s">
        <v>788</v>
      </c>
      <c r="C29" t="str">
        <f t="shared" si="0"/>
        <v>MOGAN_3G</v>
      </c>
      <c r="D29" s="8" t="s">
        <v>813</v>
      </c>
      <c r="E29" s="9" t="s">
        <v>814</v>
      </c>
    </row>
    <row r="30" spans="1:5">
      <c r="A30" s="7" t="s">
        <v>789</v>
      </c>
      <c r="C30" t="str">
        <f t="shared" si="0"/>
        <v>MOGUER_3G</v>
      </c>
      <c r="D30" s="9" t="s">
        <v>814</v>
      </c>
      <c r="E30" s="8" t="s">
        <v>813</v>
      </c>
    </row>
    <row r="31" spans="1:5">
      <c r="A31" s="7" t="s">
        <v>790</v>
      </c>
      <c r="C31" t="str">
        <f t="shared" si="0"/>
        <v>MONTCADAIREIXAC_4G</v>
      </c>
      <c r="D31" s="8" t="s">
        <v>813</v>
      </c>
      <c r="E31" s="9" t="s">
        <v>814</v>
      </c>
    </row>
    <row r="32" spans="1:5">
      <c r="A32" s="7" t="s">
        <v>791</v>
      </c>
      <c r="C32" t="str">
        <f t="shared" si="0"/>
        <v>PAJARA_4G</v>
      </c>
      <c r="D32" s="8" t="s">
        <v>813</v>
      </c>
      <c r="E32" s="9" t="s">
        <v>814</v>
      </c>
    </row>
    <row r="33" spans="1:5">
      <c r="A33" s="7" t="s">
        <v>792</v>
      </c>
      <c r="C33" t="str">
        <f t="shared" si="0"/>
        <v>PALMAS_3G</v>
      </c>
      <c r="D33" s="8" t="s">
        <v>813</v>
      </c>
      <c r="E33" s="9" t="s">
        <v>814</v>
      </c>
    </row>
    <row r="34" spans="1:5">
      <c r="A34" s="7" t="s">
        <v>793</v>
      </c>
      <c r="C34" t="str">
        <f t="shared" si="0"/>
        <v>PALMAS_4G</v>
      </c>
      <c r="D34" s="8" t="s">
        <v>813</v>
      </c>
      <c r="E34" s="9" t="s">
        <v>814</v>
      </c>
    </row>
    <row r="35" spans="1:5">
      <c r="A35" s="7" t="s">
        <v>794</v>
      </c>
      <c r="C35" t="str">
        <f t="shared" si="0"/>
        <v>PORTUGALETE_4G</v>
      </c>
      <c r="D35" s="8" t="s">
        <v>813</v>
      </c>
      <c r="E35" s="9" t="s">
        <v>814</v>
      </c>
    </row>
    <row r="36" spans="1:5">
      <c r="A36" s="7" t="s">
        <v>795</v>
      </c>
      <c r="C36" t="str">
        <f t="shared" si="0"/>
        <v>PTOSANTAMARIA_3G</v>
      </c>
      <c r="D36" s="8" t="s">
        <v>813</v>
      </c>
      <c r="E36" s="9" t="s">
        <v>814</v>
      </c>
    </row>
    <row r="37" spans="1:5">
      <c r="A37" s="7" t="s">
        <v>796</v>
      </c>
      <c r="C37" t="str">
        <f t="shared" si="0"/>
        <v>SANCRISTOBALDELALAGUNA_3G</v>
      </c>
      <c r="D37" s="8" t="s">
        <v>813</v>
      </c>
      <c r="E37" s="9" t="s">
        <v>814</v>
      </c>
    </row>
    <row r="38" spans="1:5">
      <c r="A38" s="7" t="s">
        <v>797</v>
      </c>
      <c r="C38" t="str">
        <f t="shared" si="0"/>
        <v>SANTAEULALIADELRIO_3G</v>
      </c>
      <c r="D38" s="8" t="s">
        <v>813</v>
      </c>
      <c r="E38" s="9" t="s">
        <v>814</v>
      </c>
    </row>
    <row r="39" spans="1:5">
      <c r="A39" s="7" t="s">
        <v>798</v>
      </c>
      <c r="C39" t="str">
        <f t="shared" si="0"/>
        <v>SANTAEULALIADELRIO_4G</v>
      </c>
      <c r="D39" s="8" t="s">
        <v>813</v>
      </c>
      <c r="E39" s="9" t="s">
        <v>814</v>
      </c>
    </row>
    <row r="40" spans="1:5">
      <c r="A40" s="7" t="s">
        <v>799</v>
      </c>
      <c r="C40" t="str">
        <f t="shared" si="0"/>
        <v>SANTALUCIADETIRAJANA_4G</v>
      </c>
      <c r="D40" s="8" t="s">
        <v>813</v>
      </c>
      <c r="E40" s="9" t="s">
        <v>814</v>
      </c>
    </row>
    <row r="41" spans="1:5">
      <c r="A41" s="7" t="s">
        <v>800</v>
      </c>
      <c r="C41" t="str">
        <f t="shared" si="0"/>
        <v>SANTANDREUDELABARCA_3G</v>
      </c>
      <c r="D41" s="8" t="s">
        <v>813</v>
      </c>
      <c r="E41" s="9" t="s">
        <v>814</v>
      </c>
    </row>
    <row r="42" spans="1:5">
      <c r="A42" s="7" t="s">
        <v>801</v>
      </c>
      <c r="C42" t="str">
        <f t="shared" si="0"/>
        <v>SESTAO_3G</v>
      </c>
      <c r="D42" s="8" t="s">
        <v>813</v>
      </c>
      <c r="E42" s="9" t="s">
        <v>814</v>
      </c>
    </row>
    <row r="43" spans="1:5">
      <c r="A43" s="7" t="s">
        <v>802</v>
      </c>
      <c r="C43" t="str">
        <f t="shared" si="0"/>
        <v>TENERIFE_4G</v>
      </c>
      <c r="D43" s="8" t="s">
        <v>813</v>
      </c>
      <c r="E43" s="9" t="s">
        <v>814</v>
      </c>
    </row>
    <row r="44" spans="1:5">
      <c r="A44" s="7" t="s">
        <v>803</v>
      </c>
      <c r="C44" t="str">
        <f t="shared" si="0"/>
        <v>TIAS_3G</v>
      </c>
      <c r="D44" s="8" t="s">
        <v>813</v>
      </c>
      <c r="E44" s="9" t="s">
        <v>814</v>
      </c>
    </row>
    <row r="45" spans="1:5">
      <c r="A45" s="7" t="s">
        <v>804</v>
      </c>
      <c r="C45" t="str">
        <f t="shared" si="0"/>
        <v>TIAS_4G</v>
      </c>
      <c r="D45" s="8" t="s">
        <v>813</v>
      </c>
      <c r="E45" s="9" t="s">
        <v>814</v>
      </c>
    </row>
    <row r="46" spans="1:5">
      <c r="A46" s="7" t="s">
        <v>805</v>
      </c>
      <c r="C46" t="str">
        <f t="shared" si="0"/>
        <v>TIRAJANA_3G</v>
      </c>
      <c r="D46" s="8" t="s">
        <v>813</v>
      </c>
      <c r="E46" s="9" t="s">
        <v>814</v>
      </c>
    </row>
    <row r="47" spans="1:5">
      <c r="A47" s="7" t="s">
        <v>806</v>
      </c>
      <c r="C47" t="str">
        <f t="shared" si="0"/>
        <v>TIRAJANA_4G</v>
      </c>
      <c r="D47" s="8" t="s">
        <v>813</v>
      </c>
      <c r="E47" s="9" t="s">
        <v>814</v>
      </c>
    </row>
    <row r="48" spans="1:5">
      <c r="A48" s="7" t="s">
        <v>807</v>
      </c>
      <c r="C48" t="str">
        <f t="shared" si="0"/>
        <v>UTIEL_3G</v>
      </c>
      <c r="D48" s="8" t="s">
        <v>813</v>
      </c>
      <c r="E48" s="9" t="s">
        <v>814</v>
      </c>
    </row>
    <row r="49" spans="1:5">
      <c r="A49" s="7" t="s">
        <v>808</v>
      </c>
      <c r="C49" t="str">
        <f t="shared" si="0"/>
        <v>YAIZA_3G</v>
      </c>
      <c r="D49" s="8" t="s">
        <v>813</v>
      </c>
      <c r="E49" s="9" t="s">
        <v>814</v>
      </c>
    </row>
    <row r="50" spans="1:5">
      <c r="A50" s="7" t="s">
        <v>809</v>
      </c>
      <c r="C50" t="str">
        <f t="shared" si="0"/>
        <v>YAIZA_4G</v>
      </c>
      <c r="D50" s="8" t="s">
        <v>813</v>
      </c>
      <c r="E50" s="9" t="s">
        <v>814</v>
      </c>
    </row>
    <row r="51" spans="1:5">
      <c r="A51" s="7" t="s">
        <v>810</v>
      </c>
    </row>
    <row r="52" spans="1:5">
      <c r="A52" s="7" t="s">
        <v>811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Call Attempts</vt:lpstr>
      <vt:lpstr>Info_Zona</vt:lpstr>
      <vt:lpstr>Nomenclatura</vt:lpstr>
      <vt:lpstr>Entidades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Martinez Jimenez</dc:creator>
  <cp:lastModifiedBy>melisa_duro</cp:lastModifiedBy>
  <dcterms:created xsi:type="dcterms:W3CDTF">2017-02-02T12:50:26Z</dcterms:created>
  <dcterms:modified xsi:type="dcterms:W3CDTF">2017-03-27T19:23:45Z</dcterms:modified>
</cp:coreProperties>
</file>